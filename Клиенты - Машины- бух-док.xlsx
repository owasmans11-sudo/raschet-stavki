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Yandex.Disk\Восточная Логистика\1. Илья Satdinov\Папка Satdinova\"/>
    </mc:Choice>
  </mc:AlternateContent>
  <xr:revisionPtr revIDLastSave="0" documentId="13_ncr:1_{8C2EA672-C809-48E0-B3DE-D2FC1AFEA329}" xr6:coauthVersionLast="47" xr6:coauthVersionMax="47" xr10:uidLastSave="{00000000-0000-0000-0000-000000000000}"/>
  <workbookProtection workbookAlgorithmName="SHA-512" workbookHashValue="SmEur+9971zrgeEWcr/YI+ImnBnud1scI3GG76bCP5Wm+0mNR2ZpdPJjkYMzrMSL5O0EtKdmMzX6Apy8mRUDCw==" workbookSaltValue="J3fGWbpbAo2grPaCH1OZJg==" workbookSpinCount="100000" lockStructure="1"/>
  <bookViews>
    <workbookView xWindow="-108" yWindow="-108" windowWidth="23256" windowHeight="12576" firstSheet="4" activeTab="5" xr2:uid="{00000000-000D-0000-FFFF-FFFF00000000}"/>
  </bookViews>
  <sheets>
    <sheet name="ООО" sheetId="1" r:id="rId1"/>
    <sheet name="Ип" sheetId="6" r:id="rId2"/>
    <sheet name="Наличка" sheetId="2" r:id="rId3"/>
    <sheet name="Расходы на перевозки" sheetId="4" r:id="rId4"/>
    <sheet name="Зарплаты " sheetId="7" r:id="rId5"/>
    <sheet name="Вложения в компанию" sheetId="5" r:id="rId6"/>
    <sheet name="Прибыль" sheetId="3" r:id="rId7"/>
  </sheets>
  <definedNames>
    <definedName name="_xlnm._FilterDatabase" localSheetId="5" hidden="1">'Вложения в компанию'!$A$1:$A$105</definedName>
    <definedName name="_xlnm._FilterDatabase" localSheetId="0" hidden="1">ООО!$A$1:$U$361</definedName>
    <definedName name="_xlnm._FilterDatabase" localSheetId="3" hidden="1">'Расходы на перевозки'!$A$1:$AG$2231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8" i="5" l="1"/>
  <c r="F3" i="3"/>
  <c r="J32" i="5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N5" i="7"/>
  <c r="J5" i="7"/>
  <c r="D5" i="7"/>
  <c r="D4" i="7"/>
  <c r="N3" i="7"/>
  <c r="M3" i="7"/>
  <c r="M5" i="7" s="1"/>
  <c r="L3" i="7"/>
  <c r="L5" i="7" s="1"/>
  <c r="K3" i="7"/>
  <c r="K5" i="7" s="1"/>
  <c r="J3" i="7"/>
  <c r="I3" i="7"/>
  <c r="I5" i="7" s="1"/>
  <c r="H3" i="7"/>
  <c r="C3" i="3" s="1"/>
  <c r="D3" i="7"/>
  <c r="D2" i="7"/>
  <c r="V2231" i="4"/>
  <c r="V2230" i="4"/>
  <c r="V2229" i="4"/>
  <c r="V2228" i="4"/>
  <c r="V2227" i="4"/>
  <c r="V2226" i="4"/>
  <c r="V2225" i="4"/>
  <c r="V2224" i="4"/>
  <c r="V2223" i="4"/>
  <c r="V2222" i="4"/>
  <c r="V2221" i="4"/>
  <c r="V2220" i="4"/>
  <c r="V2219" i="4"/>
  <c r="V2218" i="4"/>
  <c r="V2217" i="4"/>
  <c r="V2216" i="4"/>
  <c r="V2215" i="4"/>
  <c r="V2214" i="4"/>
  <c r="V2213" i="4"/>
  <c r="V2212" i="4"/>
  <c r="V2211" i="4"/>
  <c r="V2210" i="4"/>
  <c r="V2209" i="4"/>
  <c r="V2208" i="4"/>
  <c r="V2207" i="4"/>
  <c r="V2206" i="4"/>
  <c r="V2205" i="4"/>
  <c r="V2204" i="4"/>
  <c r="V2203" i="4"/>
  <c r="V2202" i="4"/>
  <c r="V2201" i="4"/>
  <c r="V2200" i="4"/>
  <c r="V2199" i="4"/>
  <c r="V2198" i="4"/>
  <c r="V2197" i="4"/>
  <c r="V2196" i="4"/>
  <c r="V2195" i="4"/>
  <c r="V2194" i="4"/>
  <c r="V2193" i="4"/>
  <c r="V2192" i="4"/>
  <c r="V2191" i="4"/>
  <c r="V2190" i="4"/>
  <c r="V2189" i="4"/>
  <c r="V2188" i="4"/>
  <c r="V2187" i="4"/>
  <c r="V2186" i="4"/>
  <c r="V2185" i="4"/>
  <c r="V2184" i="4"/>
  <c r="V2183" i="4"/>
  <c r="V2182" i="4"/>
  <c r="V2181" i="4"/>
  <c r="V2180" i="4"/>
  <c r="V2179" i="4"/>
  <c r="V2178" i="4"/>
  <c r="V2177" i="4"/>
  <c r="V2176" i="4"/>
  <c r="V2175" i="4"/>
  <c r="V2174" i="4"/>
  <c r="V2173" i="4"/>
  <c r="V2172" i="4"/>
  <c r="V2171" i="4"/>
  <c r="V2170" i="4"/>
  <c r="V2169" i="4"/>
  <c r="V2168" i="4"/>
  <c r="V2167" i="4"/>
  <c r="V2166" i="4"/>
  <c r="V2165" i="4"/>
  <c r="V2164" i="4"/>
  <c r="V2163" i="4"/>
  <c r="V2162" i="4"/>
  <c r="V2161" i="4"/>
  <c r="V2160" i="4"/>
  <c r="V2159" i="4"/>
  <c r="V2158" i="4"/>
  <c r="V2157" i="4"/>
  <c r="V2156" i="4"/>
  <c r="V2155" i="4"/>
  <c r="V2154" i="4"/>
  <c r="V2153" i="4"/>
  <c r="V2152" i="4"/>
  <c r="V2151" i="4"/>
  <c r="V2150" i="4"/>
  <c r="V2149" i="4"/>
  <c r="V2148" i="4"/>
  <c r="V2147" i="4"/>
  <c r="V2146" i="4"/>
  <c r="V2145" i="4"/>
  <c r="V2144" i="4"/>
  <c r="V2143" i="4"/>
  <c r="V2142" i="4"/>
  <c r="V2141" i="4"/>
  <c r="V2140" i="4"/>
  <c r="V2139" i="4"/>
  <c r="V2138" i="4"/>
  <c r="V2137" i="4"/>
  <c r="V2136" i="4"/>
  <c r="V2135" i="4"/>
  <c r="V2134" i="4"/>
  <c r="V2133" i="4"/>
  <c r="V2132" i="4"/>
  <c r="V2131" i="4"/>
  <c r="V2130" i="4"/>
  <c r="V2129" i="4"/>
  <c r="V2128" i="4"/>
  <c r="V2127" i="4"/>
  <c r="V2126" i="4"/>
  <c r="V2125" i="4"/>
  <c r="V2124" i="4"/>
  <c r="V2123" i="4"/>
  <c r="V2122" i="4"/>
  <c r="V2121" i="4"/>
  <c r="V2120" i="4"/>
  <c r="V2119" i="4"/>
  <c r="V2118" i="4"/>
  <c r="V2117" i="4"/>
  <c r="V2116" i="4"/>
  <c r="V2115" i="4"/>
  <c r="V2114" i="4"/>
  <c r="V2113" i="4"/>
  <c r="V2112" i="4"/>
  <c r="V2111" i="4"/>
  <c r="V2110" i="4"/>
  <c r="V2109" i="4"/>
  <c r="V2108" i="4"/>
  <c r="V2107" i="4"/>
  <c r="V2106" i="4"/>
  <c r="V2105" i="4"/>
  <c r="V2104" i="4"/>
  <c r="V2103" i="4"/>
  <c r="V2102" i="4"/>
  <c r="V2101" i="4"/>
  <c r="V2100" i="4"/>
  <c r="V2099" i="4"/>
  <c r="V2098" i="4"/>
  <c r="V2097" i="4"/>
  <c r="V2096" i="4"/>
  <c r="V2095" i="4"/>
  <c r="V2094" i="4"/>
  <c r="V2093" i="4"/>
  <c r="V2092" i="4"/>
  <c r="V2091" i="4"/>
  <c r="V2090" i="4"/>
  <c r="V2089" i="4"/>
  <c r="V2088" i="4"/>
  <c r="V2087" i="4"/>
  <c r="V2086" i="4"/>
  <c r="V2085" i="4"/>
  <c r="V2084" i="4"/>
  <c r="V2083" i="4"/>
  <c r="V2082" i="4"/>
  <c r="V2081" i="4"/>
  <c r="V2080" i="4"/>
  <c r="V2079" i="4"/>
  <c r="V2078" i="4"/>
  <c r="V2077" i="4"/>
  <c r="V2076" i="4"/>
  <c r="V2075" i="4"/>
  <c r="V2074" i="4"/>
  <c r="V2073" i="4"/>
  <c r="V2072" i="4"/>
  <c r="V2071" i="4"/>
  <c r="V2070" i="4"/>
  <c r="V2069" i="4"/>
  <c r="V2068" i="4"/>
  <c r="V2067" i="4"/>
  <c r="V2066" i="4"/>
  <c r="V2065" i="4"/>
  <c r="V2064" i="4"/>
  <c r="V2063" i="4"/>
  <c r="V2062" i="4"/>
  <c r="V2061" i="4"/>
  <c r="V2060" i="4"/>
  <c r="V2059" i="4"/>
  <c r="V2058" i="4"/>
  <c r="V2057" i="4"/>
  <c r="V2056" i="4"/>
  <c r="V2055" i="4"/>
  <c r="V2054" i="4"/>
  <c r="V2053" i="4"/>
  <c r="V2052" i="4"/>
  <c r="V2051" i="4"/>
  <c r="V2050" i="4"/>
  <c r="V2049" i="4"/>
  <c r="V2048" i="4"/>
  <c r="V2047" i="4"/>
  <c r="V2046" i="4"/>
  <c r="V2045" i="4"/>
  <c r="V2044" i="4"/>
  <c r="V2043" i="4"/>
  <c r="V2042" i="4"/>
  <c r="V2041" i="4"/>
  <c r="V2040" i="4"/>
  <c r="V2039" i="4"/>
  <c r="V2038" i="4"/>
  <c r="V2037" i="4"/>
  <c r="V2036" i="4"/>
  <c r="V2035" i="4"/>
  <c r="V2034" i="4"/>
  <c r="V2033" i="4"/>
  <c r="V2032" i="4"/>
  <c r="V2031" i="4"/>
  <c r="V2030" i="4"/>
  <c r="V2029" i="4"/>
  <c r="V2028" i="4"/>
  <c r="V2027" i="4"/>
  <c r="V2026" i="4"/>
  <c r="V2025" i="4"/>
  <c r="V2024" i="4"/>
  <c r="V2023" i="4"/>
  <c r="V2022" i="4"/>
  <c r="V2021" i="4"/>
  <c r="V2020" i="4"/>
  <c r="V2019" i="4"/>
  <c r="V2018" i="4"/>
  <c r="V2017" i="4"/>
  <c r="V2016" i="4"/>
  <c r="V2015" i="4"/>
  <c r="V2014" i="4"/>
  <c r="V2013" i="4"/>
  <c r="V2012" i="4"/>
  <c r="V2011" i="4"/>
  <c r="V2010" i="4"/>
  <c r="V2009" i="4"/>
  <c r="V2008" i="4"/>
  <c r="V2007" i="4"/>
  <c r="V2006" i="4"/>
  <c r="V2005" i="4"/>
  <c r="V2004" i="4"/>
  <c r="V2003" i="4"/>
  <c r="V2002" i="4"/>
  <c r="V2001" i="4"/>
  <c r="V2000" i="4"/>
  <c r="V1999" i="4"/>
  <c r="V1998" i="4"/>
  <c r="V1997" i="4"/>
  <c r="V1996" i="4"/>
  <c r="V1995" i="4"/>
  <c r="V1994" i="4"/>
  <c r="V1993" i="4"/>
  <c r="V1992" i="4"/>
  <c r="V1991" i="4"/>
  <c r="V1990" i="4"/>
  <c r="V1989" i="4"/>
  <c r="V1988" i="4"/>
  <c r="V1987" i="4"/>
  <c r="V1986" i="4"/>
  <c r="V1985" i="4"/>
  <c r="V1984" i="4"/>
  <c r="V1983" i="4"/>
  <c r="V1982" i="4"/>
  <c r="V1981" i="4"/>
  <c r="V1980" i="4"/>
  <c r="V1979" i="4"/>
  <c r="V1978" i="4"/>
  <c r="V1977" i="4"/>
  <c r="V1976" i="4"/>
  <c r="V1975" i="4"/>
  <c r="V1974" i="4"/>
  <c r="V1973" i="4"/>
  <c r="V1972" i="4"/>
  <c r="V1971" i="4"/>
  <c r="V1970" i="4"/>
  <c r="V1969" i="4"/>
  <c r="V1968" i="4"/>
  <c r="V1967" i="4"/>
  <c r="V1966" i="4"/>
  <c r="V1965" i="4"/>
  <c r="Y1" i="4" s="1"/>
  <c r="A6" i="3" s="1"/>
  <c r="V1964" i="4"/>
  <c r="V1963" i="4"/>
  <c r="V1962" i="4"/>
  <c r="W1961" i="4"/>
  <c r="V1961" i="4"/>
  <c r="W1960" i="4"/>
  <c r="V1960" i="4"/>
  <c r="W1959" i="4"/>
  <c r="V1959" i="4"/>
  <c r="W1958" i="4"/>
  <c r="V1958" i="4"/>
  <c r="W1957" i="4"/>
  <c r="V1957" i="4"/>
  <c r="W1956" i="4"/>
  <c r="V1956" i="4"/>
  <c r="W1955" i="4"/>
  <c r="V1955" i="4"/>
  <c r="W1954" i="4"/>
  <c r="V1954" i="4"/>
  <c r="W1953" i="4"/>
  <c r="V1953" i="4"/>
  <c r="W1952" i="4"/>
  <c r="V1952" i="4"/>
  <c r="W1951" i="4"/>
  <c r="V1951" i="4"/>
  <c r="W1950" i="4"/>
  <c r="V1950" i="4"/>
  <c r="W1949" i="4"/>
  <c r="V1949" i="4"/>
  <c r="W1948" i="4"/>
  <c r="V1948" i="4"/>
  <c r="W1947" i="4"/>
  <c r="V1947" i="4"/>
  <c r="W1946" i="4"/>
  <c r="V1946" i="4"/>
  <c r="W1945" i="4"/>
  <c r="V1945" i="4"/>
  <c r="W1944" i="4"/>
  <c r="V1944" i="4"/>
  <c r="W1943" i="4"/>
  <c r="V1943" i="4"/>
  <c r="W1942" i="4"/>
  <c r="V1942" i="4"/>
  <c r="W1941" i="4"/>
  <c r="V1941" i="4"/>
  <c r="W1940" i="4"/>
  <c r="V1940" i="4"/>
  <c r="W1939" i="4"/>
  <c r="V1939" i="4"/>
  <c r="W1938" i="4"/>
  <c r="V1938" i="4"/>
  <c r="W1937" i="4"/>
  <c r="V1937" i="4"/>
  <c r="W1936" i="4"/>
  <c r="V1936" i="4"/>
  <c r="W1935" i="4"/>
  <c r="V1935" i="4"/>
  <c r="W1934" i="4"/>
  <c r="V1934" i="4"/>
  <c r="W1933" i="4"/>
  <c r="V1933" i="4"/>
  <c r="W1932" i="4"/>
  <c r="V1932" i="4"/>
  <c r="W1931" i="4"/>
  <c r="V1931" i="4"/>
  <c r="W1930" i="4"/>
  <c r="V1930" i="4"/>
  <c r="W1929" i="4"/>
  <c r="V1929" i="4"/>
  <c r="W1928" i="4"/>
  <c r="V1928" i="4"/>
  <c r="W1927" i="4"/>
  <c r="V1927" i="4"/>
  <c r="W1926" i="4"/>
  <c r="V1926" i="4"/>
  <c r="W1925" i="4"/>
  <c r="V1925" i="4"/>
  <c r="W1924" i="4"/>
  <c r="V1924" i="4"/>
  <c r="W1923" i="4"/>
  <c r="V1923" i="4"/>
  <c r="W1922" i="4"/>
  <c r="V1922" i="4"/>
  <c r="W1921" i="4"/>
  <c r="V1921" i="4"/>
  <c r="W1920" i="4"/>
  <c r="V1920" i="4"/>
  <c r="W1919" i="4"/>
  <c r="V1919" i="4"/>
  <c r="W1918" i="4"/>
  <c r="V1918" i="4"/>
  <c r="W1917" i="4"/>
  <c r="V1917" i="4"/>
  <c r="W1916" i="4"/>
  <c r="V1916" i="4"/>
  <c r="W1915" i="4"/>
  <c r="V1915" i="4"/>
  <c r="W1914" i="4"/>
  <c r="V1914" i="4"/>
  <c r="W1913" i="4"/>
  <c r="V1913" i="4"/>
  <c r="W1912" i="4"/>
  <c r="V1912" i="4"/>
  <c r="W1911" i="4"/>
  <c r="V1911" i="4"/>
  <c r="W1910" i="4"/>
  <c r="V1910" i="4"/>
  <c r="W1909" i="4"/>
  <c r="V1909" i="4"/>
  <c r="W1908" i="4"/>
  <c r="V1908" i="4"/>
  <c r="W1907" i="4"/>
  <c r="V1907" i="4"/>
  <c r="W1906" i="4"/>
  <c r="V1906" i="4"/>
  <c r="W1905" i="4"/>
  <c r="V1905" i="4"/>
  <c r="W1904" i="4"/>
  <c r="V1904" i="4"/>
  <c r="W1903" i="4"/>
  <c r="V1903" i="4"/>
  <c r="W1902" i="4"/>
  <c r="V1902" i="4"/>
  <c r="W1901" i="4"/>
  <c r="V1901" i="4"/>
  <c r="W1900" i="4"/>
  <c r="V1900" i="4"/>
  <c r="W1899" i="4"/>
  <c r="V1899" i="4"/>
  <c r="W1898" i="4"/>
  <c r="V1898" i="4"/>
  <c r="W1897" i="4"/>
  <c r="V1897" i="4"/>
  <c r="W1896" i="4"/>
  <c r="V1896" i="4"/>
  <c r="W1895" i="4"/>
  <c r="V1895" i="4"/>
  <c r="W1894" i="4"/>
  <c r="V1894" i="4"/>
  <c r="W1893" i="4"/>
  <c r="V1893" i="4"/>
  <c r="W1892" i="4"/>
  <c r="V1892" i="4"/>
  <c r="W1891" i="4"/>
  <c r="V1891" i="4"/>
  <c r="W1890" i="4"/>
  <c r="V1890" i="4"/>
  <c r="W1889" i="4"/>
  <c r="V1889" i="4"/>
  <c r="W1888" i="4"/>
  <c r="V1888" i="4"/>
  <c r="W1887" i="4"/>
  <c r="V1887" i="4"/>
  <c r="W1886" i="4"/>
  <c r="V1886" i="4"/>
  <c r="W1885" i="4"/>
  <c r="V1885" i="4"/>
  <c r="W1884" i="4"/>
  <c r="V1884" i="4"/>
  <c r="W1883" i="4"/>
  <c r="V1883" i="4"/>
  <c r="W1882" i="4"/>
  <c r="V1882" i="4"/>
  <c r="W1881" i="4"/>
  <c r="V1881" i="4"/>
  <c r="W1880" i="4"/>
  <c r="V1880" i="4"/>
  <c r="W1879" i="4"/>
  <c r="V1879" i="4"/>
  <c r="W1878" i="4"/>
  <c r="V1878" i="4"/>
  <c r="W1877" i="4"/>
  <c r="V1877" i="4"/>
  <c r="W1876" i="4"/>
  <c r="V1876" i="4"/>
  <c r="W1875" i="4"/>
  <c r="V1875" i="4"/>
  <c r="W1874" i="4"/>
  <c r="V1874" i="4"/>
  <c r="W1873" i="4"/>
  <c r="V1873" i="4"/>
  <c r="W1872" i="4"/>
  <c r="V1872" i="4"/>
  <c r="W1871" i="4"/>
  <c r="V1871" i="4"/>
  <c r="W1870" i="4"/>
  <c r="V1870" i="4"/>
  <c r="W1869" i="4"/>
  <c r="V1869" i="4"/>
  <c r="W1868" i="4"/>
  <c r="V1868" i="4"/>
  <c r="W1867" i="4"/>
  <c r="V1867" i="4"/>
  <c r="W1866" i="4"/>
  <c r="V1866" i="4"/>
  <c r="W1865" i="4"/>
  <c r="V1865" i="4"/>
  <c r="W1864" i="4"/>
  <c r="V1864" i="4"/>
  <c r="W1863" i="4"/>
  <c r="V1863" i="4"/>
  <c r="W1862" i="4"/>
  <c r="V1862" i="4"/>
  <c r="W1861" i="4"/>
  <c r="V1861" i="4"/>
  <c r="W1860" i="4"/>
  <c r="V1860" i="4"/>
  <c r="W1859" i="4"/>
  <c r="V1859" i="4"/>
  <c r="W1858" i="4"/>
  <c r="V1858" i="4"/>
  <c r="W1857" i="4"/>
  <c r="V1857" i="4"/>
  <c r="W1856" i="4"/>
  <c r="V1856" i="4"/>
  <c r="W1855" i="4"/>
  <c r="V1855" i="4"/>
  <c r="W1854" i="4"/>
  <c r="V1854" i="4"/>
  <c r="W1853" i="4"/>
  <c r="V1853" i="4"/>
  <c r="W1852" i="4"/>
  <c r="V1852" i="4"/>
  <c r="W1851" i="4"/>
  <c r="V1851" i="4"/>
  <c r="W1850" i="4"/>
  <c r="V1850" i="4"/>
  <c r="W1849" i="4"/>
  <c r="V1849" i="4"/>
  <c r="W1848" i="4"/>
  <c r="V1848" i="4"/>
  <c r="W1847" i="4"/>
  <c r="V1847" i="4"/>
  <c r="W1846" i="4"/>
  <c r="V1846" i="4"/>
  <c r="W1845" i="4"/>
  <c r="V1845" i="4"/>
  <c r="W1844" i="4"/>
  <c r="V1844" i="4"/>
  <c r="W1843" i="4"/>
  <c r="V1843" i="4"/>
  <c r="W1842" i="4"/>
  <c r="V1842" i="4"/>
  <c r="W1841" i="4"/>
  <c r="V1841" i="4"/>
  <c r="W1840" i="4"/>
  <c r="V1840" i="4"/>
  <c r="W1839" i="4"/>
  <c r="V1839" i="4"/>
  <c r="W1838" i="4"/>
  <c r="V1838" i="4"/>
  <c r="W1837" i="4"/>
  <c r="V1837" i="4"/>
  <c r="W1836" i="4"/>
  <c r="V1836" i="4"/>
  <c r="W1835" i="4"/>
  <c r="V1835" i="4"/>
  <c r="W1834" i="4"/>
  <c r="V1834" i="4"/>
  <c r="W1833" i="4"/>
  <c r="V1833" i="4"/>
  <c r="W1832" i="4"/>
  <c r="V1832" i="4"/>
  <c r="W1831" i="4"/>
  <c r="V1831" i="4"/>
  <c r="W1830" i="4"/>
  <c r="V1830" i="4"/>
  <c r="W1829" i="4"/>
  <c r="V1829" i="4"/>
  <c r="W1828" i="4"/>
  <c r="V1828" i="4"/>
  <c r="W1827" i="4"/>
  <c r="V1827" i="4"/>
  <c r="W1826" i="4"/>
  <c r="V1826" i="4"/>
  <c r="W1825" i="4"/>
  <c r="V1825" i="4"/>
  <c r="W1824" i="4"/>
  <c r="V1824" i="4"/>
  <c r="W1823" i="4"/>
  <c r="V1823" i="4"/>
  <c r="W1822" i="4"/>
  <c r="V1822" i="4"/>
  <c r="W1821" i="4"/>
  <c r="V1821" i="4"/>
  <c r="W1820" i="4"/>
  <c r="V1820" i="4"/>
  <c r="W1819" i="4"/>
  <c r="V1819" i="4"/>
  <c r="W1818" i="4"/>
  <c r="V1818" i="4"/>
  <c r="W1817" i="4"/>
  <c r="V1817" i="4"/>
  <c r="W1816" i="4"/>
  <c r="V1816" i="4"/>
  <c r="W1815" i="4"/>
  <c r="V1815" i="4"/>
  <c r="W1814" i="4"/>
  <c r="V1814" i="4"/>
  <c r="W1813" i="4"/>
  <c r="V1813" i="4"/>
  <c r="W1812" i="4"/>
  <c r="V1812" i="4"/>
  <c r="W1811" i="4"/>
  <c r="V1811" i="4"/>
  <c r="W1810" i="4"/>
  <c r="V1810" i="4"/>
  <c r="W1809" i="4"/>
  <c r="V1809" i="4"/>
  <c r="W1808" i="4"/>
  <c r="V1808" i="4"/>
  <c r="W1807" i="4"/>
  <c r="V1807" i="4"/>
  <c r="W1806" i="4"/>
  <c r="V1806" i="4"/>
  <c r="W1805" i="4"/>
  <c r="V1805" i="4"/>
  <c r="W1804" i="4"/>
  <c r="V1804" i="4"/>
  <c r="W1803" i="4"/>
  <c r="V1803" i="4"/>
  <c r="W1802" i="4"/>
  <c r="V1802" i="4"/>
  <c r="W1801" i="4"/>
  <c r="V1801" i="4"/>
  <c r="W1800" i="4"/>
  <c r="V1800" i="4"/>
  <c r="W1799" i="4"/>
  <c r="V1799" i="4"/>
  <c r="W1798" i="4"/>
  <c r="V1798" i="4"/>
  <c r="W1797" i="4"/>
  <c r="V1797" i="4"/>
  <c r="W1796" i="4"/>
  <c r="V1796" i="4"/>
  <c r="W1795" i="4"/>
  <c r="V1795" i="4"/>
  <c r="W1794" i="4"/>
  <c r="V1794" i="4"/>
  <c r="W1793" i="4"/>
  <c r="V1793" i="4"/>
  <c r="W1792" i="4"/>
  <c r="V1792" i="4"/>
  <c r="W1791" i="4"/>
  <c r="V1791" i="4"/>
  <c r="W1790" i="4"/>
  <c r="V1790" i="4"/>
  <c r="W1789" i="4"/>
  <c r="V1789" i="4"/>
  <c r="W1788" i="4"/>
  <c r="V1788" i="4"/>
  <c r="W1787" i="4"/>
  <c r="V1787" i="4"/>
  <c r="W1786" i="4"/>
  <c r="V1786" i="4"/>
  <c r="W1785" i="4"/>
  <c r="V1785" i="4"/>
  <c r="W1784" i="4"/>
  <c r="V1784" i="4"/>
  <c r="W1783" i="4"/>
  <c r="V1783" i="4"/>
  <c r="W1782" i="4"/>
  <c r="V1782" i="4"/>
  <c r="W1781" i="4"/>
  <c r="V1781" i="4"/>
  <c r="W1780" i="4"/>
  <c r="V1780" i="4"/>
  <c r="W1779" i="4"/>
  <c r="V1779" i="4"/>
  <c r="W1778" i="4"/>
  <c r="V1778" i="4"/>
  <c r="W1777" i="4"/>
  <c r="V1777" i="4"/>
  <c r="W1776" i="4"/>
  <c r="V1776" i="4"/>
  <c r="W1775" i="4"/>
  <c r="V1775" i="4"/>
  <c r="W1774" i="4"/>
  <c r="V1774" i="4"/>
  <c r="W1773" i="4"/>
  <c r="V1773" i="4"/>
  <c r="W1772" i="4"/>
  <c r="V1772" i="4"/>
  <c r="W1771" i="4"/>
  <c r="V1771" i="4"/>
  <c r="W1770" i="4"/>
  <c r="V1770" i="4"/>
  <c r="W1769" i="4"/>
  <c r="V1769" i="4"/>
  <c r="W1768" i="4"/>
  <c r="V1768" i="4"/>
  <c r="W1767" i="4"/>
  <c r="V1767" i="4"/>
  <c r="W1766" i="4"/>
  <c r="V1766" i="4"/>
  <c r="W1765" i="4"/>
  <c r="V1765" i="4"/>
  <c r="W1764" i="4"/>
  <c r="V1764" i="4"/>
  <c r="W1763" i="4"/>
  <c r="V1763" i="4"/>
  <c r="W1762" i="4"/>
  <c r="V1762" i="4"/>
  <c r="W1761" i="4"/>
  <c r="V1761" i="4"/>
  <c r="W1760" i="4"/>
  <c r="V1760" i="4"/>
  <c r="W1759" i="4"/>
  <c r="V1759" i="4"/>
  <c r="W1758" i="4"/>
  <c r="V1758" i="4"/>
  <c r="W1757" i="4"/>
  <c r="V1757" i="4"/>
  <c r="W1756" i="4"/>
  <c r="V1756" i="4"/>
  <c r="W1755" i="4"/>
  <c r="V1755" i="4"/>
  <c r="W1754" i="4"/>
  <c r="V1754" i="4"/>
  <c r="W1753" i="4"/>
  <c r="V1753" i="4"/>
  <c r="W1752" i="4"/>
  <c r="V1752" i="4"/>
  <c r="W1751" i="4"/>
  <c r="V1751" i="4"/>
  <c r="W1750" i="4"/>
  <c r="V1750" i="4"/>
  <c r="W1749" i="4"/>
  <c r="V1749" i="4"/>
  <c r="W1748" i="4"/>
  <c r="V1748" i="4"/>
  <c r="W1747" i="4"/>
  <c r="V1747" i="4"/>
  <c r="W1746" i="4"/>
  <c r="V1746" i="4"/>
  <c r="W1745" i="4"/>
  <c r="V1745" i="4"/>
  <c r="W1744" i="4"/>
  <c r="V1744" i="4"/>
  <c r="W1743" i="4"/>
  <c r="V1743" i="4"/>
  <c r="W1742" i="4"/>
  <c r="V1742" i="4"/>
  <c r="W1741" i="4"/>
  <c r="V1741" i="4"/>
  <c r="W1740" i="4"/>
  <c r="V1740" i="4"/>
  <c r="W1739" i="4"/>
  <c r="V1739" i="4"/>
  <c r="W1738" i="4"/>
  <c r="V1738" i="4"/>
  <c r="W1737" i="4"/>
  <c r="V1737" i="4"/>
  <c r="W1736" i="4"/>
  <c r="V1736" i="4"/>
  <c r="W1735" i="4"/>
  <c r="V1735" i="4"/>
  <c r="W1734" i="4"/>
  <c r="V1734" i="4"/>
  <c r="W1733" i="4"/>
  <c r="V1733" i="4"/>
  <c r="W1732" i="4"/>
  <c r="V1732" i="4"/>
  <c r="W1731" i="4"/>
  <c r="V1731" i="4"/>
  <c r="W1730" i="4"/>
  <c r="V1730" i="4"/>
  <c r="W1729" i="4"/>
  <c r="V1729" i="4"/>
  <c r="W1728" i="4"/>
  <c r="V1728" i="4"/>
  <c r="W1727" i="4"/>
  <c r="V1727" i="4"/>
  <c r="W1726" i="4"/>
  <c r="V1726" i="4"/>
  <c r="W1725" i="4"/>
  <c r="V1725" i="4"/>
  <c r="W1724" i="4"/>
  <c r="V1724" i="4"/>
  <c r="W1723" i="4"/>
  <c r="V1723" i="4"/>
  <c r="W1722" i="4"/>
  <c r="V1722" i="4"/>
  <c r="W1721" i="4"/>
  <c r="V1721" i="4"/>
  <c r="W1720" i="4"/>
  <c r="V1720" i="4"/>
  <c r="W1719" i="4"/>
  <c r="V1719" i="4"/>
  <c r="W1718" i="4"/>
  <c r="V1718" i="4"/>
  <c r="W1717" i="4"/>
  <c r="V1717" i="4"/>
  <c r="W1716" i="4"/>
  <c r="V1716" i="4"/>
  <c r="W1715" i="4"/>
  <c r="V1715" i="4"/>
  <c r="W1714" i="4"/>
  <c r="V1714" i="4"/>
  <c r="W1713" i="4"/>
  <c r="V1713" i="4"/>
  <c r="W1712" i="4"/>
  <c r="V1712" i="4"/>
  <c r="W1711" i="4"/>
  <c r="V1711" i="4"/>
  <c r="W1710" i="4"/>
  <c r="V1710" i="4"/>
  <c r="W1709" i="4"/>
  <c r="V1709" i="4"/>
  <c r="W1708" i="4"/>
  <c r="V1708" i="4"/>
  <c r="W1707" i="4"/>
  <c r="V1707" i="4"/>
  <c r="W1706" i="4"/>
  <c r="V1706" i="4"/>
  <c r="W1705" i="4"/>
  <c r="V1705" i="4"/>
  <c r="W1704" i="4"/>
  <c r="V1704" i="4"/>
  <c r="W1703" i="4"/>
  <c r="V1703" i="4"/>
  <c r="W1702" i="4"/>
  <c r="V1702" i="4"/>
  <c r="W1701" i="4"/>
  <c r="V1701" i="4"/>
  <c r="W1700" i="4"/>
  <c r="V1700" i="4"/>
  <c r="W1699" i="4"/>
  <c r="V1699" i="4"/>
  <c r="W1698" i="4"/>
  <c r="V1698" i="4"/>
  <c r="W1697" i="4"/>
  <c r="V1697" i="4"/>
  <c r="W1696" i="4"/>
  <c r="V1696" i="4"/>
  <c r="W1695" i="4"/>
  <c r="V1695" i="4"/>
  <c r="W1694" i="4"/>
  <c r="V1694" i="4"/>
  <c r="W1693" i="4"/>
  <c r="V1693" i="4"/>
  <c r="W1692" i="4"/>
  <c r="V1692" i="4"/>
  <c r="W1691" i="4"/>
  <c r="V1691" i="4"/>
  <c r="W1690" i="4"/>
  <c r="V1690" i="4"/>
  <c r="W1689" i="4"/>
  <c r="V1689" i="4"/>
  <c r="W1688" i="4"/>
  <c r="V1688" i="4"/>
  <c r="W1687" i="4"/>
  <c r="V1687" i="4"/>
  <c r="W1686" i="4"/>
  <c r="V1686" i="4"/>
  <c r="W1685" i="4"/>
  <c r="V1685" i="4"/>
  <c r="W1684" i="4"/>
  <c r="V1684" i="4"/>
  <c r="W1683" i="4"/>
  <c r="V1683" i="4"/>
  <c r="W1682" i="4"/>
  <c r="V1682" i="4"/>
  <c r="W1681" i="4"/>
  <c r="V1681" i="4"/>
  <c r="W1680" i="4"/>
  <c r="V1680" i="4"/>
  <c r="W1679" i="4"/>
  <c r="V1679" i="4"/>
  <c r="W1678" i="4"/>
  <c r="V1678" i="4"/>
  <c r="W1677" i="4"/>
  <c r="V1677" i="4"/>
  <c r="W1676" i="4"/>
  <c r="V1676" i="4"/>
  <c r="W1675" i="4"/>
  <c r="V1675" i="4"/>
  <c r="W1674" i="4"/>
  <c r="V1674" i="4"/>
  <c r="W1673" i="4"/>
  <c r="V1673" i="4"/>
  <c r="W1672" i="4"/>
  <c r="V1672" i="4"/>
  <c r="W1671" i="4"/>
  <c r="V1671" i="4"/>
  <c r="W1670" i="4"/>
  <c r="V1670" i="4"/>
  <c r="W1669" i="4"/>
  <c r="V1669" i="4"/>
  <c r="W1668" i="4"/>
  <c r="V1668" i="4"/>
  <c r="W1667" i="4"/>
  <c r="V1667" i="4"/>
  <c r="W1666" i="4"/>
  <c r="V1666" i="4"/>
  <c r="W1665" i="4"/>
  <c r="V1665" i="4"/>
  <c r="W1664" i="4"/>
  <c r="V1664" i="4"/>
  <c r="W1663" i="4"/>
  <c r="V1663" i="4"/>
  <c r="W1662" i="4"/>
  <c r="V1662" i="4"/>
  <c r="W1661" i="4"/>
  <c r="V1661" i="4"/>
  <c r="W1660" i="4"/>
  <c r="V1660" i="4"/>
  <c r="W1659" i="4"/>
  <c r="V1659" i="4"/>
  <c r="W1658" i="4"/>
  <c r="V1658" i="4"/>
  <c r="W1657" i="4"/>
  <c r="V1657" i="4"/>
  <c r="W1656" i="4"/>
  <c r="V1656" i="4"/>
  <c r="W1655" i="4"/>
  <c r="V1655" i="4"/>
  <c r="W1654" i="4"/>
  <c r="V1654" i="4"/>
  <c r="W1653" i="4"/>
  <c r="V1653" i="4"/>
  <c r="W1652" i="4"/>
  <c r="V1652" i="4"/>
  <c r="W1651" i="4"/>
  <c r="V1651" i="4"/>
  <c r="W1650" i="4"/>
  <c r="V1650" i="4"/>
  <c r="W1649" i="4"/>
  <c r="V1649" i="4"/>
  <c r="W1648" i="4"/>
  <c r="V1648" i="4"/>
  <c r="W1647" i="4"/>
  <c r="V1647" i="4"/>
  <c r="W1646" i="4"/>
  <c r="V1646" i="4"/>
  <c r="W1645" i="4"/>
  <c r="V1645" i="4"/>
  <c r="W1644" i="4"/>
  <c r="V1644" i="4"/>
  <c r="W1643" i="4"/>
  <c r="V1643" i="4"/>
  <c r="W1642" i="4"/>
  <c r="V1642" i="4"/>
  <c r="W1641" i="4"/>
  <c r="V1641" i="4"/>
  <c r="W1640" i="4"/>
  <c r="V1640" i="4"/>
  <c r="W1639" i="4"/>
  <c r="V1639" i="4"/>
  <c r="W1638" i="4"/>
  <c r="V1638" i="4"/>
  <c r="W1637" i="4"/>
  <c r="V1637" i="4"/>
  <c r="W1636" i="4"/>
  <c r="V1636" i="4"/>
  <c r="W1635" i="4"/>
  <c r="V1635" i="4"/>
  <c r="W1634" i="4"/>
  <c r="V1634" i="4"/>
  <c r="W1633" i="4"/>
  <c r="V1633" i="4"/>
  <c r="W1632" i="4"/>
  <c r="V1632" i="4"/>
  <c r="W1631" i="4"/>
  <c r="V1631" i="4"/>
  <c r="W1630" i="4"/>
  <c r="V1630" i="4"/>
  <c r="W1629" i="4"/>
  <c r="V1629" i="4"/>
  <c r="W1628" i="4"/>
  <c r="V1628" i="4"/>
  <c r="W1627" i="4"/>
  <c r="V1627" i="4"/>
  <c r="W1626" i="4"/>
  <c r="V1626" i="4"/>
  <c r="W1625" i="4"/>
  <c r="V1625" i="4"/>
  <c r="W1624" i="4"/>
  <c r="V1624" i="4"/>
  <c r="W1623" i="4"/>
  <c r="V1623" i="4"/>
  <c r="W1622" i="4"/>
  <c r="V1622" i="4"/>
  <c r="W1621" i="4"/>
  <c r="V1621" i="4"/>
  <c r="W1620" i="4"/>
  <c r="V1620" i="4"/>
  <c r="W1619" i="4"/>
  <c r="V1619" i="4"/>
  <c r="W1618" i="4"/>
  <c r="V1618" i="4"/>
  <c r="W1617" i="4"/>
  <c r="V1617" i="4"/>
  <c r="W1616" i="4"/>
  <c r="V1616" i="4"/>
  <c r="W1615" i="4"/>
  <c r="V1615" i="4"/>
  <c r="W1614" i="4"/>
  <c r="V1614" i="4"/>
  <c r="W1613" i="4"/>
  <c r="V1613" i="4"/>
  <c r="W1612" i="4"/>
  <c r="V1612" i="4"/>
  <c r="W1611" i="4"/>
  <c r="V1611" i="4"/>
  <c r="W1610" i="4"/>
  <c r="V1610" i="4"/>
  <c r="W1609" i="4"/>
  <c r="V1609" i="4"/>
  <c r="W1608" i="4"/>
  <c r="V1608" i="4"/>
  <c r="W1607" i="4"/>
  <c r="V1607" i="4"/>
  <c r="W1606" i="4"/>
  <c r="V1606" i="4"/>
  <c r="W1605" i="4"/>
  <c r="V1605" i="4"/>
  <c r="W1604" i="4"/>
  <c r="V1604" i="4"/>
  <c r="W1603" i="4"/>
  <c r="V1603" i="4"/>
  <c r="W1602" i="4"/>
  <c r="V1602" i="4"/>
  <c r="W1601" i="4"/>
  <c r="V1601" i="4"/>
  <c r="W1600" i="4"/>
  <c r="V1600" i="4"/>
  <c r="W1599" i="4"/>
  <c r="V1599" i="4"/>
  <c r="W1598" i="4"/>
  <c r="V1598" i="4"/>
  <c r="W1597" i="4"/>
  <c r="V1597" i="4"/>
  <c r="W1596" i="4"/>
  <c r="V1596" i="4"/>
  <c r="W1595" i="4"/>
  <c r="V1595" i="4"/>
  <c r="W1594" i="4"/>
  <c r="V1594" i="4"/>
  <c r="W1593" i="4"/>
  <c r="V1593" i="4"/>
  <c r="W1592" i="4"/>
  <c r="V1592" i="4"/>
  <c r="W1591" i="4"/>
  <c r="V1591" i="4"/>
  <c r="W1590" i="4"/>
  <c r="V1590" i="4"/>
  <c r="W1589" i="4"/>
  <c r="V1589" i="4"/>
  <c r="W1588" i="4"/>
  <c r="V1588" i="4"/>
  <c r="W1587" i="4"/>
  <c r="V1587" i="4"/>
  <c r="W1586" i="4"/>
  <c r="V1586" i="4"/>
  <c r="W1585" i="4"/>
  <c r="V1585" i="4"/>
  <c r="W1584" i="4"/>
  <c r="V1584" i="4"/>
  <c r="W1583" i="4"/>
  <c r="V1583" i="4"/>
  <c r="W1582" i="4"/>
  <c r="V1582" i="4"/>
  <c r="W1581" i="4"/>
  <c r="V1581" i="4"/>
  <c r="W1580" i="4"/>
  <c r="V1580" i="4"/>
  <c r="W1579" i="4"/>
  <c r="V1579" i="4"/>
  <c r="W1578" i="4"/>
  <c r="V1578" i="4"/>
  <c r="W1577" i="4"/>
  <c r="V1577" i="4"/>
  <c r="W1576" i="4"/>
  <c r="V1576" i="4"/>
  <c r="W1575" i="4"/>
  <c r="V1575" i="4"/>
  <c r="W1574" i="4"/>
  <c r="V1574" i="4"/>
  <c r="W1573" i="4"/>
  <c r="V1573" i="4"/>
  <c r="W1572" i="4"/>
  <c r="V1572" i="4"/>
  <c r="W1571" i="4"/>
  <c r="V1571" i="4"/>
  <c r="W1570" i="4"/>
  <c r="V1570" i="4"/>
  <c r="W1569" i="4"/>
  <c r="V1569" i="4"/>
  <c r="W1568" i="4"/>
  <c r="V1568" i="4"/>
  <c r="W1567" i="4"/>
  <c r="V1567" i="4"/>
  <c r="W1566" i="4"/>
  <c r="V1566" i="4"/>
  <c r="W1565" i="4"/>
  <c r="V1565" i="4"/>
  <c r="W1564" i="4"/>
  <c r="V1564" i="4"/>
  <c r="W1563" i="4"/>
  <c r="V1563" i="4"/>
  <c r="W1562" i="4"/>
  <c r="V1562" i="4"/>
  <c r="W1561" i="4"/>
  <c r="V1561" i="4"/>
  <c r="W1560" i="4"/>
  <c r="V1560" i="4"/>
  <c r="W1559" i="4"/>
  <c r="V1559" i="4"/>
  <c r="W1558" i="4"/>
  <c r="V1558" i="4"/>
  <c r="W1557" i="4"/>
  <c r="V1557" i="4"/>
  <c r="W1556" i="4"/>
  <c r="V1556" i="4"/>
  <c r="W1555" i="4"/>
  <c r="V1555" i="4"/>
  <c r="W1554" i="4"/>
  <c r="V1554" i="4"/>
  <c r="W1553" i="4"/>
  <c r="V1553" i="4"/>
  <c r="W1552" i="4"/>
  <c r="V1552" i="4"/>
  <c r="W1551" i="4"/>
  <c r="V1551" i="4"/>
  <c r="W1550" i="4"/>
  <c r="V1550" i="4"/>
  <c r="W1549" i="4"/>
  <c r="V1549" i="4"/>
  <c r="W1548" i="4"/>
  <c r="V1548" i="4"/>
  <c r="W1547" i="4"/>
  <c r="V1547" i="4"/>
  <c r="W1546" i="4"/>
  <c r="V1546" i="4"/>
  <c r="W1545" i="4"/>
  <c r="V1545" i="4"/>
  <c r="W1544" i="4"/>
  <c r="V1544" i="4"/>
  <c r="W1543" i="4"/>
  <c r="V1543" i="4"/>
  <c r="W1542" i="4"/>
  <c r="V1542" i="4"/>
  <c r="W1541" i="4"/>
  <c r="V1541" i="4"/>
  <c r="W1540" i="4"/>
  <c r="V1540" i="4"/>
  <c r="W1539" i="4"/>
  <c r="V1539" i="4"/>
  <c r="W1538" i="4"/>
  <c r="V1538" i="4"/>
  <c r="W1537" i="4"/>
  <c r="V1537" i="4"/>
  <c r="W1536" i="4"/>
  <c r="V1536" i="4"/>
  <c r="W1535" i="4"/>
  <c r="V1535" i="4"/>
  <c r="W1534" i="4"/>
  <c r="V1534" i="4"/>
  <c r="W1533" i="4"/>
  <c r="V1533" i="4"/>
  <c r="W1532" i="4"/>
  <c r="V1532" i="4"/>
  <c r="W1531" i="4"/>
  <c r="V1531" i="4"/>
  <c r="W1530" i="4"/>
  <c r="V1530" i="4"/>
  <c r="W1529" i="4"/>
  <c r="V1529" i="4"/>
  <c r="W1528" i="4"/>
  <c r="V1528" i="4"/>
  <c r="W1527" i="4"/>
  <c r="V1527" i="4"/>
  <c r="W1526" i="4"/>
  <c r="V1526" i="4"/>
  <c r="W1525" i="4"/>
  <c r="V1525" i="4"/>
  <c r="W1524" i="4"/>
  <c r="V1524" i="4"/>
  <c r="W1523" i="4"/>
  <c r="V1523" i="4"/>
  <c r="W1522" i="4"/>
  <c r="V1522" i="4"/>
  <c r="W1521" i="4"/>
  <c r="V1521" i="4"/>
  <c r="W1520" i="4"/>
  <c r="V1520" i="4"/>
  <c r="W1519" i="4"/>
  <c r="V1519" i="4"/>
  <c r="W1518" i="4"/>
  <c r="V1518" i="4"/>
  <c r="W1517" i="4"/>
  <c r="V1517" i="4"/>
  <c r="W1516" i="4"/>
  <c r="V1516" i="4"/>
  <c r="W1515" i="4"/>
  <c r="V1515" i="4"/>
  <c r="W1514" i="4"/>
  <c r="V1514" i="4"/>
  <c r="W1513" i="4"/>
  <c r="V1513" i="4"/>
  <c r="W1512" i="4"/>
  <c r="V1512" i="4"/>
  <c r="W1511" i="4"/>
  <c r="V1511" i="4"/>
  <c r="W1510" i="4"/>
  <c r="V1510" i="4"/>
  <c r="W1509" i="4"/>
  <c r="V1509" i="4"/>
  <c r="W1508" i="4"/>
  <c r="V1508" i="4"/>
  <c r="W1507" i="4"/>
  <c r="V1507" i="4"/>
  <c r="W1506" i="4"/>
  <c r="V1506" i="4"/>
  <c r="W1505" i="4"/>
  <c r="V1505" i="4"/>
  <c r="W1504" i="4"/>
  <c r="V1504" i="4"/>
  <c r="W1503" i="4"/>
  <c r="V1503" i="4"/>
  <c r="W1502" i="4"/>
  <c r="V1502" i="4"/>
  <c r="W1501" i="4"/>
  <c r="V1501" i="4"/>
  <c r="W1500" i="4"/>
  <c r="V1500" i="4"/>
  <c r="T1500" i="4"/>
  <c r="Q1500" i="4"/>
  <c r="N1500" i="4"/>
  <c r="K1500" i="4"/>
  <c r="W1499" i="4"/>
  <c r="V1499" i="4"/>
  <c r="T1499" i="4"/>
  <c r="Q1499" i="4"/>
  <c r="N1499" i="4"/>
  <c r="K1499" i="4"/>
  <c r="W1498" i="4"/>
  <c r="V1498" i="4"/>
  <c r="T1498" i="4"/>
  <c r="Q1498" i="4"/>
  <c r="N1498" i="4"/>
  <c r="K1498" i="4"/>
  <c r="W1497" i="4"/>
  <c r="V1497" i="4"/>
  <c r="T1497" i="4"/>
  <c r="Q1497" i="4"/>
  <c r="N1497" i="4"/>
  <c r="K1497" i="4"/>
  <c r="W1496" i="4"/>
  <c r="V1496" i="4"/>
  <c r="T1496" i="4"/>
  <c r="Q1496" i="4"/>
  <c r="N1496" i="4"/>
  <c r="K1496" i="4"/>
  <c r="W1495" i="4"/>
  <c r="V1495" i="4"/>
  <c r="T1495" i="4"/>
  <c r="Q1495" i="4"/>
  <c r="N1495" i="4"/>
  <c r="K1495" i="4"/>
  <c r="W1494" i="4"/>
  <c r="V1494" i="4"/>
  <c r="T1494" i="4"/>
  <c r="Q1494" i="4"/>
  <c r="N1494" i="4"/>
  <c r="K1494" i="4"/>
  <c r="W1493" i="4"/>
  <c r="V1493" i="4"/>
  <c r="T1493" i="4"/>
  <c r="Q1493" i="4"/>
  <c r="N1493" i="4"/>
  <c r="K1493" i="4"/>
  <c r="W1492" i="4"/>
  <c r="V1492" i="4"/>
  <c r="T1492" i="4"/>
  <c r="Q1492" i="4"/>
  <c r="N1492" i="4"/>
  <c r="K1492" i="4"/>
  <c r="W1491" i="4"/>
  <c r="V1491" i="4"/>
  <c r="T1491" i="4"/>
  <c r="Q1491" i="4"/>
  <c r="N1491" i="4"/>
  <c r="K1491" i="4"/>
  <c r="W1490" i="4"/>
  <c r="V1490" i="4"/>
  <c r="T1490" i="4"/>
  <c r="Q1490" i="4"/>
  <c r="N1490" i="4"/>
  <c r="K1490" i="4"/>
  <c r="W1489" i="4"/>
  <c r="V1489" i="4"/>
  <c r="T1489" i="4"/>
  <c r="Q1489" i="4"/>
  <c r="N1489" i="4"/>
  <c r="K1489" i="4"/>
  <c r="W1488" i="4"/>
  <c r="V1488" i="4"/>
  <c r="T1488" i="4"/>
  <c r="Q1488" i="4"/>
  <c r="N1488" i="4"/>
  <c r="K1488" i="4"/>
  <c r="W1487" i="4"/>
  <c r="V1487" i="4"/>
  <c r="T1487" i="4"/>
  <c r="Q1487" i="4"/>
  <c r="N1487" i="4"/>
  <c r="K1487" i="4"/>
  <c r="W1486" i="4"/>
  <c r="V1486" i="4"/>
  <c r="T1486" i="4"/>
  <c r="Q1486" i="4"/>
  <c r="N1486" i="4"/>
  <c r="K1486" i="4"/>
  <c r="W1485" i="4"/>
  <c r="V1485" i="4"/>
  <c r="T1485" i="4"/>
  <c r="Q1485" i="4"/>
  <c r="N1485" i="4"/>
  <c r="K1485" i="4"/>
  <c r="W1484" i="4"/>
  <c r="V1484" i="4"/>
  <c r="T1484" i="4"/>
  <c r="Q1484" i="4"/>
  <c r="N1484" i="4"/>
  <c r="K1484" i="4"/>
  <c r="W1483" i="4"/>
  <c r="V1483" i="4"/>
  <c r="T1483" i="4"/>
  <c r="Q1483" i="4"/>
  <c r="N1483" i="4"/>
  <c r="K1483" i="4"/>
  <c r="W1482" i="4"/>
  <c r="V1482" i="4"/>
  <c r="T1482" i="4"/>
  <c r="Q1482" i="4"/>
  <c r="N1482" i="4"/>
  <c r="K1482" i="4"/>
  <c r="W1481" i="4"/>
  <c r="V1481" i="4"/>
  <c r="T1481" i="4"/>
  <c r="Q1481" i="4"/>
  <c r="N1481" i="4"/>
  <c r="K1481" i="4"/>
  <c r="W1480" i="4"/>
  <c r="V1480" i="4"/>
  <c r="T1480" i="4"/>
  <c r="Q1480" i="4"/>
  <c r="N1480" i="4"/>
  <c r="K1480" i="4"/>
  <c r="W1479" i="4"/>
  <c r="V1479" i="4"/>
  <c r="T1479" i="4"/>
  <c r="Q1479" i="4"/>
  <c r="N1479" i="4"/>
  <c r="K1479" i="4"/>
  <c r="W1478" i="4"/>
  <c r="V1478" i="4"/>
  <c r="T1478" i="4"/>
  <c r="Q1478" i="4"/>
  <c r="N1478" i="4"/>
  <c r="K1478" i="4"/>
  <c r="W1477" i="4"/>
  <c r="V1477" i="4"/>
  <c r="T1477" i="4"/>
  <c r="Q1477" i="4"/>
  <c r="N1477" i="4"/>
  <c r="K1477" i="4"/>
  <c r="W1476" i="4"/>
  <c r="V1476" i="4"/>
  <c r="T1476" i="4"/>
  <c r="Q1476" i="4"/>
  <c r="N1476" i="4"/>
  <c r="K1476" i="4"/>
  <c r="W1475" i="4"/>
  <c r="V1475" i="4"/>
  <c r="T1475" i="4"/>
  <c r="Q1475" i="4"/>
  <c r="N1475" i="4"/>
  <c r="K1475" i="4"/>
  <c r="W1474" i="4"/>
  <c r="V1474" i="4"/>
  <c r="T1474" i="4"/>
  <c r="Q1474" i="4"/>
  <c r="N1474" i="4"/>
  <c r="K1474" i="4"/>
  <c r="W1473" i="4"/>
  <c r="V1473" i="4"/>
  <c r="T1473" i="4"/>
  <c r="Q1473" i="4"/>
  <c r="N1473" i="4"/>
  <c r="K1473" i="4"/>
  <c r="W1472" i="4"/>
  <c r="V1472" i="4"/>
  <c r="T1472" i="4"/>
  <c r="Q1472" i="4"/>
  <c r="N1472" i="4"/>
  <c r="K1472" i="4"/>
  <c r="W1471" i="4"/>
  <c r="V1471" i="4"/>
  <c r="T1471" i="4"/>
  <c r="Q1471" i="4"/>
  <c r="N1471" i="4"/>
  <c r="K1471" i="4"/>
  <c r="W1470" i="4"/>
  <c r="V1470" i="4"/>
  <c r="T1470" i="4"/>
  <c r="Q1470" i="4"/>
  <c r="N1470" i="4"/>
  <c r="K1470" i="4"/>
  <c r="W1469" i="4"/>
  <c r="V1469" i="4"/>
  <c r="T1469" i="4"/>
  <c r="Q1469" i="4"/>
  <c r="N1469" i="4"/>
  <c r="K1469" i="4"/>
  <c r="W1468" i="4"/>
  <c r="V1468" i="4"/>
  <c r="T1468" i="4"/>
  <c r="Q1468" i="4"/>
  <c r="N1468" i="4"/>
  <c r="K1468" i="4"/>
  <c r="W1467" i="4"/>
  <c r="V1467" i="4"/>
  <c r="T1467" i="4"/>
  <c r="Q1467" i="4"/>
  <c r="N1467" i="4"/>
  <c r="K1467" i="4"/>
  <c r="W1466" i="4"/>
  <c r="V1466" i="4"/>
  <c r="T1466" i="4"/>
  <c r="Q1466" i="4"/>
  <c r="N1466" i="4"/>
  <c r="K1466" i="4"/>
  <c r="W1465" i="4"/>
  <c r="V1465" i="4"/>
  <c r="T1465" i="4"/>
  <c r="Q1465" i="4"/>
  <c r="N1465" i="4"/>
  <c r="K1465" i="4"/>
  <c r="W1464" i="4"/>
  <c r="V1464" i="4"/>
  <c r="T1464" i="4"/>
  <c r="Q1464" i="4"/>
  <c r="N1464" i="4"/>
  <c r="K1464" i="4"/>
  <c r="W1463" i="4"/>
  <c r="V1463" i="4"/>
  <c r="T1463" i="4"/>
  <c r="Q1463" i="4"/>
  <c r="N1463" i="4"/>
  <c r="K1463" i="4"/>
  <c r="W1462" i="4"/>
  <c r="V1462" i="4"/>
  <c r="T1462" i="4"/>
  <c r="Q1462" i="4"/>
  <c r="N1462" i="4"/>
  <c r="K1462" i="4"/>
  <c r="W1461" i="4"/>
  <c r="V1461" i="4"/>
  <c r="T1461" i="4"/>
  <c r="Q1461" i="4"/>
  <c r="N1461" i="4"/>
  <c r="K1461" i="4"/>
  <c r="W1460" i="4"/>
  <c r="V1460" i="4"/>
  <c r="T1460" i="4"/>
  <c r="Q1460" i="4"/>
  <c r="N1460" i="4"/>
  <c r="K1460" i="4"/>
  <c r="W1459" i="4"/>
  <c r="V1459" i="4"/>
  <c r="T1459" i="4"/>
  <c r="Q1459" i="4"/>
  <c r="N1459" i="4"/>
  <c r="K1459" i="4"/>
  <c r="W1458" i="4"/>
  <c r="V1458" i="4"/>
  <c r="T1458" i="4"/>
  <c r="Q1458" i="4"/>
  <c r="N1458" i="4"/>
  <c r="K1458" i="4"/>
  <c r="W1457" i="4"/>
  <c r="V1457" i="4"/>
  <c r="T1457" i="4"/>
  <c r="Q1457" i="4"/>
  <c r="N1457" i="4"/>
  <c r="K1457" i="4"/>
  <c r="W1456" i="4"/>
  <c r="V1456" i="4"/>
  <c r="T1456" i="4"/>
  <c r="Q1456" i="4"/>
  <c r="N1456" i="4"/>
  <c r="K1456" i="4"/>
  <c r="W1455" i="4"/>
  <c r="V1455" i="4"/>
  <c r="T1455" i="4"/>
  <c r="Q1455" i="4"/>
  <c r="N1455" i="4"/>
  <c r="K1455" i="4"/>
  <c r="W1454" i="4"/>
  <c r="V1454" i="4"/>
  <c r="T1454" i="4"/>
  <c r="Q1454" i="4"/>
  <c r="N1454" i="4"/>
  <c r="K1454" i="4"/>
  <c r="W1453" i="4"/>
  <c r="V1453" i="4"/>
  <c r="T1453" i="4"/>
  <c r="Q1453" i="4"/>
  <c r="N1453" i="4"/>
  <c r="K1453" i="4"/>
  <c r="W1452" i="4"/>
  <c r="V1452" i="4"/>
  <c r="T1452" i="4"/>
  <c r="Q1452" i="4"/>
  <c r="N1452" i="4"/>
  <c r="K1452" i="4"/>
  <c r="W1451" i="4"/>
  <c r="V1451" i="4"/>
  <c r="T1451" i="4"/>
  <c r="Q1451" i="4"/>
  <c r="N1451" i="4"/>
  <c r="K1451" i="4"/>
  <c r="W1450" i="4"/>
  <c r="V1450" i="4"/>
  <c r="T1450" i="4"/>
  <c r="Q1450" i="4"/>
  <c r="N1450" i="4"/>
  <c r="K1450" i="4"/>
  <c r="W1449" i="4"/>
  <c r="V1449" i="4"/>
  <c r="T1449" i="4"/>
  <c r="Q1449" i="4"/>
  <c r="N1449" i="4"/>
  <c r="K1449" i="4"/>
  <c r="W1448" i="4"/>
  <c r="V1448" i="4"/>
  <c r="T1448" i="4"/>
  <c r="Q1448" i="4"/>
  <c r="N1448" i="4"/>
  <c r="K1448" i="4"/>
  <c r="W1447" i="4"/>
  <c r="V1447" i="4"/>
  <c r="T1447" i="4"/>
  <c r="Q1447" i="4"/>
  <c r="N1447" i="4"/>
  <c r="K1447" i="4"/>
  <c r="W1446" i="4"/>
  <c r="V1446" i="4"/>
  <c r="T1446" i="4"/>
  <c r="Q1446" i="4"/>
  <c r="N1446" i="4"/>
  <c r="K1446" i="4"/>
  <c r="W1445" i="4"/>
  <c r="V1445" i="4"/>
  <c r="T1445" i="4"/>
  <c r="Q1445" i="4"/>
  <c r="N1445" i="4"/>
  <c r="K1445" i="4"/>
  <c r="W1444" i="4"/>
  <c r="V1444" i="4"/>
  <c r="T1444" i="4"/>
  <c r="Q1444" i="4"/>
  <c r="N1444" i="4"/>
  <c r="K1444" i="4"/>
  <c r="W1443" i="4"/>
  <c r="V1443" i="4"/>
  <c r="T1443" i="4"/>
  <c r="Q1443" i="4"/>
  <c r="N1443" i="4"/>
  <c r="K1443" i="4"/>
  <c r="W1442" i="4"/>
  <c r="V1442" i="4"/>
  <c r="T1442" i="4"/>
  <c r="Q1442" i="4"/>
  <c r="N1442" i="4"/>
  <c r="K1442" i="4"/>
  <c r="W1441" i="4"/>
  <c r="V1441" i="4"/>
  <c r="T1441" i="4"/>
  <c r="Q1441" i="4"/>
  <c r="N1441" i="4"/>
  <c r="K1441" i="4"/>
  <c r="W1440" i="4"/>
  <c r="V1440" i="4"/>
  <c r="T1440" i="4"/>
  <c r="Q1440" i="4"/>
  <c r="N1440" i="4"/>
  <c r="K1440" i="4"/>
  <c r="W1439" i="4"/>
  <c r="V1439" i="4"/>
  <c r="T1439" i="4"/>
  <c r="Q1439" i="4"/>
  <c r="N1439" i="4"/>
  <c r="K1439" i="4"/>
  <c r="W1438" i="4"/>
  <c r="V1438" i="4"/>
  <c r="T1438" i="4"/>
  <c r="Q1438" i="4"/>
  <c r="N1438" i="4"/>
  <c r="K1438" i="4"/>
  <c r="W1437" i="4"/>
  <c r="V1437" i="4"/>
  <c r="T1437" i="4"/>
  <c r="Q1437" i="4"/>
  <c r="N1437" i="4"/>
  <c r="K1437" i="4"/>
  <c r="W1436" i="4"/>
  <c r="V1436" i="4"/>
  <c r="T1436" i="4"/>
  <c r="Q1436" i="4"/>
  <c r="N1436" i="4"/>
  <c r="K1436" i="4"/>
  <c r="W1435" i="4"/>
  <c r="V1435" i="4"/>
  <c r="T1435" i="4"/>
  <c r="Q1435" i="4"/>
  <c r="N1435" i="4"/>
  <c r="K1435" i="4"/>
  <c r="W1434" i="4"/>
  <c r="V1434" i="4"/>
  <c r="T1434" i="4"/>
  <c r="Q1434" i="4"/>
  <c r="N1434" i="4"/>
  <c r="K1434" i="4"/>
  <c r="W1433" i="4"/>
  <c r="V1433" i="4"/>
  <c r="T1433" i="4"/>
  <c r="Q1433" i="4"/>
  <c r="N1433" i="4"/>
  <c r="K1433" i="4"/>
  <c r="W1432" i="4"/>
  <c r="V1432" i="4"/>
  <c r="T1432" i="4"/>
  <c r="Q1432" i="4"/>
  <c r="N1432" i="4"/>
  <c r="K1432" i="4"/>
  <c r="W1431" i="4"/>
  <c r="V1431" i="4"/>
  <c r="T1431" i="4"/>
  <c r="Q1431" i="4"/>
  <c r="N1431" i="4"/>
  <c r="K1431" i="4"/>
  <c r="W1430" i="4"/>
  <c r="V1430" i="4"/>
  <c r="T1430" i="4"/>
  <c r="Q1430" i="4"/>
  <c r="N1430" i="4"/>
  <c r="K1430" i="4"/>
  <c r="W1429" i="4"/>
  <c r="V1429" i="4"/>
  <c r="T1429" i="4"/>
  <c r="Q1429" i="4"/>
  <c r="N1429" i="4"/>
  <c r="K1429" i="4"/>
  <c r="W1428" i="4"/>
  <c r="V1428" i="4"/>
  <c r="T1428" i="4"/>
  <c r="Q1428" i="4"/>
  <c r="N1428" i="4"/>
  <c r="K1428" i="4"/>
  <c r="W1427" i="4"/>
  <c r="V1427" i="4"/>
  <c r="T1427" i="4"/>
  <c r="Q1427" i="4"/>
  <c r="N1427" i="4"/>
  <c r="K1427" i="4"/>
  <c r="W1426" i="4"/>
  <c r="V1426" i="4"/>
  <c r="T1426" i="4"/>
  <c r="Q1426" i="4"/>
  <c r="N1426" i="4"/>
  <c r="K1426" i="4"/>
  <c r="W1425" i="4"/>
  <c r="V1425" i="4"/>
  <c r="T1425" i="4"/>
  <c r="Q1425" i="4"/>
  <c r="N1425" i="4"/>
  <c r="K1425" i="4"/>
  <c r="W1424" i="4"/>
  <c r="V1424" i="4"/>
  <c r="T1424" i="4"/>
  <c r="Q1424" i="4"/>
  <c r="N1424" i="4"/>
  <c r="K1424" i="4"/>
  <c r="W1423" i="4"/>
  <c r="V1423" i="4"/>
  <c r="T1423" i="4"/>
  <c r="Q1423" i="4"/>
  <c r="N1423" i="4"/>
  <c r="K1423" i="4"/>
  <c r="W1422" i="4"/>
  <c r="V1422" i="4"/>
  <c r="T1422" i="4"/>
  <c r="Q1422" i="4"/>
  <c r="N1422" i="4"/>
  <c r="K1422" i="4"/>
  <c r="W1421" i="4"/>
  <c r="V1421" i="4"/>
  <c r="T1421" i="4"/>
  <c r="Q1421" i="4"/>
  <c r="N1421" i="4"/>
  <c r="K1421" i="4"/>
  <c r="W1420" i="4"/>
  <c r="V1420" i="4"/>
  <c r="T1420" i="4"/>
  <c r="Q1420" i="4"/>
  <c r="N1420" i="4"/>
  <c r="K1420" i="4"/>
  <c r="W1419" i="4"/>
  <c r="V1419" i="4"/>
  <c r="T1419" i="4"/>
  <c r="Q1419" i="4"/>
  <c r="N1419" i="4"/>
  <c r="K1419" i="4"/>
  <c r="W1418" i="4"/>
  <c r="V1418" i="4"/>
  <c r="T1418" i="4"/>
  <c r="Q1418" i="4"/>
  <c r="N1418" i="4"/>
  <c r="K1418" i="4"/>
  <c r="W1417" i="4"/>
  <c r="V1417" i="4"/>
  <c r="T1417" i="4"/>
  <c r="Q1417" i="4"/>
  <c r="N1417" i="4"/>
  <c r="K1417" i="4"/>
  <c r="W1416" i="4"/>
  <c r="V1416" i="4"/>
  <c r="T1416" i="4"/>
  <c r="Q1416" i="4"/>
  <c r="N1416" i="4"/>
  <c r="K1416" i="4"/>
  <c r="W1415" i="4"/>
  <c r="V1415" i="4"/>
  <c r="T1415" i="4"/>
  <c r="Q1415" i="4"/>
  <c r="N1415" i="4"/>
  <c r="K1415" i="4"/>
  <c r="W1414" i="4"/>
  <c r="V1414" i="4"/>
  <c r="T1414" i="4"/>
  <c r="Q1414" i="4"/>
  <c r="N1414" i="4"/>
  <c r="K1414" i="4"/>
  <c r="W1413" i="4"/>
  <c r="V1413" i="4"/>
  <c r="T1413" i="4"/>
  <c r="Q1413" i="4"/>
  <c r="N1413" i="4"/>
  <c r="K1413" i="4"/>
  <c r="W1412" i="4"/>
  <c r="V1412" i="4"/>
  <c r="T1412" i="4"/>
  <c r="Q1412" i="4"/>
  <c r="N1412" i="4"/>
  <c r="K1412" i="4"/>
  <c r="W1411" i="4"/>
  <c r="V1411" i="4"/>
  <c r="T1411" i="4"/>
  <c r="Q1411" i="4"/>
  <c r="N1411" i="4"/>
  <c r="K1411" i="4"/>
  <c r="W1410" i="4"/>
  <c r="V1410" i="4"/>
  <c r="T1410" i="4"/>
  <c r="Q1410" i="4"/>
  <c r="N1410" i="4"/>
  <c r="K1410" i="4"/>
  <c r="W1409" i="4"/>
  <c r="V1409" i="4"/>
  <c r="T1409" i="4"/>
  <c r="Q1409" i="4"/>
  <c r="N1409" i="4"/>
  <c r="K1409" i="4"/>
  <c r="W1408" i="4"/>
  <c r="V1408" i="4"/>
  <c r="T1408" i="4"/>
  <c r="Q1408" i="4"/>
  <c r="N1408" i="4"/>
  <c r="K1408" i="4"/>
  <c r="W1407" i="4"/>
  <c r="V1407" i="4"/>
  <c r="T1407" i="4"/>
  <c r="Q1407" i="4"/>
  <c r="N1407" i="4"/>
  <c r="K1407" i="4"/>
  <c r="W1406" i="4"/>
  <c r="V1406" i="4"/>
  <c r="T1406" i="4"/>
  <c r="Q1406" i="4"/>
  <c r="N1406" i="4"/>
  <c r="K1406" i="4"/>
  <c r="W1405" i="4"/>
  <c r="V1405" i="4"/>
  <c r="T1405" i="4"/>
  <c r="Q1405" i="4"/>
  <c r="N1405" i="4"/>
  <c r="K1405" i="4"/>
  <c r="W1404" i="4"/>
  <c r="V1404" i="4"/>
  <c r="T1404" i="4"/>
  <c r="Q1404" i="4"/>
  <c r="N1404" i="4"/>
  <c r="K1404" i="4"/>
  <c r="W1403" i="4"/>
  <c r="V1403" i="4"/>
  <c r="T1403" i="4"/>
  <c r="Q1403" i="4"/>
  <c r="N1403" i="4"/>
  <c r="K1403" i="4"/>
  <c r="W1402" i="4"/>
  <c r="V1402" i="4"/>
  <c r="T1402" i="4"/>
  <c r="Q1402" i="4"/>
  <c r="N1402" i="4"/>
  <c r="K1402" i="4"/>
  <c r="W1401" i="4"/>
  <c r="V1401" i="4"/>
  <c r="T1401" i="4"/>
  <c r="Q1401" i="4"/>
  <c r="N1401" i="4"/>
  <c r="K1401" i="4"/>
  <c r="W1400" i="4"/>
  <c r="V1400" i="4"/>
  <c r="T1400" i="4"/>
  <c r="Q1400" i="4"/>
  <c r="N1400" i="4"/>
  <c r="K1400" i="4"/>
  <c r="W1399" i="4"/>
  <c r="V1399" i="4"/>
  <c r="T1399" i="4"/>
  <c r="Q1399" i="4"/>
  <c r="N1399" i="4"/>
  <c r="K1399" i="4"/>
  <c r="W1398" i="4"/>
  <c r="V1398" i="4"/>
  <c r="T1398" i="4"/>
  <c r="Q1398" i="4"/>
  <c r="N1398" i="4"/>
  <c r="K1398" i="4"/>
  <c r="W1397" i="4"/>
  <c r="V1397" i="4"/>
  <c r="T1397" i="4"/>
  <c r="Q1397" i="4"/>
  <c r="N1397" i="4"/>
  <c r="K1397" i="4"/>
  <c r="W1396" i="4"/>
  <c r="V1396" i="4"/>
  <c r="T1396" i="4"/>
  <c r="Q1396" i="4"/>
  <c r="N1396" i="4"/>
  <c r="K1396" i="4"/>
  <c r="W1395" i="4"/>
  <c r="V1395" i="4"/>
  <c r="T1395" i="4"/>
  <c r="Q1395" i="4"/>
  <c r="N1395" i="4"/>
  <c r="K1395" i="4"/>
  <c r="W1394" i="4"/>
  <c r="V1394" i="4"/>
  <c r="T1394" i="4"/>
  <c r="Q1394" i="4"/>
  <c r="N1394" i="4"/>
  <c r="K1394" i="4"/>
  <c r="W1393" i="4"/>
  <c r="V1393" i="4"/>
  <c r="T1393" i="4"/>
  <c r="Q1393" i="4"/>
  <c r="N1393" i="4"/>
  <c r="K1393" i="4"/>
  <c r="W1392" i="4"/>
  <c r="V1392" i="4"/>
  <c r="T1392" i="4"/>
  <c r="Q1392" i="4"/>
  <c r="N1392" i="4"/>
  <c r="K1392" i="4"/>
  <c r="W1391" i="4"/>
  <c r="V1391" i="4"/>
  <c r="T1391" i="4"/>
  <c r="Q1391" i="4"/>
  <c r="N1391" i="4"/>
  <c r="K1391" i="4"/>
  <c r="W1390" i="4"/>
  <c r="V1390" i="4"/>
  <c r="T1390" i="4"/>
  <c r="Q1390" i="4"/>
  <c r="N1390" i="4"/>
  <c r="K1390" i="4"/>
  <c r="W1389" i="4"/>
  <c r="V1389" i="4"/>
  <c r="T1389" i="4"/>
  <c r="Q1389" i="4"/>
  <c r="N1389" i="4"/>
  <c r="K1389" i="4"/>
  <c r="W1388" i="4"/>
  <c r="V1388" i="4"/>
  <c r="T1388" i="4"/>
  <c r="Q1388" i="4"/>
  <c r="N1388" i="4"/>
  <c r="K1388" i="4"/>
  <c r="W1387" i="4"/>
  <c r="V1387" i="4"/>
  <c r="T1387" i="4"/>
  <c r="Q1387" i="4"/>
  <c r="N1387" i="4"/>
  <c r="K1387" i="4"/>
  <c r="W1386" i="4"/>
  <c r="V1386" i="4"/>
  <c r="T1386" i="4"/>
  <c r="Q1386" i="4"/>
  <c r="N1386" i="4"/>
  <c r="K1386" i="4"/>
  <c r="W1385" i="4"/>
  <c r="V1385" i="4"/>
  <c r="T1385" i="4"/>
  <c r="Q1385" i="4"/>
  <c r="N1385" i="4"/>
  <c r="K1385" i="4"/>
  <c r="W1384" i="4"/>
  <c r="V1384" i="4"/>
  <c r="T1384" i="4"/>
  <c r="Q1384" i="4"/>
  <c r="N1384" i="4"/>
  <c r="K1384" i="4"/>
  <c r="W1383" i="4"/>
  <c r="V1383" i="4"/>
  <c r="T1383" i="4"/>
  <c r="Q1383" i="4"/>
  <c r="N1383" i="4"/>
  <c r="K1383" i="4"/>
  <c r="W1382" i="4"/>
  <c r="V1382" i="4"/>
  <c r="T1382" i="4"/>
  <c r="Q1382" i="4"/>
  <c r="N1382" i="4"/>
  <c r="K1382" i="4"/>
  <c r="W1381" i="4"/>
  <c r="V1381" i="4"/>
  <c r="T1381" i="4"/>
  <c r="Q1381" i="4"/>
  <c r="N1381" i="4"/>
  <c r="K1381" i="4"/>
  <c r="W1380" i="4"/>
  <c r="V1380" i="4"/>
  <c r="T1380" i="4"/>
  <c r="Q1380" i="4"/>
  <c r="N1380" i="4"/>
  <c r="K1380" i="4"/>
  <c r="W1379" i="4"/>
  <c r="V1379" i="4"/>
  <c r="T1379" i="4"/>
  <c r="Q1379" i="4"/>
  <c r="N1379" i="4"/>
  <c r="K1379" i="4"/>
  <c r="W1378" i="4"/>
  <c r="V1378" i="4"/>
  <c r="T1378" i="4"/>
  <c r="Q1378" i="4"/>
  <c r="N1378" i="4"/>
  <c r="K1378" i="4"/>
  <c r="W1377" i="4"/>
  <c r="V1377" i="4"/>
  <c r="T1377" i="4"/>
  <c r="Q1377" i="4"/>
  <c r="N1377" i="4"/>
  <c r="K1377" i="4"/>
  <c r="W1376" i="4"/>
  <c r="V1376" i="4"/>
  <c r="T1376" i="4"/>
  <c r="Q1376" i="4"/>
  <c r="N1376" i="4"/>
  <c r="K1376" i="4"/>
  <c r="W1375" i="4"/>
  <c r="V1375" i="4"/>
  <c r="T1375" i="4"/>
  <c r="Q1375" i="4"/>
  <c r="N1375" i="4"/>
  <c r="K1375" i="4"/>
  <c r="W1374" i="4"/>
  <c r="V1374" i="4"/>
  <c r="T1374" i="4"/>
  <c r="Q1374" i="4"/>
  <c r="N1374" i="4"/>
  <c r="K1374" i="4"/>
  <c r="W1373" i="4"/>
  <c r="V1373" i="4"/>
  <c r="T1373" i="4"/>
  <c r="Q1373" i="4"/>
  <c r="N1373" i="4"/>
  <c r="K1373" i="4"/>
  <c r="W1372" i="4"/>
  <c r="V1372" i="4"/>
  <c r="T1372" i="4"/>
  <c r="Q1372" i="4"/>
  <c r="N1372" i="4"/>
  <c r="K1372" i="4"/>
  <c r="W1371" i="4"/>
  <c r="V1371" i="4"/>
  <c r="T1371" i="4"/>
  <c r="Q1371" i="4"/>
  <c r="N1371" i="4"/>
  <c r="K1371" i="4"/>
  <c r="W1370" i="4"/>
  <c r="V1370" i="4"/>
  <c r="T1370" i="4"/>
  <c r="Q1370" i="4"/>
  <c r="N1370" i="4"/>
  <c r="K1370" i="4"/>
  <c r="W1369" i="4"/>
  <c r="V1369" i="4"/>
  <c r="T1369" i="4"/>
  <c r="Q1369" i="4"/>
  <c r="N1369" i="4"/>
  <c r="K1369" i="4"/>
  <c r="W1368" i="4"/>
  <c r="V1368" i="4"/>
  <c r="T1368" i="4"/>
  <c r="Q1368" i="4"/>
  <c r="N1368" i="4"/>
  <c r="K1368" i="4"/>
  <c r="W1367" i="4"/>
  <c r="V1367" i="4"/>
  <c r="T1367" i="4"/>
  <c r="Q1367" i="4"/>
  <c r="N1367" i="4"/>
  <c r="K1367" i="4"/>
  <c r="W1366" i="4"/>
  <c r="V1366" i="4"/>
  <c r="T1366" i="4"/>
  <c r="Q1366" i="4"/>
  <c r="N1366" i="4"/>
  <c r="K1366" i="4"/>
  <c r="W1365" i="4"/>
  <c r="V1365" i="4"/>
  <c r="T1365" i="4"/>
  <c r="Q1365" i="4"/>
  <c r="N1365" i="4"/>
  <c r="K1365" i="4"/>
  <c r="W1364" i="4"/>
  <c r="V1364" i="4"/>
  <c r="T1364" i="4"/>
  <c r="Q1364" i="4"/>
  <c r="N1364" i="4"/>
  <c r="K1364" i="4"/>
  <c r="W1363" i="4"/>
  <c r="V1363" i="4"/>
  <c r="T1363" i="4"/>
  <c r="Q1363" i="4"/>
  <c r="N1363" i="4"/>
  <c r="K1363" i="4"/>
  <c r="W1362" i="4"/>
  <c r="V1362" i="4"/>
  <c r="T1362" i="4"/>
  <c r="Q1362" i="4"/>
  <c r="N1362" i="4"/>
  <c r="K1362" i="4"/>
  <c r="W1361" i="4"/>
  <c r="V1361" i="4"/>
  <c r="T1361" i="4"/>
  <c r="Q1361" i="4"/>
  <c r="N1361" i="4"/>
  <c r="K1361" i="4"/>
  <c r="W1360" i="4"/>
  <c r="V1360" i="4"/>
  <c r="T1360" i="4"/>
  <c r="Q1360" i="4"/>
  <c r="N1360" i="4"/>
  <c r="K1360" i="4"/>
  <c r="W1359" i="4"/>
  <c r="V1359" i="4"/>
  <c r="T1359" i="4"/>
  <c r="Q1359" i="4"/>
  <c r="N1359" i="4"/>
  <c r="K1359" i="4"/>
  <c r="W1358" i="4"/>
  <c r="V1358" i="4"/>
  <c r="T1358" i="4"/>
  <c r="Q1358" i="4"/>
  <c r="N1358" i="4"/>
  <c r="K1358" i="4"/>
  <c r="W1357" i="4"/>
  <c r="V1357" i="4"/>
  <c r="T1357" i="4"/>
  <c r="Q1357" i="4"/>
  <c r="N1357" i="4"/>
  <c r="K1357" i="4"/>
  <c r="W1356" i="4"/>
  <c r="V1356" i="4"/>
  <c r="T1356" i="4"/>
  <c r="Q1356" i="4"/>
  <c r="N1356" i="4"/>
  <c r="K1356" i="4"/>
  <c r="W1355" i="4"/>
  <c r="V1355" i="4"/>
  <c r="T1355" i="4"/>
  <c r="Q1355" i="4"/>
  <c r="N1355" i="4"/>
  <c r="K1355" i="4"/>
  <c r="W1354" i="4"/>
  <c r="V1354" i="4"/>
  <c r="T1354" i="4"/>
  <c r="Q1354" i="4"/>
  <c r="N1354" i="4"/>
  <c r="K1354" i="4"/>
  <c r="W1353" i="4"/>
  <c r="V1353" i="4"/>
  <c r="T1353" i="4"/>
  <c r="Q1353" i="4"/>
  <c r="N1353" i="4"/>
  <c r="K1353" i="4"/>
  <c r="W1352" i="4"/>
  <c r="V1352" i="4"/>
  <c r="T1352" i="4"/>
  <c r="Q1352" i="4"/>
  <c r="N1352" i="4"/>
  <c r="K1352" i="4"/>
  <c r="W1351" i="4"/>
  <c r="V1351" i="4"/>
  <c r="T1351" i="4"/>
  <c r="Q1351" i="4"/>
  <c r="N1351" i="4"/>
  <c r="K1351" i="4"/>
  <c r="W1350" i="4"/>
  <c r="V1350" i="4"/>
  <c r="T1350" i="4"/>
  <c r="Q1350" i="4"/>
  <c r="N1350" i="4"/>
  <c r="K1350" i="4"/>
  <c r="W1349" i="4"/>
  <c r="V1349" i="4"/>
  <c r="T1349" i="4"/>
  <c r="Q1349" i="4"/>
  <c r="N1349" i="4"/>
  <c r="K1349" i="4"/>
  <c r="W1348" i="4"/>
  <c r="V1348" i="4"/>
  <c r="T1348" i="4"/>
  <c r="Q1348" i="4"/>
  <c r="N1348" i="4"/>
  <c r="K1348" i="4"/>
  <c r="W1347" i="4"/>
  <c r="V1347" i="4"/>
  <c r="T1347" i="4"/>
  <c r="Q1347" i="4"/>
  <c r="N1347" i="4"/>
  <c r="K1347" i="4"/>
  <c r="W1346" i="4"/>
  <c r="V1346" i="4"/>
  <c r="T1346" i="4"/>
  <c r="Q1346" i="4"/>
  <c r="N1346" i="4"/>
  <c r="K1346" i="4"/>
  <c r="W1345" i="4"/>
  <c r="V1345" i="4"/>
  <c r="T1345" i="4"/>
  <c r="Q1345" i="4"/>
  <c r="N1345" i="4"/>
  <c r="K1345" i="4"/>
  <c r="W1344" i="4"/>
  <c r="V1344" i="4"/>
  <c r="T1344" i="4"/>
  <c r="Q1344" i="4"/>
  <c r="N1344" i="4"/>
  <c r="K1344" i="4"/>
  <c r="W1343" i="4"/>
  <c r="V1343" i="4"/>
  <c r="T1343" i="4"/>
  <c r="Q1343" i="4"/>
  <c r="N1343" i="4"/>
  <c r="K1343" i="4"/>
  <c r="W1342" i="4"/>
  <c r="V1342" i="4"/>
  <c r="T1342" i="4"/>
  <c r="Q1342" i="4"/>
  <c r="N1342" i="4"/>
  <c r="K1342" i="4"/>
  <c r="W1341" i="4"/>
  <c r="V1341" i="4"/>
  <c r="T1341" i="4"/>
  <c r="Q1341" i="4"/>
  <c r="N1341" i="4"/>
  <c r="K1341" i="4"/>
  <c r="W1340" i="4"/>
  <c r="V1340" i="4"/>
  <c r="T1340" i="4"/>
  <c r="Q1340" i="4"/>
  <c r="N1340" i="4"/>
  <c r="K1340" i="4"/>
  <c r="W1339" i="4"/>
  <c r="V1339" i="4"/>
  <c r="T1339" i="4"/>
  <c r="Q1339" i="4"/>
  <c r="N1339" i="4"/>
  <c r="K1339" i="4"/>
  <c r="W1338" i="4"/>
  <c r="V1338" i="4"/>
  <c r="T1338" i="4"/>
  <c r="Q1338" i="4"/>
  <c r="N1338" i="4"/>
  <c r="K1338" i="4"/>
  <c r="W1337" i="4"/>
  <c r="V1337" i="4"/>
  <c r="T1337" i="4"/>
  <c r="Q1337" i="4"/>
  <c r="N1337" i="4"/>
  <c r="K1337" i="4"/>
  <c r="W1336" i="4"/>
  <c r="V1336" i="4"/>
  <c r="T1336" i="4"/>
  <c r="Q1336" i="4"/>
  <c r="N1336" i="4"/>
  <c r="K1336" i="4"/>
  <c r="W1335" i="4"/>
  <c r="V1335" i="4"/>
  <c r="T1335" i="4"/>
  <c r="Q1335" i="4"/>
  <c r="N1335" i="4"/>
  <c r="K1335" i="4"/>
  <c r="W1334" i="4"/>
  <c r="V1334" i="4"/>
  <c r="T1334" i="4"/>
  <c r="Q1334" i="4"/>
  <c r="N1334" i="4"/>
  <c r="K1334" i="4"/>
  <c r="W1333" i="4"/>
  <c r="V1333" i="4"/>
  <c r="T1333" i="4"/>
  <c r="Q1333" i="4"/>
  <c r="N1333" i="4"/>
  <c r="K1333" i="4"/>
  <c r="W1332" i="4"/>
  <c r="V1332" i="4"/>
  <c r="T1332" i="4"/>
  <c r="Q1332" i="4"/>
  <c r="N1332" i="4"/>
  <c r="K1332" i="4"/>
  <c r="W1331" i="4"/>
  <c r="V1331" i="4"/>
  <c r="T1331" i="4"/>
  <c r="Q1331" i="4"/>
  <c r="N1331" i="4"/>
  <c r="K1331" i="4"/>
  <c r="W1330" i="4"/>
  <c r="V1330" i="4"/>
  <c r="T1330" i="4"/>
  <c r="Q1330" i="4"/>
  <c r="N1330" i="4"/>
  <c r="K1330" i="4"/>
  <c r="W1329" i="4"/>
  <c r="V1329" i="4"/>
  <c r="T1329" i="4"/>
  <c r="Q1329" i="4"/>
  <c r="N1329" i="4"/>
  <c r="K1329" i="4"/>
  <c r="W1328" i="4"/>
  <c r="V1328" i="4"/>
  <c r="T1328" i="4"/>
  <c r="Q1328" i="4"/>
  <c r="N1328" i="4"/>
  <c r="K1328" i="4"/>
  <c r="W1327" i="4"/>
  <c r="V1327" i="4"/>
  <c r="T1327" i="4"/>
  <c r="Q1327" i="4"/>
  <c r="N1327" i="4"/>
  <c r="K1327" i="4"/>
  <c r="W1326" i="4"/>
  <c r="V1326" i="4"/>
  <c r="T1326" i="4"/>
  <c r="Q1326" i="4"/>
  <c r="N1326" i="4"/>
  <c r="K1326" i="4"/>
  <c r="W1325" i="4"/>
  <c r="V1325" i="4"/>
  <c r="T1325" i="4"/>
  <c r="Q1325" i="4"/>
  <c r="N1325" i="4"/>
  <c r="K1325" i="4"/>
  <c r="W1324" i="4"/>
  <c r="V1324" i="4"/>
  <c r="T1324" i="4"/>
  <c r="Q1324" i="4"/>
  <c r="N1324" i="4"/>
  <c r="K1324" i="4"/>
  <c r="W1323" i="4"/>
  <c r="V1323" i="4"/>
  <c r="T1323" i="4"/>
  <c r="Q1323" i="4"/>
  <c r="N1323" i="4"/>
  <c r="K1323" i="4"/>
  <c r="W1322" i="4"/>
  <c r="V1322" i="4"/>
  <c r="T1322" i="4"/>
  <c r="Q1322" i="4"/>
  <c r="N1322" i="4"/>
  <c r="K1322" i="4"/>
  <c r="W1321" i="4"/>
  <c r="V1321" i="4"/>
  <c r="T1321" i="4"/>
  <c r="Q1321" i="4"/>
  <c r="N1321" i="4"/>
  <c r="K1321" i="4"/>
  <c r="W1320" i="4"/>
  <c r="V1320" i="4"/>
  <c r="T1320" i="4"/>
  <c r="Q1320" i="4"/>
  <c r="N1320" i="4"/>
  <c r="K1320" i="4"/>
  <c r="W1319" i="4"/>
  <c r="V1319" i="4"/>
  <c r="T1319" i="4"/>
  <c r="Q1319" i="4"/>
  <c r="N1319" i="4"/>
  <c r="K1319" i="4"/>
  <c r="W1318" i="4"/>
  <c r="V1318" i="4"/>
  <c r="T1318" i="4"/>
  <c r="Q1318" i="4"/>
  <c r="N1318" i="4"/>
  <c r="K1318" i="4"/>
  <c r="W1317" i="4"/>
  <c r="V1317" i="4"/>
  <c r="T1317" i="4"/>
  <c r="Q1317" i="4"/>
  <c r="N1317" i="4"/>
  <c r="K1317" i="4"/>
  <c r="W1316" i="4"/>
  <c r="V1316" i="4"/>
  <c r="T1316" i="4"/>
  <c r="Q1316" i="4"/>
  <c r="N1316" i="4"/>
  <c r="K1316" i="4"/>
  <c r="W1315" i="4"/>
  <c r="V1315" i="4"/>
  <c r="T1315" i="4"/>
  <c r="Q1315" i="4"/>
  <c r="N1315" i="4"/>
  <c r="K1315" i="4"/>
  <c r="W1314" i="4"/>
  <c r="V1314" i="4"/>
  <c r="T1314" i="4"/>
  <c r="Q1314" i="4"/>
  <c r="N1314" i="4"/>
  <c r="K1314" i="4"/>
  <c r="W1313" i="4"/>
  <c r="V1313" i="4"/>
  <c r="T1313" i="4"/>
  <c r="Q1313" i="4"/>
  <c r="N1313" i="4"/>
  <c r="K1313" i="4"/>
  <c r="W1312" i="4"/>
  <c r="V1312" i="4"/>
  <c r="T1312" i="4"/>
  <c r="Q1312" i="4"/>
  <c r="N1312" i="4"/>
  <c r="K1312" i="4"/>
  <c r="W1311" i="4"/>
  <c r="V1311" i="4"/>
  <c r="T1311" i="4"/>
  <c r="Q1311" i="4"/>
  <c r="N1311" i="4"/>
  <c r="K1311" i="4"/>
  <c r="W1310" i="4"/>
  <c r="V1310" i="4"/>
  <c r="T1310" i="4"/>
  <c r="Q1310" i="4"/>
  <c r="N1310" i="4"/>
  <c r="K1310" i="4"/>
  <c r="W1309" i="4"/>
  <c r="V1309" i="4"/>
  <c r="T1309" i="4"/>
  <c r="Q1309" i="4"/>
  <c r="N1309" i="4"/>
  <c r="K1309" i="4"/>
  <c r="W1308" i="4"/>
  <c r="V1308" i="4"/>
  <c r="T1308" i="4"/>
  <c r="Q1308" i="4"/>
  <c r="N1308" i="4"/>
  <c r="K1308" i="4"/>
  <c r="W1307" i="4"/>
  <c r="V1307" i="4"/>
  <c r="T1307" i="4"/>
  <c r="Q1307" i="4"/>
  <c r="N1307" i="4"/>
  <c r="K1307" i="4"/>
  <c r="W1306" i="4"/>
  <c r="V1306" i="4"/>
  <c r="T1306" i="4"/>
  <c r="Q1306" i="4"/>
  <c r="N1306" i="4"/>
  <c r="K1306" i="4"/>
  <c r="W1305" i="4"/>
  <c r="V1305" i="4"/>
  <c r="T1305" i="4"/>
  <c r="Q1305" i="4"/>
  <c r="N1305" i="4"/>
  <c r="K1305" i="4"/>
  <c r="W1304" i="4"/>
  <c r="V1304" i="4"/>
  <c r="T1304" i="4"/>
  <c r="Q1304" i="4"/>
  <c r="N1304" i="4"/>
  <c r="K1304" i="4"/>
  <c r="W1303" i="4"/>
  <c r="V1303" i="4"/>
  <c r="T1303" i="4"/>
  <c r="Q1303" i="4"/>
  <c r="N1303" i="4"/>
  <c r="K1303" i="4"/>
  <c r="W1302" i="4"/>
  <c r="V1302" i="4"/>
  <c r="T1302" i="4"/>
  <c r="Q1302" i="4"/>
  <c r="N1302" i="4"/>
  <c r="K1302" i="4"/>
  <c r="W1301" i="4"/>
  <c r="V1301" i="4"/>
  <c r="T1301" i="4"/>
  <c r="Q1301" i="4"/>
  <c r="N1301" i="4"/>
  <c r="K1301" i="4"/>
  <c r="W1300" i="4"/>
  <c r="V1300" i="4"/>
  <c r="T1300" i="4"/>
  <c r="Q1300" i="4"/>
  <c r="N1300" i="4"/>
  <c r="K1300" i="4"/>
  <c r="W1299" i="4"/>
  <c r="V1299" i="4"/>
  <c r="T1299" i="4"/>
  <c r="Q1299" i="4"/>
  <c r="N1299" i="4"/>
  <c r="K1299" i="4"/>
  <c r="W1298" i="4"/>
  <c r="V1298" i="4"/>
  <c r="T1298" i="4"/>
  <c r="Q1298" i="4"/>
  <c r="N1298" i="4"/>
  <c r="K1298" i="4"/>
  <c r="W1297" i="4"/>
  <c r="V1297" i="4"/>
  <c r="T1297" i="4"/>
  <c r="Q1297" i="4"/>
  <c r="N1297" i="4"/>
  <c r="K1297" i="4"/>
  <c r="W1296" i="4"/>
  <c r="V1296" i="4"/>
  <c r="T1296" i="4"/>
  <c r="Q1296" i="4"/>
  <c r="N1296" i="4"/>
  <c r="K1296" i="4"/>
  <c r="W1295" i="4"/>
  <c r="V1295" i="4"/>
  <c r="T1295" i="4"/>
  <c r="Q1295" i="4"/>
  <c r="N1295" i="4"/>
  <c r="K1295" i="4"/>
  <c r="W1294" i="4"/>
  <c r="V1294" i="4"/>
  <c r="T1294" i="4"/>
  <c r="Q1294" i="4"/>
  <c r="N1294" i="4"/>
  <c r="K1294" i="4"/>
  <c r="W1293" i="4"/>
  <c r="V1293" i="4"/>
  <c r="T1293" i="4"/>
  <c r="Q1293" i="4"/>
  <c r="N1293" i="4"/>
  <c r="K1293" i="4"/>
  <c r="W1292" i="4"/>
  <c r="V1292" i="4"/>
  <c r="T1292" i="4"/>
  <c r="Q1292" i="4"/>
  <c r="N1292" i="4"/>
  <c r="K1292" i="4"/>
  <c r="W1291" i="4"/>
  <c r="V1291" i="4"/>
  <c r="T1291" i="4"/>
  <c r="Q1291" i="4"/>
  <c r="N1291" i="4"/>
  <c r="K1291" i="4"/>
  <c r="W1290" i="4"/>
  <c r="V1290" i="4"/>
  <c r="T1290" i="4"/>
  <c r="Q1290" i="4"/>
  <c r="N1290" i="4"/>
  <c r="K1290" i="4"/>
  <c r="W1289" i="4"/>
  <c r="V1289" i="4"/>
  <c r="T1289" i="4"/>
  <c r="Q1289" i="4"/>
  <c r="N1289" i="4"/>
  <c r="K1289" i="4"/>
  <c r="W1288" i="4"/>
  <c r="V1288" i="4"/>
  <c r="T1288" i="4"/>
  <c r="Q1288" i="4"/>
  <c r="N1288" i="4"/>
  <c r="K1288" i="4"/>
  <c r="W1287" i="4"/>
  <c r="V1287" i="4"/>
  <c r="T1287" i="4"/>
  <c r="Q1287" i="4"/>
  <c r="N1287" i="4"/>
  <c r="K1287" i="4"/>
  <c r="W1286" i="4"/>
  <c r="V1286" i="4"/>
  <c r="T1286" i="4"/>
  <c r="Q1286" i="4"/>
  <c r="N1286" i="4"/>
  <c r="K1286" i="4"/>
  <c r="W1285" i="4"/>
  <c r="V1285" i="4"/>
  <c r="T1285" i="4"/>
  <c r="Q1285" i="4"/>
  <c r="N1285" i="4"/>
  <c r="K1285" i="4"/>
  <c r="W1284" i="4"/>
  <c r="V1284" i="4"/>
  <c r="T1284" i="4"/>
  <c r="Q1284" i="4"/>
  <c r="N1284" i="4"/>
  <c r="K1284" i="4"/>
  <c r="W1283" i="4"/>
  <c r="V1283" i="4"/>
  <c r="T1283" i="4"/>
  <c r="Q1283" i="4"/>
  <c r="N1283" i="4"/>
  <c r="K1283" i="4"/>
  <c r="W1282" i="4"/>
  <c r="V1282" i="4"/>
  <c r="T1282" i="4"/>
  <c r="Q1282" i="4"/>
  <c r="N1282" i="4"/>
  <c r="K1282" i="4"/>
  <c r="W1281" i="4"/>
  <c r="V1281" i="4"/>
  <c r="T1281" i="4"/>
  <c r="Q1281" i="4"/>
  <c r="N1281" i="4"/>
  <c r="K1281" i="4"/>
  <c r="W1280" i="4"/>
  <c r="V1280" i="4"/>
  <c r="T1280" i="4"/>
  <c r="Q1280" i="4"/>
  <c r="N1280" i="4"/>
  <c r="K1280" i="4"/>
  <c r="W1279" i="4"/>
  <c r="V1279" i="4"/>
  <c r="T1279" i="4"/>
  <c r="Q1279" i="4"/>
  <c r="N1279" i="4"/>
  <c r="K1279" i="4"/>
  <c r="W1278" i="4"/>
  <c r="V1278" i="4"/>
  <c r="T1278" i="4"/>
  <c r="Q1278" i="4"/>
  <c r="N1278" i="4"/>
  <c r="K1278" i="4"/>
  <c r="W1277" i="4"/>
  <c r="V1277" i="4"/>
  <c r="T1277" i="4"/>
  <c r="Q1277" i="4"/>
  <c r="N1277" i="4"/>
  <c r="K1277" i="4"/>
  <c r="W1276" i="4"/>
  <c r="V1276" i="4"/>
  <c r="T1276" i="4"/>
  <c r="Q1276" i="4"/>
  <c r="N1276" i="4"/>
  <c r="K1276" i="4"/>
  <c r="W1275" i="4"/>
  <c r="V1275" i="4"/>
  <c r="T1275" i="4"/>
  <c r="Q1275" i="4"/>
  <c r="N1275" i="4"/>
  <c r="K1275" i="4"/>
  <c r="W1274" i="4"/>
  <c r="V1274" i="4"/>
  <c r="T1274" i="4"/>
  <c r="Q1274" i="4"/>
  <c r="N1274" i="4"/>
  <c r="K1274" i="4"/>
  <c r="W1273" i="4"/>
  <c r="V1273" i="4"/>
  <c r="T1273" i="4"/>
  <c r="Q1273" i="4"/>
  <c r="N1273" i="4"/>
  <c r="K1273" i="4"/>
  <c r="W1272" i="4"/>
  <c r="V1272" i="4"/>
  <c r="T1272" i="4"/>
  <c r="Q1272" i="4"/>
  <c r="N1272" i="4"/>
  <c r="K1272" i="4"/>
  <c r="W1271" i="4"/>
  <c r="V1271" i="4"/>
  <c r="T1271" i="4"/>
  <c r="Q1271" i="4"/>
  <c r="N1271" i="4"/>
  <c r="K1271" i="4"/>
  <c r="W1270" i="4"/>
  <c r="V1270" i="4"/>
  <c r="T1270" i="4"/>
  <c r="Q1270" i="4"/>
  <c r="N1270" i="4"/>
  <c r="K1270" i="4"/>
  <c r="W1269" i="4"/>
  <c r="V1269" i="4"/>
  <c r="T1269" i="4"/>
  <c r="Q1269" i="4"/>
  <c r="N1269" i="4"/>
  <c r="K1269" i="4"/>
  <c r="W1268" i="4"/>
  <c r="V1268" i="4"/>
  <c r="T1268" i="4"/>
  <c r="Q1268" i="4"/>
  <c r="N1268" i="4"/>
  <c r="K1268" i="4"/>
  <c r="W1267" i="4"/>
  <c r="V1267" i="4"/>
  <c r="T1267" i="4"/>
  <c r="Q1267" i="4"/>
  <c r="N1267" i="4"/>
  <c r="K1267" i="4"/>
  <c r="W1266" i="4"/>
  <c r="V1266" i="4"/>
  <c r="T1266" i="4"/>
  <c r="Q1266" i="4"/>
  <c r="N1266" i="4"/>
  <c r="K1266" i="4"/>
  <c r="W1265" i="4"/>
  <c r="V1265" i="4"/>
  <c r="T1265" i="4"/>
  <c r="Q1265" i="4"/>
  <c r="N1265" i="4"/>
  <c r="K1265" i="4"/>
  <c r="W1264" i="4"/>
  <c r="V1264" i="4"/>
  <c r="T1264" i="4"/>
  <c r="Q1264" i="4"/>
  <c r="N1264" i="4"/>
  <c r="K1264" i="4"/>
  <c r="W1263" i="4"/>
  <c r="V1263" i="4"/>
  <c r="T1263" i="4"/>
  <c r="Q1263" i="4"/>
  <c r="N1263" i="4"/>
  <c r="K1263" i="4"/>
  <c r="W1262" i="4"/>
  <c r="V1262" i="4"/>
  <c r="T1262" i="4"/>
  <c r="Q1262" i="4"/>
  <c r="N1262" i="4"/>
  <c r="K1262" i="4"/>
  <c r="W1261" i="4"/>
  <c r="V1261" i="4"/>
  <c r="T1261" i="4"/>
  <c r="Q1261" i="4"/>
  <c r="N1261" i="4"/>
  <c r="K1261" i="4"/>
  <c r="W1260" i="4"/>
  <c r="V1260" i="4"/>
  <c r="T1260" i="4"/>
  <c r="Q1260" i="4"/>
  <c r="N1260" i="4"/>
  <c r="K1260" i="4"/>
  <c r="W1259" i="4"/>
  <c r="V1259" i="4"/>
  <c r="T1259" i="4"/>
  <c r="Q1259" i="4"/>
  <c r="N1259" i="4"/>
  <c r="K1259" i="4"/>
  <c r="W1258" i="4"/>
  <c r="V1258" i="4"/>
  <c r="T1258" i="4"/>
  <c r="Q1258" i="4"/>
  <c r="N1258" i="4"/>
  <c r="K1258" i="4"/>
  <c r="W1257" i="4"/>
  <c r="V1257" i="4"/>
  <c r="T1257" i="4"/>
  <c r="Q1257" i="4"/>
  <c r="N1257" i="4"/>
  <c r="K1257" i="4"/>
  <c r="W1256" i="4"/>
  <c r="V1256" i="4"/>
  <c r="T1256" i="4"/>
  <c r="Q1256" i="4"/>
  <c r="N1256" i="4"/>
  <c r="K1256" i="4"/>
  <c r="W1255" i="4"/>
  <c r="V1255" i="4"/>
  <c r="T1255" i="4"/>
  <c r="Q1255" i="4"/>
  <c r="N1255" i="4"/>
  <c r="K1255" i="4"/>
  <c r="W1254" i="4"/>
  <c r="V1254" i="4"/>
  <c r="T1254" i="4"/>
  <c r="Q1254" i="4"/>
  <c r="N1254" i="4"/>
  <c r="K1254" i="4"/>
  <c r="W1253" i="4"/>
  <c r="V1253" i="4"/>
  <c r="T1253" i="4"/>
  <c r="Q1253" i="4"/>
  <c r="N1253" i="4"/>
  <c r="K1253" i="4"/>
  <c r="W1252" i="4"/>
  <c r="V1252" i="4"/>
  <c r="T1252" i="4"/>
  <c r="Q1252" i="4"/>
  <c r="N1252" i="4"/>
  <c r="K1252" i="4"/>
  <c r="W1251" i="4"/>
  <c r="V1251" i="4"/>
  <c r="T1251" i="4"/>
  <c r="Q1251" i="4"/>
  <c r="N1251" i="4"/>
  <c r="K1251" i="4"/>
  <c r="W1250" i="4"/>
  <c r="V1250" i="4"/>
  <c r="T1250" i="4"/>
  <c r="Q1250" i="4"/>
  <c r="N1250" i="4"/>
  <c r="K1250" i="4"/>
  <c r="W1249" i="4"/>
  <c r="V1249" i="4"/>
  <c r="T1249" i="4"/>
  <c r="Q1249" i="4"/>
  <c r="N1249" i="4"/>
  <c r="K1249" i="4"/>
  <c r="W1248" i="4"/>
  <c r="V1248" i="4"/>
  <c r="T1248" i="4"/>
  <c r="Q1248" i="4"/>
  <c r="N1248" i="4"/>
  <c r="K1248" i="4"/>
  <c r="W1247" i="4"/>
  <c r="V1247" i="4"/>
  <c r="T1247" i="4"/>
  <c r="Q1247" i="4"/>
  <c r="N1247" i="4"/>
  <c r="K1247" i="4"/>
  <c r="W1246" i="4"/>
  <c r="V1246" i="4"/>
  <c r="T1246" i="4"/>
  <c r="Q1246" i="4"/>
  <c r="N1246" i="4"/>
  <c r="K1246" i="4"/>
  <c r="W1245" i="4"/>
  <c r="V1245" i="4"/>
  <c r="T1245" i="4"/>
  <c r="Q1245" i="4"/>
  <c r="N1245" i="4"/>
  <c r="K1245" i="4"/>
  <c r="W1244" i="4"/>
  <c r="V1244" i="4"/>
  <c r="T1244" i="4"/>
  <c r="Q1244" i="4"/>
  <c r="N1244" i="4"/>
  <c r="K1244" i="4"/>
  <c r="W1243" i="4"/>
  <c r="V1243" i="4"/>
  <c r="T1243" i="4"/>
  <c r="Q1243" i="4"/>
  <c r="N1243" i="4"/>
  <c r="K1243" i="4"/>
  <c r="W1242" i="4"/>
  <c r="V1242" i="4"/>
  <c r="T1242" i="4"/>
  <c r="Q1242" i="4"/>
  <c r="N1242" i="4"/>
  <c r="K1242" i="4"/>
  <c r="W1241" i="4"/>
  <c r="V1241" i="4"/>
  <c r="T1241" i="4"/>
  <c r="Q1241" i="4"/>
  <c r="N1241" i="4"/>
  <c r="K1241" i="4"/>
  <c r="W1240" i="4"/>
  <c r="V1240" i="4"/>
  <c r="T1240" i="4"/>
  <c r="Q1240" i="4"/>
  <c r="N1240" i="4"/>
  <c r="K1240" i="4"/>
  <c r="W1239" i="4"/>
  <c r="V1239" i="4"/>
  <c r="T1239" i="4"/>
  <c r="Q1239" i="4"/>
  <c r="N1239" i="4"/>
  <c r="K1239" i="4"/>
  <c r="W1238" i="4"/>
  <c r="V1238" i="4"/>
  <c r="T1238" i="4"/>
  <c r="Q1238" i="4"/>
  <c r="N1238" i="4"/>
  <c r="K1238" i="4"/>
  <c r="W1237" i="4"/>
  <c r="V1237" i="4"/>
  <c r="T1237" i="4"/>
  <c r="Q1237" i="4"/>
  <c r="N1237" i="4"/>
  <c r="K1237" i="4"/>
  <c r="W1236" i="4"/>
  <c r="V1236" i="4"/>
  <c r="T1236" i="4"/>
  <c r="Q1236" i="4"/>
  <c r="N1236" i="4"/>
  <c r="K1236" i="4"/>
  <c r="W1235" i="4"/>
  <c r="V1235" i="4"/>
  <c r="T1235" i="4"/>
  <c r="Q1235" i="4"/>
  <c r="N1235" i="4"/>
  <c r="K1235" i="4"/>
  <c r="W1234" i="4"/>
  <c r="V1234" i="4"/>
  <c r="T1234" i="4"/>
  <c r="Q1234" i="4"/>
  <c r="N1234" i="4"/>
  <c r="K1234" i="4"/>
  <c r="W1233" i="4"/>
  <c r="V1233" i="4"/>
  <c r="T1233" i="4"/>
  <c r="Q1233" i="4"/>
  <c r="N1233" i="4"/>
  <c r="K1233" i="4"/>
  <c r="W1232" i="4"/>
  <c r="V1232" i="4"/>
  <c r="T1232" i="4"/>
  <c r="Q1232" i="4"/>
  <c r="N1232" i="4"/>
  <c r="K1232" i="4"/>
  <c r="W1231" i="4"/>
  <c r="V1231" i="4"/>
  <c r="T1231" i="4"/>
  <c r="Q1231" i="4"/>
  <c r="N1231" i="4"/>
  <c r="K1231" i="4"/>
  <c r="W1230" i="4"/>
  <c r="V1230" i="4"/>
  <c r="T1230" i="4"/>
  <c r="Q1230" i="4"/>
  <c r="N1230" i="4"/>
  <c r="K1230" i="4"/>
  <c r="W1229" i="4"/>
  <c r="V1229" i="4"/>
  <c r="T1229" i="4"/>
  <c r="Q1229" i="4"/>
  <c r="N1229" i="4"/>
  <c r="K1229" i="4"/>
  <c r="W1228" i="4"/>
  <c r="V1228" i="4"/>
  <c r="T1228" i="4"/>
  <c r="Q1228" i="4"/>
  <c r="N1228" i="4"/>
  <c r="K1228" i="4"/>
  <c r="W1227" i="4"/>
  <c r="V1227" i="4"/>
  <c r="T1227" i="4"/>
  <c r="Q1227" i="4"/>
  <c r="N1227" i="4"/>
  <c r="K1227" i="4"/>
  <c r="W1226" i="4"/>
  <c r="V1226" i="4"/>
  <c r="T1226" i="4"/>
  <c r="Q1226" i="4"/>
  <c r="N1226" i="4"/>
  <c r="K1226" i="4"/>
  <c r="W1225" i="4"/>
  <c r="V1225" i="4"/>
  <c r="T1225" i="4"/>
  <c r="Q1225" i="4"/>
  <c r="N1225" i="4"/>
  <c r="K1225" i="4"/>
  <c r="W1224" i="4"/>
  <c r="V1224" i="4"/>
  <c r="T1224" i="4"/>
  <c r="Q1224" i="4"/>
  <c r="N1224" i="4"/>
  <c r="K1224" i="4"/>
  <c r="W1223" i="4"/>
  <c r="V1223" i="4"/>
  <c r="T1223" i="4"/>
  <c r="Q1223" i="4"/>
  <c r="N1223" i="4"/>
  <c r="K1223" i="4"/>
  <c r="W1222" i="4"/>
  <c r="V1222" i="4"/>
  <c r="T1222" i="4"/>
  <c r="Q1222" i="4"/>
  <c r="N1222" i="4"/>
  <c r="K1222" i="4"/>
  <c r="W1221" i="4"/>
  <c r="V1221" i="4"/>
  <c r="T1221" i="4"/>
  <c r="Q1221" i="4"/>
  <c r="N1221" i="4"/>
  <c r="K1221" i="4"/>
  <c r="W1220" i="4"/>
  <c r="V1220" i="4"/>
  <c r="T1220" i="4"/>
  <c r="Q1220" i="4"/>
  <c r="N1220" i="4"/>
  <c r="K1220" i="4"/>
  <c r="W1219" i="4"/>
  <c r="V1219" i="4"/>
  <c r="T1219" i="4"/>
  <c r="Q1219" i="4"/>
  <c r="N1219" i="4"/>
  <c r="K1219" i="4"/>
  <c r="W1218" i="4"/>
  <c r="V1218" i="4"/>
  <c r="T1218" i="4"/>
  <c r="Q1218" i="4"/>
  <c r="N1218" i="4"/>
  <c r="K1218" i="4"/>
  <c r="W1217" i="4"/>
  <c r="V1217" i="4"/>
  <c r="T1217" i="4"/>
  <c r="Q1217" i="4"/>
  <c r="N1217" i="4"/>
  <c r="K1217" i="4"/>
  <c r="W1216" i="4"/>
  <c r="V1216" i="4"/>
  <c r="T1216" i="4"/>
  <c r="Q1216" i="4"/>
  <c r="N1216" i="4"/>
  <c r="K1216" i="4"/>
  <c r="W1215" i="4"/>
  <c r="V1215" i="4"/>
  <c r="T1215" i="4"/>
  <c r="Q1215" i="4"/>
  <c r="N1215" i="4"/>
  <c r="K1215" i="4"/>
  <c r="W1214" i="4"/>
  <c r="V1214" i="4"/>
  <c r="T1214" i="4"/>
  <c r="Q1214" i="4"/>
  <c r="N1214" i="4"/>
  <c r="K1214" i="4"/>
  <c r="W1213" i="4"/>
  <c r="V1213" i="4"/>
  <c r="T1213" i="4"/>
  <c r="Q1213" i="4"/>
  <c r="N1213" i="4"/>
  <c r="K1213" i="4"/>
  <c r="W1212" i="4"/>
  <c r="V1212" i="4"/>
  <c r="T1212" i="4"/>
  <c r="Q1212" i="4"/>
  <c r="N1212" i="4"/>
  <c r="K1212" i="4"/>
  <c r="W1211" i="4"/>
  <c r="V1211" i="4"/>
  <c r="T1211" i="4"/>
  <c r="Q1211" i="4"/>
  <c r="N1211" i="4"/>
  <c r="K1211" i="4"/>
  <c r="W1210" i="4"/>
  <c r="V1210" i="4"/>
  <c r="T1210" i="4"/>
  <c r="Q1210" i="4"/>
  <c r="N1210" i="4"/>
  <c r="K1210" i="4"/>
  <c r="W1209" i="4"/>
  <c r="V1209" i="4"/>
  <c r="T1209" i="4"/>
  <c r="Q1209" i="4"/>
  <c r="N1209" i="4"/>
  <c r="K1209" i="4"/>
  <c r="W1208" i="4"/>
  <c r="V1208" i="4"/>
  <c r="T1208" i="4"/>
  <c r="Q1208" i="4"/>
  <c r="N1208" i="4"/>
  <c r="K1208" i="4"/>
  <c r="W1207" i="4"/>
  <c r="V1207" i="4"/>
  <c r="T1207" i="4"/>
  <c r="Q1207" i="4"/>
  <c r="N1207" i="4"/>
  <c r="K1207" i="4"/>
  <c r="W1206" i="4"/>
  <c r="V1206" i="4"/>
  <c r="T1206" i="4"/>
  <c r="Q1206" i="4"/>
  <c r="N1206" i="4"/>
  <c r="K1206" i="4"/>
  <c r="W1205" i="4"/>
  <c r="V1205" i="4"/>
  <c r="T1205" i="4"/>
  <c r="Q1205" i="4"/>
  <c r="N1205" i="4"/>
  <c r="K1205" i="4"/>
  <c r="W1204" i="4"/>
  <c r="V1204" i="4"/>
  <c r="T1204" i="4"/>
  <c r="Q1204" i="4"/>
  <c r="N1204" i="4"/>
  <c r="K1204" i="4"/>
  <c r="W1203" i="4"/>
  <c r="V1203" i="4"/>
  <c r="T1203" i="4"/>
  <c r="Q1203" i="4"/>
  <c r="N1203" i="4"/>
  <c r="K1203" i="4"/>
  <c r="W1202" i="4"/>
  <c r="V1202" i="4"/>
  <c r="T1202" i="4"/>
  <c r="Q1202" i="4"/>
  <c r="N1202" i="4"/>
  <c r="K1202" i="4"/>
  <c r="W1201" i="4"/>
  <c r="V1201" i="4"/>
  <c r="T1201" i="4"/>
  <c r="Q1201" i="4"/>
  <c r="N1201" i="4"/>
  <c r="K1201" i="4"/>
  <c r="W1200" i="4"/>
  <c r="V1200" i="4"/>
  <c r="T1200" i="4"/>
  <c r="Q1200" i="4"/>
  <c r="N1200" i="4"/>
  <c r="K1200" i="4"/>
  <c r="W1199" i="4"/>
  <c r="V1199" i="4"/>
  <c r="T1199" i="4"/>
  <c r="Q1199" i="4"/>
  <c r="N1199" i="4"/>
  <c r="K1199" i="4"/>
  <c r="W1198" i="4"/>
  <c r="V1198" i="4"/>
  <c r="T1198" i="4"/>
  <c r="Q1198" i="4"/>
  <c r="N1198" i="4"/>
  <c r="K1198" i="4"/>
  <c r="W1197" i="4"/>
  <c r="V1197" i="4"/>
  <c r="T1197" i="4"/>
  <c r="Q1197" i="4"/>
  <c r="N1197" i="4"/>
  <c r="K1197" i="4"/>
  <c r="W1196" i="4"/>
  <c r="V1196" i="4"/>
  <c r="T1196" i="4"/>
  <c r="Q1196" i="4"/>
  <c r="N1196" i="4"/>
  <c r="K1196" i="4"/>
  <c r="W1195" i="4"/>
  <c r="V1195" i="4"/>
  <c r="T1195" i="4"/>
  <c r="Q1195" i="4"/>
  <c r="N1195" i="4"/>
  <c r="K1195" i="4"/>
  <c r="W1194" i="4"/>
  <c r="V1194" i="4"/>
  <c r="T1194" i="4"/>
  <c r="Q1194" i="4"/>
  <c r="N1194" i="4"/>
  <c r="K1194" i="4"/>
  <c r="W1193" i="4"/>
  <c r="V1193" i="4"/>
  <c r="T1193" i="4"/>
  <c r="Q1193" i="4"/>
  <c r="N1193" i="4"/>
  <c r="K1193" i="4"/>
  <c r="W1192" i="4"/>
  <c r="V1192" i="4"/>
  <c r="T1192" i="4"/>
  <c r="Q1192" i="4"/>
  <c r="N1192" i="4"/>
  <c r="K1192" i="4"/>
  <c r="W1191" i="4"/>
  <c r="V1191" i="4"/>
  <c r="T1191" i="4"/>
  <c r="Q1191" i="4"/>
  <c r="N1191" i="4"/>
  <c r="K1191" i="4"/>
  <c r="W1190" i="4"/>
  <c r="V1190" i="4"/>
  <c r="T1190" i="4"/>
  <c r="Q1190" i="4"/>
  <c r="N1190" i="4"/>
  <c r="K1190" i="4"/>
  <c r="W1189" i="4"/>
  <c r="V1189" i="4"/>
  <c r="T1189" i="4"/>
  <c r="Q1189" i="4"/>
  <c r="N1189" i="4"/>
  <c r="K1189" i="4"/>
  <c r="W1188" i="4"/>
  <c r="V1188" i="4"/>
  <c r="T1188" i="4"/>
  <c r="Q1188" i="4"/>
  <c r="N1188" i="4"/>
  <c r="K1188" i="4"/>
  <c r="W1187" i="4"/>
  <c r="V1187" i="4"/>
  <c r="T1187" i="4"/>
  <c r="Q1187" i="4"/>
  <c r="N1187" i="4"/>
  <c r="K1187" i="4"/>
  <c r="W1186" i="4"/>
  <c r="V1186" i="4"/>
  <c r="T1186" i="4"/>
  <c r="Q1186" i="4"/>
  <c r="N1186" i="4"/>
  <c r="K1186" i="4"/>
  <c r="W1185" i="4"/>
  <c r="V1185" i="4"/>
  <c r="T1185" i="4"/>
  <c r="Q1185" i="4"/>
  <c r="N1185" i="4"/>
  <c r="K1185" i="4"/>
  <c r="W1184" i="4"/>
  <c r="V1184" i="4"/>
  <c r="T1184" i="4"/>
  <c r="Q1184" i="4"/>
  <c r="N1184" i="4"/>
  <c r="K1184" i="4"/>
  <c r="W1183" i="4"/>
  <c r="V1183" i="4"/>
  <c r="T1183" i="4"/>
  <c r="Q1183" i="4"/>
  <c r="N1183" i="4"/>
  <c r="K1183" i="4"/>
  <c r="W1182" i="4"/>
  <c r="V1182" i="4"/>
  <c r="T1182" i="4"/>
  <c r="Q1182" i="4"/>
  <c r="N1182" i="4"/>
  <c r="K1182" i="4"/>
  <c r="W1181" i="4"/>
  <c r="V1181" i="4"/>
  <c r="T1181" i="4"/>
  <c r="Q1181" i="4"/>
  <c r="N1181" i="4"/>
  <c r="K1181" i="4"/>
  <c r="W1180" i="4"/>
  <c r="V1180" i="4"/>
  <c r="T1180" i="4"/>
  <c r="Q1180" i="4"/>
  <c r="N1180" i="4"/>
  <c r="K1180" i="4"/>
  <c r="W1179" i="4"/>
  <c r="V1179" i="4"/>
  <c r="T1179" i="4"/>
  <c r="Q1179" i="4"/>
  <c r="N1179" i="4"/>
  <c r="K1179" i="4"/>
  <c r="W1178" i="4"/>
  <c r="V1178" i="4"/>
  <c r="T1178" i="4"/>
  <c r="Q1178" i="4"/>
  <c r="N1178" i="4"/>
  <c r="K1178" i="4"/>
  <c r="W1177" i="4"/>
  <c r="V1177" i="4"/>
  <c r="T1177" i="4"/>
  <c r="Q1177" i="4"/>
  <c r="N1177" i="4"/>
  <c r="K1177" i="4"/>
  <c r="W1176" i="4"/>
  <c r="V1176" i="4"/>
  <c r="T1176" i="4"/>
  <c r="Q1176" i="4"/>
  <c r="N1176" i="4"/>
  <c r="K1176" i="4"/>
  <c r="W1175" i="4"/>
  <c r="V1175" i="4"/>
  <c r="T1175" i="4"/>
  <c r="Q1175" i="4"/>
  <c r="N1175" i="4"/>
  <c r="K1175" i="4"/>
  <c r="W1174" i="4"/>
  <c r="V1174" i="4"/>
  <c r="T1174" i="4"/>
  <c r="Q1174" i="4"/>
  <c r="N1174" i="4"/>
  <c r="K1174" i="4"/>
  <c r="W1173" i="4"/>
  <c r="V1173" i="4"/>
  <c r="T1173" i="4"/>
  <c r="Q1173" i="4"/>
  <c r="N1173" i="4"/>
  <c r="K1173" i="4"/>
  <c r="W1172" i="4"/>
  <c r="V1172" i="4"/>
  <c r="T1172" i="4"/>
  <c r="Q1172" i="4"/>
  <c r="N1172" i="4"/>
  <c r="K1172" i="4"/>
  <c r="W1171" i="4"/>
  <c r="V1171" i="4"/>
  <c r="T1171" i="4"/>
  <c r="Q1171" i="4"/>
  <c r="N1171" i="4"/>
  <c r="K1171" i="4"/>
  <c r="W1170" i="4"/>
  <c r="V1170" i="4"/>
  <c r="T1170" i="4"/>
  <c r="Q1170" i="4"/>
  <c r="N1170" i="4"/>
  <c r="K1170" i="4"/>
  <c r="W1169" i="4"/>
  <c r="V1169" i="4"/>
  <c r="T1169" i="4"/>
  <c r="Q1169" i="4"/>
  <c r="N1169" i="4"/>
  <c r="K1169" i="4"/>
  <c r="W1168" i="4"/>
  <c r="V1168" i="4"/>
  <c r="T1168" i="4"/>
  <c r="Q1168" i="4"/>
  <c r="N1168" i="4"/>
  <c r="K1168" i="4"/>
  <c r="W1167" i="4"/>
  <c r="V1167" i="4"/>
  <c r="T1167" i="4"/>
  <c r="Q1167" i="4"/>
  <c r="N1167" i="4"/>
  <c r="K1167" i="4"/>
  <c r="W1166" i="4"/>
  <c r="V1166" i="4"/>
  <c r="T1166" i="4"/>
  <c r="Q1166" i="4"/>
  <c r="N1166" i="4"/>
  <c r="K1166" i="4"/>
  <c r="W1165" i="4"/>
  <c r="V1165" i="4"/>
  <c r="T1165" i="4"/>
  <c r="Q1165" i="4"/>
  <c r="N1165" i="4"/>
  <c r="K1165" i="4"/>
  <c r="W1164" i="4"/>
  <c r="V1164" i="4"/>
  <c r="T1164" i="4"/>
  <c r="Q1164" i="4"/>
  <c r="N1164" i="4"/>
  <c r="K1164" i="4"/>
  <c r="W1163" i="4"/>
  <c r="V1163" i="4"/>
  <c r="T1163" i="4"/>
  <c r="Q1163" i="4"/>
  <c r="N1163" i="4"/>
  <c r="K1163" i="4"/>
  <c r="W1162" i="4"/>
  <c r="V1162" i="4"/>
  <c r="T1162" i="4"/>
  <c r="Q1162" i="4"/>
  <c r="N1162" i="4"/>
  <c r="K1162" i="4"/>
  <c r="W1161" i="4"/>
  <c r="V1161" i="4"/>
  <c r="T1161" i="4"/>
  <c r="Q1161" i="4"/>
  <c r="N1161" i="4"/>
  <c r="K1161" i="4"/>
  <c r="W1160" i="4"/>
  <c r="V1160" i="4"/>
  <c r="T1160" i="4"/>
  <c r="Q1160" i="4"/>
  <c r="N1160" i="4"/>
  <c r="K1160" i="4"/>
  <c r="W1159" i="4"/>
  <c r="V1159" i="4"/>
  <c r="T1159" i="4"/>
  <c r="Q1159" i="4"/>
  <c r="N1159" i="4"/>
  <c r="K1159" i="4"/>
  <c r="W1158" i="4"/>
  <c r="V1158" i="4"/>
  <c r="T1158" i="4"/>
  <c r="Q1158" i="4"/>
  <c r="N1158" i="4"/>
  <c r="K1158" i="4"/>
  <c r="W1157" i="4"/>
  <c r="V1157" i="4"/>
  <c r="T1157" i="4"/>
  <c r="Q1157" i="4"/>
  <c r="N1157" i="4"/>
  <c r="K1157" i="4"/>
  <c r="W1156" i="4"/>
  <c r="V1156" i="4"/>
  <c r="T1156" i="4"/>
  <c r="Q1156" i="4"/>
  <c r="N1156" i="4"/>
  <c r="K1156" i="4"/>
  <c r="W1155" i="4"/>
  <c r="V1155" i="4"/>
  <c r="T1155" i="4"/>
  <c r="Q1155" i="4"/>
  <c r="N1155" i="4"/>
  <c r="K1155" i="4"/>
  <c r="W1154" i="4"/>
  <c r="V1154" i="4"/>
  <c r="T1154" i="4"/>
  <c r="Q1154" i="4"/>
  <c r="N1154" i="4"/>
  <c r="K1154" i="4"/>
  <c r="W1153" i="4"/>
  <c r="V1153" i="4"/>
  <c r="T1153" i="4"/>
  <c r="Q1153" i="4"/>
  <c r="N1153" i="4"/>
  <c r="K1153" i="4"/>
  <c r="W1152" i="4"/>
  <c r="V1152" i="4"/>
  <c r="T1152" i="4"/>
  <c r="Q1152" i="4"/>
  <c r="N1152" i="4"/>
  <c r="K1152" i="4"/>
  <c r="W1151" i="4"/>
  <c r="V1151" i="4"/>
  <c r="T1151" i="4"/>
  <c r="Q1151" i="4"/>
  <c r="N1151" i="4"/>
  <c r="K1151" i="4"/>
  <c r="W1150" i="4"/>
  <c r="V1150" i="4"/>
  <c r="T1150" i="4"/>
  <c r="Q1150" i="4"/>
  <c r="N1150" i="4"/>
  <c r="K1150" i="4"/>
  <c r="W1149" i="4"/>
  <c r="V1149" i="4"/>
  <c r="T1149" i="4"/>
  <c r="Q1149" i="4"/>
  <c r="N1149" i="4"/>
  <c r="K1149" i="4"/>
  <c r="W1148" i="4"/>
  <c r="V1148" i="4"/>
  <c r="T1148" i="4"/>
  <c r="Q1148" i="4"/>
  <c r="N1148" i="4"/>
  <c r="K1148" i="4"/>
  <c r="W1147" i="4"/>
  <c r="V1147" i="4"/>
  <c r="T1147" i="4"/>
  <c r="Q1147" i="4"/>
  <c r="N1147" i="4"/>
  <c r="K1147" i="4"/>
  <c r="W1146" i="4"/>
  <c r="V1146" i="4"/>
  <c r="T1146" i="4"/>
  <c r="Q1146" i="4"/>
  <c r="N1146" i="4"/>
  <c r="K1146" i="4"/>
  <c r="W1145" i="4"/>
  <c r="V1145" i="4"/>
  <c r="T1145" i="4"/>
  <c r="Q1145" i="4"/>
  <c r="N1145" i="4"/>
  <c r="K1145" i="4"/>
  <c r="W1144" i="4"/>
  <c r="V1144" i="4"/>
  <c r="T1144" i="4"/>
  <c r="Q1144" i="4"/>
  <c r="N1144" i="4"/>
  <c r="K1144" i="4"/>
  <c r="W1143" i="4"/>
  <c r="V1143" i="4"/>
  <c r="T1143" i="4"/>
  <c r="Q1143" i="4"/>
  <c r="N1143" i="4"/>
  <c r="K1143" i="4"/>
  <c r="W1142" i="4"/>
  <c r="V1142" i="4"/>
  <c r="T1142" i="4"/>
  <c r="Q1142" i="4"/>
  <c r="N1142" i="4"/>
  <c r="K1142" i="4"/>
  <c r="W1141" i="4"/>
  <c r="V1141" i="4"/>
  <c r="T1141" i="4"/>
  <c r="Q1141" i="4"/>
  <c r="N1141" i="4"/>
  <c r="K1141" i="4"/>
  <c r="W1140" i="4"/>
  <c r="V1140" i="4"/>
  <c r="T1140" i="4"/>
  <c r="Q1140" i="4"/>
  <c r="N1140" i="4"/>
  <c r="K1140" i="4"/>
  <c r="W1139" i="4"/>
  <c r="V1139" i="4"/>
  <c r="T1139" i="4"/>
  <c r="Q1139" i="4"/>
  <c r="N1139" i="4"/>
  <c r="K1139" i="4"/>
  <c r="W1138" i="4"/>
  <c r="V1138" i="4"/>
  <c r="T1138" i="4"/>
  <c r="Q1138" i="4"/>
  <c r="N1138" i="4"/>
  <c r="K1138" i="4"/>
  <c r="W1137" i="4"/>
  <c r="V1137" i="4"/>
  <c r="T1137" i="4"/>
  <c r="Q1137" i="4"/>
  <c r="N1137" i="4"/>
  <c r="K1137" i="4"/>
  <c r="W1136" i="4"/>
  <c r="V1136" i="4"/>
  <c r="T1136" i="4"/>
  <c r="Q1136" i="4"/>
  <c r="N1136" i="4"/>
  <c r="K1136" i="4"/>
  <c r="W1135" i="4"/>
  <c r="V1135" i="4"/>
  <c r="T1135" i="4"/>
  <c r="Q1135" i="4"/>
  <c r="N1135" i="4"/>
  <c r="K1135" i="4"/>
  <c r="W1134" i="4"/>
  <c r="V1134" i="4"/>
  <c r="T1134" i="4"/>
  <c r="Q1134" i="4"/>
  <c r="N1134" i="4"/>
  <c r="K1134" i="4"/>
  <c r="W1133" i="4"/>
  <c r="V1133" i="4"/>
  <c r="T1133" i="4"/>
  <c r="Q1133" i="4"/>
  <c r="N1133" i="4"/>
  <c r="K1133" i="4"/>
  <c r="W1132" i="4"/>
  <c r="V1132" i="4"/>
  <c r="T1132" i="4"/>
  <c r="Q1132" i="4"/>
  <c r="N1132" i="4"/>
  <c r="K1132" i="4"/>
  <c r="W1131" i="4"/>
  <c r="V1131" i="4"/>
  <c r="T1131" i="4"/>
  <c r="Q1131" i="4"/>
  <c r="N1131" i="4"/>
  <c r="K1131" i="4"/>
  <c r="W1130" i="4"/>
  <c r="V1130" i="4"/>
  <c r="T1130" i="4"/>
  <c r="Q1130" i="4"/>
  <c r="N1130" i="4"/>
  <c r="K1130" i="4"/>
  <c r="W1129" i="4"/>
  <c r="V1129" i="4"/>
  <c r="T1129" i="4"/>
  <c r="Q1129" i="4"/>
  <c r="N1129" i="4"/>
  <c r="K1129" i="4"/>
  <c r="W1128" i="4"/>
  <c r="V1128" i="4"/>
  <c r="T1128" i="4"/>
  <c r="Q1128" i="4"/>
  <c r="N1128" i="4"/>
  <c r="K1128" i="4"/>
  <c r="W1127" i="4"/>
  <c r="V1127" i="4"/>
  <c r="T1127" i="4"/>
  <c r="Q1127" i="4"/>
  <c r="N1127" i="4"/>
  <c r="K1127" i="4"/>
  <c r="W1126" i="4"/>
  <c r="V1126" i="4"/>
  <c r="T1126" i="4"/>
  <c r="Q1126" i="4"/>
  <c r="N1126" i="4"/>
  <c r="K1126" i="4"/>
  <c r="W1125" i="4"/>
  <c r="V1125" i="4"/>
  <c r="T1125" i="4"/>
  <c r="Q1125" i="4"/>
  <c r="N1125" i="4"/>
  <c r="K1125" i="4"/>
  <c r="W1124" i="4"/>
  <c r="V1124" i="4"/>
  <c r="T1124" i="4"/>
  <c r="Q1124" i="4"/>
  <c r="N1124" i="4"/>
  <c r="K1124" i="4"/>
  <c r="W1123" i="4"/>
  <c r="V1123" i="4"/>
  <c r="T1123" i="4"/>
  <c r="Q1123" i="4"/>
  <c r="N1123" i="4"/>
  <c r="K1123" i="4"/>
  <c r="W1122" i="4"/>
  <c r="V1122" i="4"/>
  <c r="T1122" i="4"/>
  <c r="Q1122" i="4"/>
  <c r="N1122" i="4"/>
  <c r="K1122" i="4"/>
  <c r="W1121" i="4"/>
  <c r="V1121" i="4"/>
  <c r="T1121" i="4"/>
  <c r="Q1121" i="4"/>
  <c r="N1121" i="4"/>
  <c r="K1121" i="4"/>
  <c r="W1120" i="4"/>
  <c r="V1120" i="4"/>
  <c r="T1120" i="4"/>
  <c r="Q1120" i="4"/>
  <c r="N1120" i="4"/>
  <c r="K1120" i="4"/>
  <c r="W1119" i="4"/>
  <c r="V1119" i="4"/>
  <c r="T1119" i="4"/>
  <c r="Q1119" i="4"/>
  <c r="N1119" i="4"/>
  <c r="K1119" i="4"/>
  <c r="W1118" i="4"/>
  <c r="V1118" i="4"/>
  <c r="T1118" i="4"/>
  <c r="Q1118" i="4"/>
  <c r="N1118" i="4"/>
  <c r="K1118" i="4"/>
  <c r="W1117" i="4"/>
  <c r="V1117" i="4"/>
  <c r="T1117" i="4"/>
  <c r="Q1117" i="4"/>
  <c r="N1117" i="4"/>
  <c r="K1117" i="4"/>
  <c r="W1116" i="4"/>
  <c r="V1116" i="4"/>
  <c r="T1116" i="4"/>
  <c r="Q1116" i="4"/>
  <c r="N1116" i="4"/>
  <c r="K1116" i="4"/>
  <c r="W1115" i="4"/>
  <c r="V1115" i="4"/>
  <c r="T1115" i="4"/>
  <c r="Q1115" i="4"/>
  <c r="N1115" i="4"/>
  <c r="K1115" i="4"/>
  <c r="W1114" i="4"/>
  <c r="V1114" i="4"/>
  <c r="T1114" i="4"/>
  <c r="Q1114" i="4"/>
  <c r="N1114" i="4"/>
  <c r="K1114" i="4"/>
  <c r="W1113" i="4"/>
  <c r="V1113" i="4"/>
  <c r="T1113" i="4"/>
  <c r="Q1113" i="4"/>
  <c r="N1113" i="4"/>
  <c r="K1113" i="4"/>
  <c r="W1112" i="4"/>
  <c r="V1112" i="4"/>
  <c r="T1112" i="4"/>
  <c r="Q1112" i="4"/>
  <c r="N1112" i="4"/>
  <c r="K1112" i="4"/>
  <c r="W1111" i="4"/>
  <c r="V1111" i="4"/>
  <c r="T1111" i="4"/>
  <c r="Q1111" i="4"/>
  <c r="N1111" i="4"/>
  <c r="K1111" i="4"/>
  <c r="W1110" i="4"/>
  <c r="V1110" i="4"/>
  <c r="T1110" i="4"/>
  <c r="Q1110" i="4"/>
  <c r="N1110" i="4"/>
  <c r="K1110" i="4"/>
  <c r="W1109" i="4"/>
  <c r="V1109" i="4"/>
  <c r="T1109" i="4"/>
  <c r="Q1109" i="4"/>
  <c r="N1109" i="4"/>
  <c r="K1109" i="4"/>
  <c r="W1108" i="4"/>
  <c r="V1108" i="4"/>
  <c r="T1108" i="4"/>
  <c r="Q1108" i="4"/>
  <c r="N1108" i="4"/>
  <c r="K1108" i="4"/>
  <c r="W1107" i="4"/>
  <c r="V1107" i="4"/>
  <c r="T1107" i="4"/>
  <c r="Q1107" i="4"/>
  <c r="N1107" i="4"/>
  <c r="K1107" i="4"/>
  <c r="W1106" i="4"/>
  <c r="V1106" i="4"/>
  <c r="T1106" i="4"/>
  <c r="Q1106" i="4"/>
  <c r="N1106" i="4"/>
  <c r="K1106" i="4"/>
  <c r="W1105" i="4"/>
  <c r="V1105" i="4"/>
  <c r="T1105" i="4"/>
  <c r="Q1105" i="4"/>
  <c r="N1105" i="4"/>
  <c r="K1105" i="4"/>
  <c r="W1104" i="4"/>
  <c r="V1104" i="4"/>
  <c r="T1104" i="4"/>
  <c r="Q1104" i="4"/>
  <c r="N1104" i="4"/>
  <c r="K1104" i="4"/>
  <c r="W1103" i="4"/>
  <c r="V1103" i="4"/>
  <c r="T1103" i="4"/>
  <c r="Q1103" i="4"/>
  <c r="N1103" i="4"/>
  <c r="K1103" i="4"/>
  <c r="W1102" i="4"/>
  <c r="V1102" i="4"/>
  <c r="T1102" i="4"/>
  <c r="Q1102" i="4"/>
  <c r="N1102" i="4"/>
  <c r="K1102" i="4"/>
  <c r="W1101" i="4"/>
  <c r="V1101" i="4"/>
  <c r="T1101" i="4"/>
  <c r="Q1101" i="4"/>
  <c r="N1101" i="4"/>
  <c r="K1101" i="4"/>
  <c r="W1100" i="4"/>
  <c r="V1100" i="4"/>
  <c r="T1100" i="4"/>
  <c r="Q1100" i="4"/>
  <c r="N1100" i="4"/>
  <c r="K1100" i="4"/>
  <c r="W1099" i="4"/>
  <c r="V1099" i="4"/>
  <c r="T1099" i="4"/>
  <c r="Q1099" i="4"/>
  <c r="N1099" i="4"/>
  <c r="K1099" i="4"/>
  <c r="W1098" i="4"/>
  <c r="V1098" i="4"/>
  <c r="T1098" i="4"/>
  <c r="Q1098" i="4"/>
  <c r="N1098" i="4"/>
  <c r="K1098" i="4"/>
  <c r="W1097" i="4"/>
  <c r="V1097" i="4"/>
  <c r="T1097" i="4"/>
  <c r="Q1097" i="4"/>
  <c r="N1097" i="4"/>
  <c r="K1097" i="4"/>
  <c r="W1096" i="4"/>
  <c r="V1096" i="4"/>
  <c r="T1096" i="4"/>
  <c r="Q1096" i="4"/>
  <c r="N1096" i="4"/>
  <c r="K1096" i="4"/>
  <c r="W1095" i="4"/>
  <c r="V1095" i="4"/>
  <c r="T1095" i="4"/>
  <c r="Q1095" i="4"/>
  <c r="N1095" i="4"/>
  <c r="K1095" i="4"/>
  <c r="W1094" i="4"/>
  <c r="V1094" i="4"/>
  <c r="T1094" i="4"/>
  <c r="Q1094" i="4"/>
  <c r="N1094" i="4"/>
  <c r="K1094" i="4"/>
  <c r="W1093" i="4"/>
  <c r="V1093" i="4"/>
  <c r="T1093" i="4"/>
  <c r="Q1093" i="4"/>
  <c r="N1093" i="4"/>
  <c r="K1093" i="4"/>
  <c r="W1092" i="4"/>
  <c r="V1092" i="4"/>
  <c r="T1092" i="4"/>
  <c r="Q1092" i="4"/>
  <c r="N1092" i="4"/>
  <c r="K1092" i="4"/>
  <c r="W1091" i="4"/>
  <c r="V1091" i="4"/>
  <c r="T1091" i="4"/>
  <c r="Q1091" i="4"/>
  <c r="N1091" i="4"/>
  <c r="K1091" i="4"/>
  <c r="W1090" i="4"/>
  <c r="V1090" i="4"/>
  <c r="T1090" i="4"/>
  <c r="Q1090" i="4"/>
  <c r="N1090" i="4"/>
  <c r="K1090" i="4"/>
  <c r="W1089" i="4"/>
  <c r="V1089" i="4"/>
  <c r="T1089" i="4"/>
  <c r="Q1089" i="4"/>
  <c r="N1089" i="4"/>
  <c r="K1089" i="4"/>
  <c r="W1088" i="4"/>
  <c r="V1088" i="4"/>
  <c r="T1088" i="4"/>
  <c r="Q1088" i="4"/>
  <c r="N1088" i="4"/>
  <c r="K1088" i="4"/>
  <c r="W1087" i="4"/>
  <c r="V1087" i="4"/>
  <c r="T1087" i="4"/>
  <c r="Q1087" i="4"/>
  <c r="N1087" i="4"/>
  <c r="K1087" i="4"/>
  <c r="W1086" i="4"/>
  <c r="V1086" i="4"/>
  <c r="T1086" i="4"/>
  <c r="Q1086" i="4"/>
  <c r="N1086" i="4"/>
  <c r="K1086" i="4"/>
  <c r="W1085" i="4"/>
  <c r="V1085" i="4"/>
  <c r="T1085" i="4"/>
  <c r="Q1085" i="4"/>
  <c r="N1085" i="4"/>
  <c r="K1085" i="4"/>
  <c r="W1084" i="4"/>
  <c r="V1084" i="4"/>
  <c r="T1084" i="4"/>
  <c r="Q1084" i="4"/>
  <c r="N1084" i="4"/>
  <c r="K1084" i="4"/>
  <c r="W1083" i="4"/>
  <c r="V1083" i="4"/>
  <c r="T1083" i="4"/>
  <c r="Q1083" i="4"/>
  <c r="N1083" i="4"/>
  <c r="K1083" i="4"/>
  <c r="W1082" i="4"/>
  <c r="V1082" i="4"/>
  <c r="T1082" i="4"/>
  <c r="Q1082" i="4"/>
  <c r="N1082" i="4"/>
  <c r="K1082" i="4"/>
  <c r="W1081" i="4"/>
  <c r="V1081" i="4"/>
  <c r="T1081" i="4"/>
  <c r="Q1081" i="4"/>
  <c r="N1081" i="4"/>
  <c r="K1081" i="4"/>
  <c r="W1080" i="4"/>
  <c r="V1080" i="4"/>
  <c r="T1080" i="4"/>
  <c r="Q1080" i="4"/>
  <c r="N1080" i="4"/>
  <c r="K1080" i="4"/>
  <c r="W1079" i="4"/>
  <c r="V1079" i="4"/>
  <c r="T1079" i="4"/>
  <c r="Q1079" i="4"/>
  <c r="N1079" i="4"/>
  <c r="K1079" i="4"/>
  <c r="W1078" i="4"/>
  <c r="V1078" i="4"/>
  <c r="T1078" i="4"/>
  <c r="Q1078" i="4"/>
  <c r="N1078" i="4"/>
  <c r="K1078" i="4"/>
  <c r="W1077" i="4"/>
  <c r="V1077" i="4"/>
  <c r="T1077" i="4"/>
  <c r="Q1077" i="4"/>
  <c r="N1077" i="4"/>
  <c r="K1077" i="4"/>
  <c r="W1076" i="4"/>
  <c r="V1076" i="4"/>
  <c r="T1076" i="4"/>
  <c r="Q1076" i="4"/>
  <c r="N1076" i="4"/>
  <c r="K1076" i="4"/>
  <c r="W1075" i="4"/>
  <c r="V1075" i="4"/>
  <c r="T1075" i="4"/>
  <c r="Q1075" i="4"/>
  <c r="N1075" i="4"/>
  <c r="K1075" i="4"/>
  <c r="W1074" i="4"/>
  <c r="V1074" i="4"/>
  <c r="T1074" i="4"/>
  <c r="Q1074" i="4"/>
  <c r="N1074" i="4"/>
  <c r="K1074" i="4"/>
  <c r="W1073" i="4"/>
  <c r="V1073" i="4"/>
  <c r="T1073" i="4"/>
  <c r="Q1073" i="4"/>
  <c r="N1073" i="4"/>
  <c r="K1073" i="4"/>
  <c r="W1072" i="4"/>
  <c r="V1072" i="4"/>
  <c r="T1072" i="4"/>
  <c r="Q1072" i="4"/>
  <c r="N1072" i="4"/>
  <c r="K1072" i="4"/>
  <c r="W1071" i="4"/>
  <c r="V1071" i="4"/>
  <c r="T1071" i="4"/>
  <c r="Q1071" i="4"/>
  <c r="N1071" i="4"/>
  <c r="K1071" i="4"/>
  <c r="W1070" i="4"/>
  <c r="V1070" i="4"/>
  <c r="T1070" i="4"/>
  <c r="Q1070" i="4"/>
  <c r="N1070" i="4"/>
  <c r="K1070" i="4"/>
  <c r="W1069" i="4"/>
  <c r="V1069" i="4"/>
  <c r="T1069" i="4"/>
  <c r="Q1069" i="4"/>
  <c r="N1069" i="4"/>
  <c r="K1069" i="4"/>
  <c r="W1068" i="4"/>
  <c r="V1068" i="4"/>
  <c r="T1068" i="4"/>
  <c r="Q1068" i="4"/>
  <c r="N1068" i="4"/>
  <c r="K1068" i="4"/>
  <c r="W1067" i="4"/>
  <c r="V1067" i="4"/>
  <c r="T1067" i="4"/>
  <c r="Q1067" i="4"/>
  <c r="N1067" i="4"/>
  <c r="K1067" i="4"/>
  <c r="W1066" i="4"/>
  <c r="V1066" i="4"/>
  <c r="T1066" i="4"/>
  <c r="Q1066" i="4"/>
  <c r="N1066" i="4"/>
  <c r="K1066" i="4"/>
  <c r="W1065" i="4"/>
  <c r="V1065" i="4"/>
  <c r="T1065" i="4"/>
  <c r="Q1065" i="4"/>
  <c r="N1065" i="4"/>
  <c r="K1065" i="4"/>
  <c r="W1064" i="4"/>
  <c r="V1064" i="4"/>
  <c r="T1064" i="4"/>
  <c r="Q1064" i="4"/>
  <c r="N1064" i="4"/>
  <c r="K1064" i="4"/>
  <c r="W1063" i="4"/>
  <c r="V1063" i="4"/>
  <c r="T1063" i="4"/>
  <c r="Q1063" i="4"/>
  <c r="N1063" i="4"/>
  <c r="K1063" i="4"/>
  <c r="W1062" i="4"/>
  <c r="V1062" i="4"/>
  <c r="T1062" i="4"/>
  <c r="Q1062" i="4"/>
  <c r="N1062" i="4"/>
  <c r="K1062" i="4"/>
  <c r="W1061" i="4"/>
  <c r="V1061" i="4"/>
  <c r="T1061" i="4"/>
  <c r="Q1061" i="4"/>
  <c r="N1061" i="4"/>
  <c r="K1061" i="4"/>
  <c r="W1060" i="4"/>
  <c r="V1060" i="4"/>
  <c r="T1060" i="4"/>
  <c r="Q1060" i="4"/>
  <c r="N1060" i="4"/>
  <c r="K1060" i="4"/>
  <c r="W1059" i="4"/>
  <c r="V1059" i="4"/>
  <c r="T1059" i="4"/>
  <c r="Q1059" i="4"/>
  <c r="N1059" i="4"/>
  <c r="K1059" i="4"/>
  <c r="W1058" i="4"/>
  <c r="V1058" i="4"/>
  <c r="T1058" i="4"/>
  <c r="Q1058" i="4"/>
  <c r="N1058" i="4"/>
  <c r="K1058" i="4"/>
  <c r="W1057" i="4"/>
  <c r="V1057" i="4"/>
  <c r="T1057" i="4"/>
  <c r="Q1057" i="4"/>
  <c r="N1057" i="4"/>
  <c r="K1057" i="4"/>
  <c r="W1056" i="4"/>
  <c r="V1056" i="4"/>
  <c r="T1056" i="4"/>
  <c r="Q1056" i="4"/>
  <c r="N1056" i="4"/>
  <c r="K1056" i="4"/>
  <c r="W1055" i="4"/>
  <c r="V1055" i="4"/>
  <c r="T1055" i="4"/>
  <c r="Q1055" i="4"/>
  <c r="N1055" i="4"/>
  <c r="K1055" i="4"/>
  <c r="W1054" i="4"/>
  <c r="V1054" i="4"/>
  <c r="T1054" i="4"/>
  <c r="Q1054" i="4"/>
  <c r="N1054" i="4"/>
  <c r="K1054" i="4"/>
  <c r="W1053" i="4"/>
  <c r="V1053" i="4"/>
  <c r="T1053" i="4"/>
  <c r="Q1053" i="4"/>
  <c r="N1053" i="4"/>
  <c r="K1053" i="4"/>
  <c r="W1052" i="4"/>
  <c r="V1052" i="4"/>
  <c r="T1052" i="4"/>
  <c r="Q1052" i="4"/>
  <c r="N1052" i="4"/>
  <c r="K1052" i="4"/>
  <c r="W1051" i="4"/>
  <c r="V1051" i="4"/>
  <c r="T1051" i="4"/>
  <c r="Q1051" i="4"/>
  <c r="N1051" i="4"/>
  <c r="K1051" i="4"/>
  <c r="W1050" i="4"/>
  <c r="V1050" i="4"/>
  <c r="T1050" i="4"/>
  <c r="Q1050" i="4"/>
  <c r="N1050" i="4"/>
  <c r="K1050" i="4"/>
  <c r="W1049" i="4"/>
  <c r="V1049" i="4"/>
  <c r="T1049" i="4"/>
  <c r="Q1049" i="4"/>
  <c r="N1049" i="4"/>
  <c r="K1049" i="4"/>
  <c r="W1048" i="4"/>
  <c r="V1048" i="4"/>
  <c r="T1048" i="4"/>
  <c r="Q1048" i="4"/>
  <c r="N1048" i="4"/>
  <c r="K1048" i="4"/>
  <c r="W1047" i="4"/>
  <c r="V1047" i="4"/>
  <c r="T1047" i="4"/>
  <c r="Q1047" i="4"/>
  <c r="N1047" i="4"/>
  <c r="K1047" i="4"/>
  <c r="W1046" i="4"/>
  <c r="V1046" i="4"/>
  <c r="T1046" i="4"/>
  <c r="Q1046" i="4"/>
  <c r="N1046" i="4"/>
  <c r="K1046" i="4"/>
  <c r="W1045" i="4"/>
  <c r="V1045" i="4"/>
  <c r="T1045" i="4"/>
  <c r="Q1045" i="4"/>
  <c r="N1045" i="4"/>
  <c r="K1045" i="4"/>
  <c r="W1044" i="4"/>
  <c r="V1044" i="4"/>
  <c r="T1044" i="4"/>
  <c r="Q1044" i="4"/>
  <c r="N1044" i="4"/>
  <c r="K1044" i="4"/>
  <c r="W1043" i="4"/>
  <c r="V1043" i="4"/>
  <c r="T1043" i="4"/>
  <c r="Q1043" i="4"/>
  <c r="N1043" i="4"/>
  <c r="K1043" i="4"/>
  <c r="W1042" i="4"/>
  <c r="V1042" i="4"/>
  <c r="T1042" i="4"/>
  <c r="Q1042" i="4"/>
  <c r="N1042" i="4"/>
  <c r="K1042" i="4"/>
  <c r="W1041" i="4"/>
  <c r="V1041" i="4"/>
  <c r="T1041" i="4"/>
  <c r="Q1041" i="4"/>
  <c r="N1041" i="4"/>
  <c r="K1041" i="4"/>
  <c r="W1040" i="4"/>
  <c r="V1040" i="4"/>
  <c r="T1040" i="4"/>
  <c r="Q1040" i="4"/>
  <c r="N1040" i="4"/>
  <c r="K1040" i="4"/>
  <c r="W1039" i="4"/>
  <c r="V1039" i="4"/>
  <c r="T1039" i="4"/>
  <c r="Q1039" i="4"/>
  <c r="N1039" i="4"/>
  <c r="K1039" i="4"/>
  <c r="W1038" i="4"/>
  <c r="V1038" i="4"/>
  <c r="T1038" i="4"/>
  <c r="Q1038" i="4"/>
  <c r="N1038" i="4"/>
  <c r="K1038" i="4"/>
  <c r="W1037" i="4"/>
  <c r="V1037" i="4"/>
  <c r="T1037" i="4"/>
  <c r="Q1037" i="4"/>
  <c r="N1037" i="4"/>
  <c r="K1037" i="4"/>
  <c r="W1036" i="4"/>
  <c r="V1036" i="4"/>
  <c r="T1036" i="4"/>
  <c r="Q1036" i="4"/>
  <c r="N1036" i="4"/>
  <c r="K1036" i="4"/>
  <c r="W1035" i="4"/>
  <c r="V1035" i="4"/>
  <c r="T1035" i="4"/>
  <c r="Q1035" i="4"/>
  <c r="N1035" i="4"/>
  <c r="K1035" i="4"/>
  <c r="W1034" i="4"/>
  <c r="V1034" i="4"/>
  <c r="T1034" i="4"/>
  <c r="Q1034" i="4"/>
  <c r="N1034" i="4"/>
  <c r="K1034" i="4"/>
  <c r="W1033" i="4"/>
  <c r="V1033" i="4"/>
  <c r="T1033" i="4"/>
  <c r="Q1033" i="4"/>
  <c r="N1033" i="4"/>
  <c r="K1033" i="4"/>
  <c r="W1032" i="4"/>
  <c r="V1032" i="4"/>
  <c r="T1032" i="4"/>
  <c r="Q1032" i="4"/>
  <c r="N1032" i="4"/>
  <c r="K1032" i="4"/>
  <c r="W1031" i="4"/>
  <c r="V1031" i="4"/>
  <c r="T1031" i="4"/>
  <c r="Q1031" i="4"/>
  <c r="N1031" i="4"/>
  <c r="K1031" i="4"/>
  <c r="W1030" i="4"/>
  <c r="V1030" i="4"/>
  <c r="T1030" i="4"/>
  <c r="Q1030" i="4"/>
  <c r="N1030" i="4"/>
  <c r="K1030" i="4"/>
  <c r="W1029" i="4"/>
  <c r="V1029" i="4"/>
  <c r="T1029" i="4"/>
  <c r="Q1029" i="4"/>
  <c r="N1029" i="4"/>
  <c r="K1029" i="4"/>
  <c r="W1028" i="4"/>
  <c r="V1028" i="4"/>
  <c r="T1028" i="4"/>
  <c r="Q1028" i="4"/>
  <c r="N1028" i="4"/>
  <c r="K1028" i="4"/>
  <c r="W1027" i="4"/>
  <c r="V1027" i="4"/>
  <c r="T1027" i="4"/>
  <c r="Q1027" i="4"/>
  <c r="N1027" i="4"/>
  <c r="K1027" i="4"/>
  <c r="W1026" i="4"/>
  <c r="V1026" i="4"/>
  <c r="T1026" i="4"/>
  <c r="Q1026" i="4"/>
  <c r="N1026" i="4"/>
  <c r="K1026" i="4"/>
  <c r="W1025" i="4"/>
  <c r="V1025" i="4"/>
  <c r="T1025" i="4"/>
  <c r="Q1025" i="4"/>
  <c r="N1025" i="4"/>
  <c r="K1025" i="4"/>
  <c r="W1024" i="4"/>
  <c r="V1024" i="4"/>
  <c r="T1024" i="4"/>
  <c r="Q1024" i="4"/>
  <c r="N1024" i="4"/>
  <c r="K1024" i="4"/>
  <c r="W1023" i="4"/>
  <c r="V1023" i="4"/>
  <c r="T1023" i="4"/>
  <c r="Q1023" i="4"/>
  <c r="N1023" i="4"/>
  <c r="K1023" i="4"/>
  <c r="W1022" i="4"/>
  <c r="V1022" i="4"/>
  <c r="T1022" i="4"/>
  <c r="Q1022" i="4"/>
  <c r="N1022" i="4"/>
  <c r="K1022" i="4"/>
  <c r="W1021" i="4"/>
  <c r="V1021" i="4"/>
  <c r="T1021" i="4"/>
  <c r="Q1021" i="4"/>
  <c r="N1021" i="4"/>
  <c r="K1021" i="4"/>
  <c r="W1020" i="4"/>
  <c r="V1020" i="4"/>
  <c r="T1020" i="4"/>
  <c r="Q1020" i="4"/>
  <c r="N1020" i="4"/>
  <c r="K1020" i="4"/>
  <c r="W1019" i="4"/>
  <c r="V1019" i="4"/>
  <c r="T1019" i="4"/>
  <c r="Q1019" i="4"/>
  <c r="N1019" i="4"/>
  <c r="K1019" i="4"/>
  <c r="W1018" i="4"/>
  <c r="V1018" i="4"/>
  <c r="T1018" i="4"/>
  <c r="Q1018" i="4"/>
  <c r="N1018" i="4"/>
  <c r="K1018" i="4"/>
  <c r="W1017" i="4"/>
  <c r="V1017" i="4"/>
  <c r="T1017" i="4"/>
  <c r="Q1017" i="4"/>
  <c r="N1017" i="4"/>
  <c r="K1017" i="4"/>
  <c r="W1016" i="4"/>
  <c r="V1016" i="4"/>
  <c r="T1016" i="4"/>
  <c r="Q1016" i="4"/>
  <c r="N1016" i="4"/>
  <c r="K1016" i="4"/>
  <c r="W1015" i="4"/>
  <c r="V1015" i="4"/>
  <c r="T1015" i="4"/>
  <c r="Q1015" i="4"/>
  <c r="N1015" i="4"/>
  <c r="K1015" i="4"/>
  <c r="W1014" i="4"/>
  <c r="V1014" i="4"/>
  <c r="T1014" i="4"/>
  <c r="Q1014" i="4"/>
  <c r="N1014" i="4"/>
  <c r="K1014" i="4"/>
  <c r="W1013" i="4"/>
  <c r="V1013" i="4"/>
  <c r="T1013" i="4"/>
  <c r="Q1013" i="4"/>
  <c r="N1013" i="4"/>
  <c r="K1013" i="4"/>
  <c r="W1012" i="4"/>
  <c r="V1012" i="4"/>
  <c r="T1012" i="4"/>
  <c r="Q1012" i="4"/>
  <c r="N1012" i="4"/>
  <c r="K1012" i="4"/>
  <c r="W1011" i="4"/>
  <c r="V1011" i="4"/>
  <c r="T1011" i="4"/>
  <c r="Q1011" i="4"/>
  <c r="N1011" i="4"/>
  <c r="K1011" i="4"/>
  <c r="W1010" i="4"/>
  <c r="V1010" i="4"/>
  <c r="T1010" i="4"/>
  <c r="Q1010" i="4"/>
  <c r="N1010" i="4"/>
  <c r="K1010" i="4"/>
  <c r="W1009" i="4"/>
  <c r="V1009" i="4"/>
  <c r="T1009" i="4"/>
  <c r="Q1009" i="4"/>
  <c r="N1009" i="4"/>
  <c r="K1009" i="4"/>
  <c r="W1008" i="4"/>
  <c r="V1008" i="4"/>
  <c r="T1008" i="4"/>
  <c r="Q1008" i="4"/>
  <c r="N1008" i="4"/>
  <c r="K1008" i="4"/>
  <c r="W1007" i="4"/>
  <c r="V1007" i="4"/>
  <c r="T1007" i="4"/>
  <c r="Q1007" i="4"/>
  <c r="N1007" i="4"/>
  <c r="K1007" i="4"/>
  <c r="W1006" i="4"/>
  <c r="V1006" i="4"/>
  <c r="T1006" i="4"/>
  <c r="Q1006" i="4"/>
  <c r="N1006" i="4"/>
  <c r="K1006" i="4"/>
  <c r="W1005" i="4"/>
  <c r="V1005" i="4"/>
  <c r="T1005" i="4"/>
  <c r="Q1005" i="4"/>
  <c r="N1005" i="4"/>
  <c r="K1005" i="4"/>
  <c r="W1004" i="4"/>
  <c r="V1004" i="4"/>
  <c r="T1004" i="4"/>
  <c r="Q1004" i="4"/>
  <c r="N1004" i="4"/>
  <c r="K1004" i="4"/>
  <c r="W1003" i="4"/>
  <c r="V1003" i="4"/>
  <c r="T1003" i="4"/>
  <c r="Q1003" i="4"/>
  <c r="N1003" i="4"/>
  <c r="K1003" i="4"/>
  <c r="W1002" i="4"/>
  <c r="V1002" i="4"/>
  <c r="T1002" i="4"/>
  <c r="Q1002" i="4"/>
  <c r="N1002" i="4"/>
  <c r="K1002" i="4"/>
  <c r="W1001" i="4"/>
  <c r="V1001" i="4"/>
  <c r="T1001" i="4"/>
  <c r="Q1001" i="4"/>
  <c r="N1001" i="4"/>
  <c r="K1001" i="4"/>
  <c r="W1000" i="4"/>
  <c r="V1000" i="4"/>
  <c r="T1000" i="4"/>
  <c r="Q1000" i="4"/>
  <c r="N1000" i="4"/>
  <c r="K1000" i="4"/>
  <c r="W999" i="4"/>
  <c r="V999" i="4"/>
  <c r="T999" i="4"/>
  <c r="Q999" i="4"/>
  <c r="N999" i="4"/>
  <c r="K999" i="4"/>
  <c r="W998" i="4"/>
  <c r="V998" i="4"/>
  <c r="T998" i="4"/>
  <c r="Q998" i="4"/>
  <c r="N998" i="4"/>
  <c r="K998" i="4"/>
  <c r="W997" i="4"/>
  <c r="V997" i="4"/>
  <c r="T997" i="4"/>
  <c r="Q997" i="4"/>
  <c r="N997" i="4"/>
  <c r="K997" i="4"/>
  <c r="W996" i="4"/>
  <c r="V996" i="4"/>
  <c r="T996" i="4"/>
  <c r="Q996" i="4"/>
  <c r="N996" i="4"/>
  <c r="K996" i="4"/>
  <c r="W995" i="4"/>
  <c r="V995" i="4"/>
  <c r="T995" i="4"/>
  <c r="Q995" i="4"/>
  <c r="N995" i="4"/>
  <c r="K995" i="4"/>
  <c r="W994" i="4"/>
  <c r="V994" i="4"/>
  <c r="T994" i="4"/>
  <c r="Q994" i="4"/>
  <c r="N994" i="4"/>
  <c r="K994" i="4"/>
  <c r="W993" i="4"/>
  <c r="V993" i="4"/>
  <c r="T993" i="4"/>
  <c r="Q993" i="4"/>
  <c r="N993" i="4"/>
  <c r="K993" i="4"/>
  <c r="W992" i="4"/>
  <c r="V992" i="4"/>
  <c r="T992" i="4"/>
  <c r="Q992" i="4"/>
  <c r="N992" i="4"/>
  <c r="K992" i="4"/>
  <c r="W991" i="4"/>
  <c r="V991" i="4"/>
  <c r="T991" i="4"/>
  <c r="Q991" i="4"/>
  <c r="N991" i="4"/>
  <c r="K991" i="4"/>
  <c r="W990" i="4"/>
  <c r="V990" i="4"/>
  <c r="T990" i="4"/>
  <c r="Q990" i="4"/>
  <c r="N990" i="4"/>
  <c r="K990" i="4"/>
  <c r="W989" i="4"/>
  <c r="V989" i="4"/>
  <c r="T989" i="4"/>
  <c r="Q989" i="4"/>
  <c r="N989" i="4"/>
  <c r="K989" i="4"/>
  <c r="W988" i="4"/>
  <c r="V988" i="4"/>
  <c r="T988" i="4"/>
  <c r="Q988" i="4"/>
  <c r="N988" i="4"/>
  <c r="K988" i="4"/>
  <c r="W987" i="4"/>
  <c r="V987" i="4"/>
  <c r="T987" i="4"/>
  <c r="Q987" i="4"/>
  <c r="N987" i="4"/>
  <c r="K987" i="4"/>
  <c r="W986" i="4"/>
  <c r="V986" i="4"/>
  <c r="T986" i="4"/>
  <c r="Q986" i="4"/>
  <c r="N986" i="4"/>
  <c r="K986" i="4"/>
  <c r="W985" i="4"/>
  <c r="V985" i="4"/>
  <c r="T985" i="4"/>
  <c r="Q985" i="4"/>
  <c r="N985" i="4"/>
  <c r="K985" i="4"/>
  <c r="W984" i="4"/>
  <c r="V984" i="4"/>
  <c r="T984" i="4"/>
  <c r="Q984" i="4"/>
  <c r="N984" i="4"/>
  <c r="K984" i="4"/>
  <c r="W983" i="4"/>
  <c r="V983" i="4"/>
  <c r="T983" i="4"/>
  <c r="Q983" i="4"/>
  <c r="N983" i="4"/>
  <c r="K983" i="4"/>
  <c r="W982" i="4"/>
  <c r="V982" i="4"/>
  <c r="T982" i="4"/>
  <c r="Q982" i="4"/>
  <c r="N982" i="4"/>
  <c r="K982" i="4"/>
  <c r="W981" i="4"/>
  <c r="V981" i="4"/>
  <c r="T981" i="4"/>
  <c r="Q981" i="4"/>
  <c r="N981" i="4"/>
  <c r="K981" i="4"/>
  <c r="W980" i="4"/>
  <c r="V980" i="4"/>
  <c r="T980" i="4"/>
  <c r="Q980" i="4"/>
  <c r="N980" i="4"/>
  <c r="K980" i="4"/>
  <c r="W979" i="4"/>
  <c r="V979" i="4"/>
  <c r="T979" i="4"/>
  <c r="Q979" i="4"/>
  <c r="N979" i="4"/>
  <c r="K979" i="4"/>
  <c r="W978" i="4"/>
  <c r="V978" i="4"/>
  <c r="T978" i="4"/>
  <c r="Q978" i="4"/>
  <c r="N978" i="4"/>
  <c r="K978" i="4"/>
  <c r="W977" i="4"/>
  <c r="V977" i="4"/>
  <c r="T977" i="4"/>
  <c r="Q977" i="4"/>
  <c r="N977" i="4"/>
  <c r="K977" i="4"/>
  <c r="W976" i="4"/>
  <c r="V976" i="4"/>
  <c r="T976" i="4"/>
  <c r="Q976" i="4"/>
  <c r="N976" i="4"/>
  <c r="K976" i="4"/>
  <c r="W975" i="4"/>
  <c r="V975" i="4"/>
  <c r="T975" i="4"/>
  <c r="Q975" i="4"/>
  <c r="N975" i="4"/>
  <c r="K975" i="4"/>
  <c r="W974" i="4"/>
  <c r="V974" i="4"/>
  <c r="T974" i="4"/>
  <c r="Q974" i="4"/>
  <c r="N974" i="4"/>
  <c r="K974" i="4"/>
  <c r="W973" i="4"/>
  <c r="V973" i="4"/>
  <c r="T973" i="4"/>
  <c r="Q973" i="4"/>
  <c r="N973" i="4"/>
  <c r="K973" i="4"/>
  <c r="W972" i="4"/>
  <c r="V972" i="4"/>
  <c r="T972" i="4"/>
  <c r="Q972" i="4"/>
  <c r="N972" i="4"/>
  <c r="K972" i="4"/>
  <c r="W971" i="4"/>
  <c r="V971" i="4"/>
  <c r="T971" i="4"/>
  <c r="Q971" i="4"/>
  <c r="N971" i="4"/>
  <c r="K971" i="4"/>
  <c r="W970" i="4"/>
  <c r="V970" i="4"/>
  <c r="T970" i="4"/>
  <c r="Q970" i="4"/>
  <c r="N970" i="4"/>
  <c r="K970" i="4"/>
  <c r="W969" i="4"/>
  <c r="V969" i="4"/>
  <c r="T969" i="4"/>
  <c r="Q969" i="4"/>
  <c r="N969" i="4"/>
  <c r="K969" i="4"/>
  <c r="W968" i="4"/>
  <c r="V968" i="4"/>
  <c r="T968" i="4"/>
  <c r="Q968" i="4"/>
  <c r="N968" i="4"/>
  <c r="K968" i="4"/>
  <c r="W967" i="4"/>
  <c r="V967" i="4"/>
  <c r="T967" i="4"/>
  <c r="Q967" i="4"/>
  <c r="N967" i="4"/>
  <c r="K967" i="4"/>
  <c r="W966" i="4"/>
  <c r="V966" i="4"/>
  <c r="T966" i="4"/>
  <c r="Q966" i="4"/>
  <c r="N966" i="4"/>
  <c r="K966" i="4"/>
  <c r="W965" i="4"/>
  <c r="V965" i="4"/>
  <c r="T965" i="4"/>
  <c r="Q965" i="4"/>
  <c r="N965" i="4"/>
  <c r="K965" i="4"/>
  <c r="W964" i="4"/>
  <c r="V964" i="4"/>
  <c r="T964" i="4"/>
  <c r="Q964" i="4"/>
  <c r="N964" i="4"/>
  <c r="K964" i="4"/>
  <c r="W963" i="4"/>
  <c r="V963" i="4"/>
  <c r="T963" i="4"/>
  <c r="Q963" i="4"/>
  <c r="N963" i="4"/>
  <c r="K963" i="4"/>
  <c r="W962" i="4"/>
  <c r="V962" i="4"/>
  <c r="T962" i="4"/>
  <c r="Q962" i="4"/>
  <c r="N962" i="4"/>
  <c r="K962" i="4"/>
  <c r="W961" i="4"/>
  <c r="V961" i="4"/>
  <c r="T961" i="4"/>
  <c r="Q961" i="4"/>
  <c r="N961" i="4"/>
  <c r="K961" i="4"/>
  <c r="W960" i="4"/>
  <c r="V960" i="4"/>
  <c r="T960" i="4"/>
  <c r="Q960" i="4"/>
  <c r="N960" i="4"/>
  <c r="K960" i="4"/>
  <c r="W959" i="4"/>
  <c r="V959" i="4"/>
  <c r="T959" i="4"/>
  <c r="Q959" i="4"/>
  <c r="N959" i="4"/>
  <c r="K959" i="4"/>
  <c r="W958" i="4"/>
  <c r="V958" i="4"/>
  <c r="T958" i="4"/>
  <c r="Q958" i="4"/>
  <c r="N958" i="4"/>
  <c r="K958" i="4"/>
  <c r="W957" i="4"/>
  <c r="V957" i="4"/>
  <c r="T957" i="4"/>
  <c r="Q957" i="4"/>
  <c r="N957" i="4"/>
  <c r="K957" i="4"/>
  <c r="W956" i="4"/>
  <c r="V956" i="4"/>
  <c r="T956" i="4"/>
  <c r="Q956" i="4"/>
  <c r="N956" i="4"/>
  <c r="K956" i="4"/>
  <c r="W955" i="4"/>
  <c r="V955" i="4"/>
  <c r="T955" i="4"/>
  <c r="Q955" i="4"/>
  <c r="N955" i="4"/>
  <c r="K955" i="4"/>
  <c r="W954" i="4"/>
  <c r="V954" i="4"/>
  <c r="T954" i="4"/>
  <c r="Q954" i="4"/>
  <c r="N954" i="4"/>
  <c r="K954" i="4"/>
  <c r="W953" i="4"/>
  <c r="V953" i="4"/>
  <c r="T953" i="4"/>
  <c r="Q953" i="4"/>
  <c r="N953" i="4"/>
  <c r="K953" i="4"/>
  <c r="W952" i="4"/>
  <c r="V952" i="4"/>
  <c r="T952" i="4"/>
  <c r="Q952" i="4"/>
  <c r="N952" i="4"/>
  <c r="K952" i="4"/>
  <c r="W951" i="4"/>
  <c r="V951" i="4"/>
  <c r="T951" i="4"/>
  <c r="Q951" i="4"/>
  <c r="N951" i="4"/>
  <c r="K951" i="4"/>
  <c r="W950" i="4"/>
  <c r="V950" i="4"/>
  <c r="T950" i="4"/>
  <c r="Q950" i="4"/>
  <c r="N950" i="4"/>
  <c r="K950" i="4"/>
  <c r="W949" i="4"/>
  <c r="V949" i="4"/>
  <c r="T949" i="4"/>
  <c r="Q949" i="4"/>
  <c r="N949" i="4"/>
  <c r="K949" i="4"/>
  <c r="W948" i="4"/>
  <c r="V948" i="4"/>
  <c r="T948" i="4"/>
  <c r="Q948" i="4"/>
  <c r="N948" i="4"/>
  <c r="K948" i="4"/>
  <c r="W947" i="4"/>
  <c r="V947" i="4"/>
  <c r="T947" i="4"/>
  <c r="Q947" i="4"/>
  <c r="N947" i="4"/>
  <c r="K947" i="4"/>
  <c r="W946" i="4"/>
  <c r="V946" i="4"/>
  <c r="T946" i="4"/>
  <c r="Q946" i="4"/>
  <c r="N946" i="4"/>
  <c r="K946" i="4"/>
  <c r="W945" i="4"/>
  <c r="V945" i="4"/>
  <c r="T945" i="4"/>
  <c r="Q945" i="4"/>
  <c r="N945" i="4"/>
  <c r="K945" i="4"/>
  <c r="W944" i="4"/>
  <c r="V944" i="4"/>
  <c r="T944" i="4"/>
  <c r="Q944" i="4"/>
  <c r="N944" i="4"/>
  <c r="K944" i="4"/>
  <c r="W943" i="4"/>
  <c r="V943" i="4"/>
  <c r="T943" i="4"/>
  <c r="Q943" i="4"/>
  <c r="N943" i="4"/>
  <c r="K943" i="4"/>
  <c r="W942" i="4"/>
  <c r="V942" i="4"/>
  <c r="T942" i="4"/>
  <c r="Q942" i="4"/>
  <c r="N942" i="4"/>
  <c r="K942" i="4"/>
  <c r="W941" i="4"/>
  <c r="V941" i="4"/>
  <c r="T941" i="4"/>
  <c r="Q941" i="4"/>
  <c r="N941" i="4"/>
  <c r="K941" i="4"/>
  <c r="W940" i="4"/>
  <c r="V940" i="4"/>
  <c r="T940" i="4"/>
  <c r="Q940" i="4"/>
  <c r="N940" i="4"/>
  <c r="K940" i="4"/>
  <c r="W939" i="4"/>
  <c r="V939" i="4"/>
  <c r="T939" i="4"/>
  <c r="Q939" i="4"/>
  <c r="N939" i="4"/>
  <c r="K939" i="4"/>
  <c r="W938" i="4"/>
  <c r="V938" i="4"/>
  <c r="T938" i="4"/>
  <c r="Q938" i="4"/>
  <c r="N938" i="4"/>
  <c r="K938" i="4"/>
  <c r="W937" i="4"/>
  <c r="V937" i="4"/>
  <c r="T937" i="4"/>
  <c r="Q937" i="4"/>
  <c r="N937" i="4"/>
  <c r="K937" i="4"/>
  <c r="W936" i="4"/>
  <c r="V936" i="4"/>
  <c r="T936" i="4"/>
  <c r="Q936" i="4"/>
  <c r="N936" i="4"/>
  <c r="K936" i="4"/>
  <c r="W935" i="4"/>
  <c r="V935" i="4"/>
  <c r="T935" i="4"/>
  <c r="Q935" i="4"/>
  <c r="N935" i="4"/>
  <c r="K935" i="4"/>
  <c r="W934" i="4"/>
  <c r="V934" i="4"/>
  <c r="T934" i="4"/>
  <c r="Q934" i="4"/>
  <c r="N934" i="4"/>
  <c r="K934" i="4"/>
  <c r="W933" i="4"/>
  <c r="V933" i="4"/>
  <c r="T933" i="4"/>
  <c r="Q933" i="4"/>
  <c r="N933" i="4"/>
  <c r="K933" i="4"/>
  <c r="W932" i="4"/>
  <c r="V932" i="4"/>
  <c r="T932" i="4"/>
  <c r="Q932" i="4"/>
  <c r="N932" i="4"/>
  <c r="K932" i="4"/>
  <c r="W931" i="4"/>
  <c r="V931" i="4"/>
  <c r="T931" i="4"/>
  <c r="Q931" i="4"/>
  <c r="N931" i="4"/>
  <c r="K931" i="4"/>
  <c r="W930" i="4"/>
  <c r="V930" i="4"/>
  <c r="T930" i="4"/>
  <c r="Q930" i="4"/>
  <c r="N930" i="4"/>
  <c r="K930" i="4"/>
  <c r="W929" i="4"/>
  <c r="V929" i="4"/>
  <c r="T929" i="4"/>
  <c r="Q929" i="4"/>
  <c r="N929" i="4"/>
  <c r="K929" i="4"/>
  <c r="W928" i="4"/>
  <c r="V928" i="4"/>
  <c r="T928" i="4"/>
  <c r="Q928" i="4"/>
  <c r="N928" i="4"/>
  <c r="K928" i="4"/>
  <c r="W927" i="4"/>
  <c r="V927" i="4"/>
  <c r="T927" i="4"/>
  <c r="Q927" i="4"/>
  <c r="N927" i="4"/>
  <c r="K927" i="4"/>
  <c r="W926" i="4"/>
  <c r="V926" i="4"/>
  <c r="T926" i="4"/>
  <c r="Q926" i="4"/>
  <c r="N926" i="4"/>
  <c r="K926" i="4"/>
  <c r="W925" i="4"/>
  <c r="V925" i="4"/>
  <c r="T925" i="4"/>
  <c r="Q925" i="4"/>
  <c r="N925" i="4"/>
  <c r="K925" i="4"/>
  <c r="W924" i="4"/>
  <c r="V924" i="4"/>
  <c r="T924" i="4"/>
  <c r="Q924" i="4"/>
  <c r="N924" i="4"/>
  <c r="K924" i="4"/>
  <c r="W923" i="4"/>
  <c r="V923" i="4"/>
  <c r="T923" i="4"/>
  <c r="Q923" i="4"/>
  <c r="N923" i="4"/>
  <c r="K923" i="4"/>
  <c r="W922" i="4"/>
  <c r="V922" i="4"/>
  <c r="T922" i="4"/>
  <c r="Q922" i="4"/>
  <c r="N922" i="4"/>
  <c r="K922" i="4"/>
  <c r="W921" i="4"/>
  <c r="V921" i="4"/>
  <c r="T921" i="4"/>
  <c r="Q921" i="4"/>
  <c r="N921" i="4"/>
  <c r="K921" i="4"/>
  <c r="W920" i="4"/>
  <c r="V920" i="4"/>
  <c r="T920" i="4"/>
  <c r="Q920" i="4"/>
  <c r="N920" i="4"/>
  <c r="K920" i="4"/>
  <c r="W919" i="4"/>
  <c r="V919" i="4"/>
  <c r="T919" i="4"/>
  <c r="Q919" i="4"/>
  <c r="N919" i="4"/>
  <c r="K919" i="4"/>
  <c r="W918" i="4"/>
  <c r="V918" i="4"/>
  <c r="T918" i="4"/>
  <c r="Q918" i="4"/>
  <c r="N918" i="4"/>
  <c r="K918" i="4"/>
  <c r="W917" i="4"/>
  <c r="V917" i="4"/>
  <c r="T917" i="4"/>
  <c r="Q917" i="4"/>
  <c r="N917" i="4"/>
  <c r="K917" i="4"/>
  <c r="W916" i="4"/>
  <c r="V916" i="4"/>
  <c r="T916" i="4"/>
  <c r="Q916" i="4"/>
  <c r="N916" i="4"/>
  <c r="K916" i="4"/>
  <c r="W915" i="4"/>
  <c r="V915" i="4"/>
  <c r="T915" i="4"/>
  <c r="Q915" i="4"/>
  <c r="N915" i="4"/>
  <c r="K915" i="4"/>
  <c r="W914" i="4"/>
  <c r="V914" i="4"/>
  <c r="T914" i="4"/>
  <c r="Q914" i="4"/>
  <c r="N914" i="4"/>
  <c r="K914" i="4"/>
  <c r="W913" i="4"/>
  <c r="V913" i="4"/>
  <c r="T913" i="4"/>
  <c r="Q913" i="4"/>
  <c r="N913" i="4"/>
  <c r="K913" i="4"/>
  <c r="W912" i="4"/>
  <c r="V912" i="4"/>
  <c r="T912" i="4"/>
  <c r="Q912" i="4"/>
  <c r="N912" i="4"/>
  <c r="K912" i="4"/>
  <c r="W911" i="4"/>
  <c r="V911" i="4"/>
  <c r="T911" i="4"/>
  <c r="Q911" i="4"/>
  <c r="N911" i="4"/>
  <c r="K911" i="4"/>
  <c r="W910" i="4"/>
  <c r="V910" i="4"/>
  <c r="T910" i="4"/>
  <c r="Q910" i="4"/>
  <c r="N910" i="4"/>
  <c r="K910" i="4"/>
  <c r="W909" i="4"/>
  <c r="V909" i="4"/>
  <c r="T909" i="4"/>
  <c r="Q909" i="4"/>
  <c r="N909" i="4"/>
  <c r="K909" i="4"/>
  <c r="W908" i="4"/>
  <c r="V908" i="4"/>
  <c r="T908" i="4"/>
  <c r="Q908" i="4"/>
  <c r="N908" i="4"/>
  <c r="K908" i="4"/>
  <c r="W907" i="4"/>
  <c r="V907" i="4"/>
  <c r="T907" i="4"/>
  <c r="Q907" i="4"/>
  <c r="N907" i="4"/>
  <c r="K907" i="4"/>
  <c r="W906" i="4"/>
  <c r="V906" i="4"/>
  <c r="T906" i="4"/>
  <c r="Q906" i="4"/>
  <c r="N906" i="4"/>
  <c r="K906" i="4"/>
  <c r="W905" i="4"/>
  <c r="V905" i="4"/>
  <c r="T905" i="4"/>
  <c r="Q905" i="4"/>
  <c r="N905" i="4"/>
  <c r="K905" i="4"/>
  <c r="W904" i="4"/>
  <c r="V904" i="4"/>
  <c r="T904" i="4"/>
  <c r="Q904" i="4"/>
  <c r="N904" i="4"/>
  <c r="K904" i="4"/>
  <c r="W903" i="4"/>
  <c r="V903" i="4"/>
  <c r="T903" i="4"/>
  <c r="Q903" i="4"/>
  <c r="N903" i="4"/>
  <c r="K903" i="4"/>
  <c r="W902" i="4"/>
  <c r="V902" i="4"/>
  <c r="T902" i="4"/>
  <c r="Q902" i="4"/>
  <c r="N902" i="4"/>
  <c r="K902" i="4"/>
  <c r="W901" i="4"/>
  <c r="V901" i="4"/>
  <c r="T901" i="4"/>
  <c r="Q901" i="4"/>
  <c r="N901" i="4"/>
  <c r="K901" i="4"/>
  <c r="W900" i="4"/>
  <c r="V900" i="4"/>
  <c r="T900" i="4"/>
  <c r="Q900" i="4"/>
  <c r="N900" i="4"/>
  <c r="K900" i="4"/>
  <c r="W899" i="4"/>
  <c r="V899" i="4"/>
  <c r="T899" i="4"/>
  <c r="Q899" i="4"/>
  <c r="N899" i="4"/>
  <c r="K899" i="4"/>
  <c r="W898" i="4"/>
  <c r="V898" i="4"/>
  <c r="T898" i="4"/>
  <c r="Q898" i="4"/>
  <c r="N898" i="4"/>
  <c r="K898" i="4"/>
  <c r="W897" i="4"/>
  <c r="V897" i="4"/>
  <c r="T897" i="4"/>
  <c r="Q897" i="4"/>
  <c r="N897" i="4"/>
  <c r="K897" i="4"/>
  <c r="W896" i="4"/>
  <c r="V896" i="4"/>
  <c r="T896" i="4"/>
  <c r="Q896" i="4"/>
  <c r="N896" i="4"/>
  <c r="K896" i="4"/>
  <c r="W895" i="4"/>
  <c r="V895" i="4"/>
  <c r="T895" i="4"/>
  <c r="Q895" i="4"/>
  <c r="N895" i="4"/>
  <c r="K895" i="4"/>
  <c r="W894" i="4"/>
  <c r="V894" i="4"/>
  <c r="T894" i="4"/>
  <c r="Q894" i="4"/>
  <c r="N894" i="4"/>
  <c r="K894" i="4"/>
  <c r="W893" i="4"/>
  <c r="V893" i="4"/>
  <c r="T893" i="4"/>
  <c r="Q893" i="4"/>
  <c r="N893" i="4"/>
  <c r="K893" i="4"/>
  <c r="W892" i="4"/>
  <c r="V892" i="4"/>
  <c r="T892" i="4"/>
  <c r="Q892" i="4"/>
  <c r="N892" i="4"/>
  <c r="K892" i="4"/>
  <c r="W891" i="4"/>
  <c r="V891" i="4"/>
  <c r="T891" i="4"/>
  <c r="Q891" i="4"/>
  <c r="N891" i="4"/>
  <c r="K891" i="4"/>
  <c r="W890" i="4"/>
  <c r="V890" i="4"/>
  <c r="T890" i="4"/>
  <c r="Q890" i="4"/>
  <c r="N890" i="4"/>
  <c r="K890" i="4"/>
  <c r="W889" i="4"/>
  <c r="V889" i="4"/>
  <c r="T889" i="4"/>
  <c r="Q889" i="4"/>
  <c r="N889" i="4"/>
  <c r="K889" i="4"/>
  <c r="W888" i="4"/>
  <c r="V888" i="4"/>
  <c r="T888" i="4"/>
  <c r="Q888" i="4"/>
  <c r="N888" i="4"/>
  <c r="K888" i="4"/>
  <c r="W887" i="4"/>
  <c r="V887" i="4"/>
  <c r="T887" i="4"/>
  <c r="Q887" i="4"/>
  <c r="N887" i="4"/>
  <c r="K887" i="4"/>
  <c r="W886" i="4"/>
  <c r="V886" i="4"/>
  <c r="T886" i="4"/>
  <c r="Q886" i="4"/>
  <c r="N886" i="4"/>
  <c r="K886" i="4"/>
  <c r="W885" i="4"/>
  <c r="V885" i="4"/>
  <c r="T885" i="4"/>
  <c r="Q885" i="4"/>
  <c r="N885" i="4"/>
  <c r="K885" i="4"/>
  <c r="W884" i="4"/>
  <c r="V884" i="4"/>
  <c r="T884" i="4"/>
  <c r="Q884" i="4"/>
  <c r="N884" i="4"/>
  <c r="K884" i="4"/>
  <c r="W883" i="4"/>
  <c r="V883" i="4"/>
  <c r="T883" i="4"/>
  <c r="Q883" i="4"/>
  <c r="N883" i="4"/>
  <c r="K883" i="4"/>
  <c r="W882" i="4"/>
  <c r="V882" i="4"/>
  <c r="T882" i="4"/>
  <c r="Q882" i="4"/>
  <c r="N882" i="4"/>
  <c r="K882" i="4"/>
  <c r="W881" i="4"/>
  <c r="V881" i="4"/>
  <c r="T881" i="4"/>
  <c r="Q881" i="4"/>
  <c r="N881" i="4"/>
  <c r="K881" i="4"/>
  <c r="W880" i="4"/>
  <c r="V880" i="4"/>
  <c r="T880" i="4"/>
  <c r="Q880" i="4"/>
  <c r="N880" i="4"/>
  <c r="K880" i="4"/>
  <c r="W879" i="4"/>
  <c r="V879" i="4"/>
  <c r="T879" i="4"/>
  <c r="Q879" i="4"/>
  <c r="N879" i="4"/>
  <c r="K879" i="4"/>
  <c r="W878" i="4"/>
  <c r="V878" i="4"/>
  <c r="T878" i="4"/>
  <c r="Q878" i="4"/>
  <c r="N878" i="4"/>
  <c r="K878" i="4"/>
  <c r="W877" i="4"/>
  <c r="V877" i="4"/>
  <c r="T877" i="4"/>
  <c r="Q877" i="4"/>
  <c r="N877" i="4"/>
  <c r="K877" i="4"/>
  <c r="W876" i="4"/>
  <c r="V876" i="4"/>
  <c r="T876" i="4"/>
  <c r="Q876" i="4"/>
  <c r="N876" i="4"/>
  <c r="K876" i="4"/>
  <c r="W875" i="4"/>
  <c r="V875" i="4"/>
  <c r="T875" i="4"/>
  <c r="Q875" i="4"/>
  <c r="N875" i="4"/>
  <c r="K875" i="4"/>
  <c r="W874" i="4"/>
  <c r="V874" i="4"/>
  <c r="T874" i="4"/>
  <c r="Q874" i="4"/>
  <c r="N874" i="4"/>
  <c r="K874" i="4"/>
  <c r="W873" i="4"/>
  <c r="V873" i="4"/>
  <c r="T873" i="4"/>
  <c r="Q873" i="4"/>
  <c r="N873" i="4"/>
  <c r="K873" i="4"/>
  <c r="W872" i="4"/>
  <c r="V872" i="4"/>
  <c r="T872" i="4"/>
  <c r="Q872" i="4"/>
  <c r="N872" i="4"/>
  <c r="K872" i="4"/>
  <c r="W871" i="4"/>
  <c r="V871" i="4"/>
  <c r="T871" i="4"/>
  <c r="Q871" i="4"/>
  <c r="N871" i="4"/>
  <c r="K871" i="4"/>
  <c r="W870" i="4"/>
  <c r="V870" i="4"/>
  <c r="T870" i="4"/>
  <c r="Q870" i="4"/>
  <c r="N870" i="4"/>
  <c r="K870" i="4"/>
  <c r="W869" i="4"/>
  <c r="V869" i="4"/>
  <c r="T869" i="4"/>
  <c r="Q869" i="4"/>
  <c r="N869" i="4"/>
  <c r="K869" i="4"/>
  <c r="W868" i="4"/>
  <c r="V868" i="4"/>
  <c r="T868" i="4"/>
  <c r="Q868" i="4"/>
  <c r="N868" i="4"/>
  <c r="K868" i="4"/>
  <c r="W867" i="4"/>
  <c r="V867" i="4"/>
  <c r="T867" i="4"/>
  <c r="Q867" i="4"/>
  <c r="N867" i="4"/>
  <c r="K867" i="4"/>
  <c r="W866" i="4"/>
  <c r="V866" i="4"/>
  <c r="T866" i="4"/>
  <c r="Q866" i="4"/>
  <c r="N866" i="4"/>
  <c r="K866" i="4"/>
  <c r="W865" i="4"/>
  <c r="V865" i="4"/>
  <c r="T865" i="4"/>
  <c r="Q865" i="4"/>
  <c r="N865" i="4"/>
  <c r="K865" i="4"/>
  <c r="W864" i="4"/>
  <c r="V864" i="4"/>
  <c r="T864" i="4"/>
  <c r="Q864" i="4"/>
  <c r="N864" i="4"/>
  <c r="K864" i="4"/>
  <c r="W863" i="4"/>
  <c r="V863" i="4"/>
  <c r="T863" i="4"/>
  <c r="Q863" i="4"/>
  <c r="N863" i="4"/>
  <c r="K863" i="4"/>
  <c r="W862" i="4"/>
  <c r="V862" i="4"/>
  <c r="T862" i="4"/>
  <c r="Q862" i="4"/>
  <c r="N862" i="4"/>
  <c r="K862" i="4"/>
  <c r="W861" i="4"/>
  <c r="V861" i="4"/>
  <c r="T861" i="4"/>
  <c r="Q861" i="4"/>
  <c r="N861" i="4"/>
  <c r="K861" i="4"/>
  <c r="W860" i="4"/>
  <c r="V860" i="4"/>
  <c r="T860" i="4"/>
  <c r="Q860" i="4"/>
  <c r="N860" i="4"/>
  <c r="K860" i="4"/>
  <c r="W859" i="4"/>
  <c r="V859" i="4"/>
  <c r="T859" i="4"/>
  <c r="Q859" i="4"/>
  <c r="N859" i="4"/>
  <c r="K859" i="4"/>
  <c r="W858" i="4"/>
  <c r="V858" i="4"/>
  <c r="T858" i="4"/>
  <c r="Q858" i="4"/>
  <c r="N858" i="4"/>
  <c r="K858" i="4"/>
  <c r="W857" i="4"/>
  <c r="V857" i="4"/>
  <c r="T857" i="4"/>
  <c r="Q857" i="4"/>
  <c r="N857" i="4"/>
  <c r="K857" i="4"/>
  <c r="W856" i="4"/>
  <c r="V856" i="4"/>
  <c r="T856" i="4"/>
  <c r="Q856" i="4"/>
  <c r="N856" i="4"/>
  <c r="K856" i="4"/>
  <c r="W855" i="4"/>
  <c r="V855" i="4"/>
  <c r="T855" i="4"/>
  <c r="Q855" i="4"/>
  <c r="N855" i="4"/>
  <c r="K855" i="4"/>
  <c r="W854" i="4"/>
  <c r="V854" i="4"/>
  <c r="T854" i="4"/>
  <c r="Q854" i="4"/>
  <c r="N854" i="4"/>
  <c r="K854" i="4"/>
  <c r="W853" i="4"/>
  <c r="V853" i="4"/>
  <c r="T853" i="4"/>
  <c r="Q853" i="4"/>
  <c r="N853" i="4"/>
  <c r="K853" i="4"/>
  <c r="W852" i="4"/>
  <c r="V852" i="4"/>
  <c r="T852" i="4"/>
  <c r="Q852" i="4"/>
  <c r="N852" i="4"/>
  <c r="K852" i="4"/>
  <c r="W851" i="4"/>
  <c r="V851" i="4"/>
  <c r="T851" i="4"/>
  <c r="Q851" i="4"/>
  <c r="N851" i="4"/>
  <c r="K851" i="4"/>
  <c r="W850" i="4"/>
  <c r="V850" i="4"/>
  <c r="T850" i="4"/>
  <c r="Q850" i="4"/>
  <c r="N850" i="4"/>
  <c r="K850" i="4"/>
  <c r="W849" i="4"/>
  <c r="V849" i="4"/>
  <c r="T849" i="4"/>
  <c r="Q849" i="4"/>
  <c r="N849" i="4"/>
  <c r="K849" i="4"/>
  <c r="W848" i="4"/>
  <c r="V848" i="4"/>
  <c r="T848" i="4"/>
  <c r="Q848" i="4"/>
  <c r="N848" i="4"/>
  <c r="K848" i="4"/>
  <c r="W847" i="4"/>
  <c r="V847" i="4"/>
  <c r="T847" i="4"/>
  <c r="Q847" i="4"/>
  <c r="N847" i="4"/>
  <c r="K847" i="4"/>
  <c r="W846" i="4"/>
  <c r="V846" i="4"/>
  <c r="T846" i="4"/>
  <c r="Q846" i="4"/>
  <c r="N846" i="4"/>
  <c r="K846" i="4"/>
  <c r="W845" i="4"/>
  <c r="V845" i="4"/>
  <c r="T845" i="4"/>
  <c r="Q845" i="4"/>
  <c r="N845" i="4"/>
  <c r="K845" i="4"/>
  <c r="W844" i="4"/>
  <c r="V844" i="4"/>
  <c r="T844" i="4"/>
  <c r="Q844" i="4"/>
  <c r="N844" i="4"/>
  <c r="K844" i="4"/>
  <c r="W843" i="4"/>
  <c r="V843" i="4"/>
  <c r="T843" i="4"/>
  <c r="Q843" i="4"/>
  <c r="N843" i="4"/>
  <c r="K843" i="4"/>
  <c r="W842" i="4"/>
  <c r="V842" i="4"/>
  <c r="T842" i="4"/>
  <c r="Q842" i="4"/>
  <c r="N842" i="4"/>
  <c r="K842" i="4"/>
  <c r="W841" i="4"/>
  <c r="V841" i="4"/>
  <c r="T841" i="4"/>
  <c r="Q841" i="4"/>
  <c r="N841" i="4"/>
  <c r="K841" i="4"/>
  <c r="W840" i="4"/>
  <c r="V840" i="4"/>
  <c r="T840" i="4"/>
  <c r="Q840" i="4"/>
  <c r="N840" i="4"/>
  <c r="K840" i="4"/>
  <c r="W839" i="4"/>
  <c r="V839" i="4"/>
  <c r="T839" i="4"/>
  <c r="Q839" i="4"/>
  <c r="N839" i="4"/>
  <c r="K839" i="4"/>
  <c r="W838" i="4"/>
  <c r="V838" i="4"/>
  <c r="T838" i="4"/>
  <c r="Q838" i="4"/>
  <c r="N838" i="4"/>
  <c r="K838" i="4"/>
  <c r="W837" i="4"/>
  <c r="V837" i="4"/>
  <c r="T837" i="4"/>
  <c r="Q837" i="4"/>
  <c r="N837" i="4"/>
  <c r="K837" i="4"/>
  <c r="W836" i="4"/>
  <c r="V836" i="4"/>
  <c r="T836" i="4"/>
  <c r="Q836" i="4"/>
  <c r="N836" i="4"/>
  <c r="K836" i="4"/>
  <c r="W835" i="4"/>
  <c r="V835" i="4"/>
  <c r="T835" i="4"/>
  <c r="Q835" i="4"/>
  <c r="N835" i="4"/>
  <c r="K835" i="4"/>
  <c r="W834" i="4"/>
  <c r="V834" i="4"/>
  <c r="T834" i="4"/>
  <c r="Q834" i="4"/>
  <c r="N834" i="4"/>
  <c r="K834" i="4"/>
  <c r="W833" i="4"/>
  <c r="V833" i="4"/>
  <c r="T833" i="4"/>
  <c r="Q833" i="4"/>
  <c r="N833" i="4"/>
  <c r="K833" i="4"/>
  <c r="W832" i="4"/>
  <c r="V832" i="4"/>
  <c r="T832" i="4"/>
  <c r="Q832" i="4"/>
  <c r="N832" i="4"/>
  <c r="K832" i="4"/>
  <c r="W831" i="4"/>
  <c r="V831" i="4"/>
  <c r="T831" i="4"/>
  <c r="Q831" i="4"/>
  <c r="N831" i="4"/>
  <c r="K831" i="4"/>
  <c r="W830" i="4"/>
  <c r="V830" i="4"/>
  <c r="T830" i="4"/>
  <c r="Q830" i="4"/>
  <c r="N830" i="4"/>
  <c r="K830" i="4"/>
  <c r="W829" i="4"/>
  <c r="V829" i="4"/>
  <c r="T829" i="4"/>
  <c r="Q829" i="4"/>
  <c r="N829" i="4"/>
  <c r="K829" i="4"/>
  <c r="W828" i="4"/>
  <c r="V828" i="4"/>
  <c r="T828" i="4"/>
  <c r="Q828" i="4"/>
  <c r="N828" i="4"/>
  <c r="K828" i="4"/>
  <c r="W827" i="4"/>
  <c r="V827" i="4"/>
  <c r="T827" i="4"/>
  <c r="Q827" i="4"/>
  <c r="N827" i="4"/>
  <c r="K827" i="4"/>
  <c r="W826" i="4"/>
  <c r="V826" i="4"/>
  <c r="T826" i="4"/>
  <c r="Q826" i="4"/>
  <c r="N826" i="4"/>
  <c r="K826" i="4"/>
  <c r="W825" i="4"/>
  <c r="V825" i="4"/>
  <c r="T825" i="4"/>
  <c r="Q825" i="4"/>
  <c r="N825" i="4"/>
  <c r="K825" i="4"/>
  <c r="W824" i="4"/>
  <c r="V824" i="4"/>
  <c r="T824" i="4"/>
  <c r="Q824" i="4"/>
  <c r="N824" i="4"/>
  <c r="K824" i="4"/>
  <c r="W823" i="4"/>
  <c r="V823" i="4"/>
  <c r="T823" i="4"/>
  <c r="Q823" i="4"/>
  <c r="N823" i="4"/>
  <c r="K823" i="4"/>
  <c r="W822" i="4"/>
  <c r="V822" i="4"/>
  <c r="T822" i="4"/>
  <c r="Q822" i="4"/>
  <c r="N822" i="4"/>
  <c r="K822" i="4"/>
  <c r="W821" i="4"/>
  <c r="V821" i="4"/>
  <c r="T821" i="4"/>
  <c r="Q821" i="4"/>
  <c r="N821" i="4"/>
  <c r="K821" i="4"/>
  <c r="W820" i="4"/>
  <c r="V820" i="4"/>
  <c r="T820" i="4"/>
  <c r="Q820" i="4"/>
  <c r="N820" i="4"/>
  <c r="K820" i="4"/>
  <c r="W819" i="4"/>
  <c r="V819" i="4"/>
  <c r="T819" i="4"/>
  <c r="Q819" i="4"/>
  <c r="N819" i="4"/>
  <c r="K819" i="4"/>
  <c r="W818" i="4"/>
  <c r="V818" i="4"/>
  <c r="T818" i="4"/>
  <c r="Q818" i="4"/>
  <c r="N818" i="4"/>
  <c r="K818" i="4"/>
  <c r="W817" i="4"/>
  <c r="V817" i="4"/>
  <c r="T817" i="4"/>
  <c r="Q817" i="4"/>
  <c r="N817" i="4"/>
  <c r="K817" i="4"/>
  <c r="W816" i="4"/>
  <c r="V816" i="4"/>
  <c r="T816" i="4"/>
  <c r="Q816" i="4"/>
  <c r="N816" i="4"/>
  <c r="K816" i="4"/>
  <c r="W815" i="4"/>
  <c r="V815" i="4"/>
  <c r="T815" i="4"/>
  <c r="Q815" i="4"/>
  <c r="N815" i="4"/>
  <c r="K815" i="4"/>
  <c r="W814" i="4"/>
  <c r="V814" i="4"/>
  <c r="T814" i="4"/>
  <c r="Q814" i="4"/>
  <c r="N814" i="4"/>
  <c r="K814" i="4"/>
  <c r="W813" i="4"/>
  <c r="V813" i="4"/>
  <c r="T813" i="4"/>
  <c r="Q813" i="4"/>
  <c r="N813" i="4"/>
  <c r="K813" i="4"/>
  <c r="W812" i="4"/>
  <c r="V812" i="4"/>
  <c r="T812" i="4"/>
  <c r="Q812" i="4"/>
  <c r="N812" i="4"/>
  <c r="K812" i="4"/>
  <c r="W811" i="4"/>
  <c r="V811" i="4"/>
  <c r="T811" i="4"/>
  <c r="Q811" i="4"/>
  <c r="N811" i="4"/>
  <c r="K811" i="4"/>
  <c r="W810" i="4"/>
  <c r="V810" i="4"/>
  <c r="T810" i="4"/>
  <c r="Q810" i="4"/>
  <c r="N810" i="4"/>
  <c r="K810" i="4"/>
  <c r="W809" i="4"/>
  <c r="V809" i="4"/>
  <c r="T809" i="4"/>
  <c r="Q809" i="4"/>
  <c r="N809" i="4"/>
  <c r="K809" i="4"/>
  <c r="W808" i="4"/>
  <c r="V808" i="4"/>
  <c r="T808" i="4"/>
  <c r="Q808" i="4"/>
  <c r="N808" i="4"/>
  <c r="K808" i="4"/>
  <c r="W807" i="4"/>
  <c r="V807" i="4"/>
  <c r="T807" i="4"/>
  <c r="Q807" i="4"/>
  <c r="N807" i="4"/>
  <c r="K807" i="4"/>
  <c r="W806" i="4"/>
  <c r="V806" i="4"/>
  <c r="T806" i="4"/>
  <c r="Q806" i="4"/>
  <c r="N806" i="4"/>
  <c r="K806" i="4"/>
  <c r="W805" i="4"/>
  <c r="V805" i="4"/>
  <c r="T805" i="4"/>
  <c r="Q805" i="4"/>
  <c r="N805" i="4"/>
  <c r="K805" i="4"/>
  <c r="W804" i="4"/>
  <c r="V804" i="4"/>
  <c r="T804" i="4"/>
  <c r="Q804" i="4"/>
  <c r="N804" i="4"/>
  <c r="K804" i="4"/>
  <c r="W803" i="4"/>
  <c r="V803" i="4"/>
  <c r="T803" i="4"/>
  <c r="Q803" i="4"/>
  <c r="N803" i="4"/>
  <c r="K803" i="4"/>
  <c r="W802" i="4"/>
  <c r="V802" i="4"/>
  <c r="T802" i="4"/>
  <c r="Q802" i="4"/>
  <c r="N802" i="4"/>
  <c r="K802" i="4"/>
  <c r="W801" i="4"/>
  <c r="V801" i="4"/>
  <c r="T801" i="4"/>
  <c r="Q801" i="4"/>
  <c r="N801" i="4"/>
  <c r="K801" i="4"/>
  <c r="W800" i="4"/>
  <c r="V800" i="4"/>
  <c r="T800" i="4"/>
  <c r="Q800" i="4"/>
  <c r="N800" i="4"/>
  <c r="K800" i="4"/>
  <c r="W799" i="4"/>
  <c r="V799" i="4"/>
  <c r="T799" i="4"/>
  <c r="Q799" i="4"/>
  <c r="N799" i="4"/>
  <c r="K799" i="4"/>
  <c r="W798" i="4"/>
  <c r="V798" i="4"/>
  <c r="T798" i="4"/>
  <c r="Q798" i="4"/>
  <c r="N798" i="4"/>
  <c r="K798" i="4"/>
  <c r="W797" i="4"/>
  <c r="V797" i="4"/>
  <c r="T797" i="4"/>
  <c r="Q797" i="4"/>
  <c r="N797" i="4"/>
  <c r="K797" i="4"/>
  <c r="W796" i="4"/>
  <c r="V796" i="4"/>
  <c r="T796" i="4"/>
  <c r="Q796" i="4"/>
  <c r="N796" i="4"/>
  <c r="K796" i="4"/>
  <c r="W795" i="4"/>
  <c r="V795" i="4"/>
  <c r="T795" i="4"/>
  <c r="Q795" i="4"/>
  <c r="N795" i="4"/>
  <c r="K795" i="4"/>
  <c r="W794" i="4"/>
  <c r="V794" i="4"/>
  <c r="T794" i="4"/>
  <c r="Q794" i="4"/>
  <c r="N794" i="4"/>
  <c r="K794" i="4"/>
  <c r="W793" i="4"/>
  <c r="V793" i="4"/>
  <c r="T793" i="4"/>
  <c r="Q793" i="4"/>
  <c r="N793" i="4"/>
  <c r="K793" i="4"/>
  <c r="W792" i="4"/>
  <c r="V792" i="4"/>
  <c r="T792" i="4"/>
  <c r="Q792" i="4"/>
  <c r="N792" i="4"/>
  <c r="K792" i="4"/>
  <c r="W791" i="4"/>
  <c r="V791" i="4"/>
  <c r="T791" i="4"/>
  <c r="Q791" i="4"/>
  <c r="N791" i="4"/>
  <c r="K791" i="4"/>
  <c r="W790" i="4"/>
  <c r="V790" i="4"/>
  <c r="T790" i="4"/>
  <c r="Q790" i="4"/>
  <c r="N790" i="4"/>
  <c r="K790" i="4"/>
  <c r="W789" i="4"/>
  <c r="V789" i="4"/>
  <c r="T789" i="4"/>
  <c r="Q789" i="4"/>
  <c r="N789" i="4"/>
  <c r="K789" i="4"/>
  <c r="W788" i="4"/>
  <c r="V788" i="4"/>
  <c r="T788" i="4"/>
  <c r="Q788" i="4"/>
  <c r="N788" i="4"/>
  <c r="K788" i="4"/>
  <c r="W787" i="4"/>
  <c r="V787" i="4"/>
  <c r="T787" i="4"/>
  <c r="Q787" i="4"/>
  <c r="N787" i="4"/>
  <c r="K787" i="4"/>
  <c r="W786" i="4"/>
  <c r="V786" i="4"/>
  <c r="T786" i="4"/>
  <c r="Q786" i="4"/>
  <c r="N786" i="4"/>
  <c r="K786" i="4"/>
  <c r="W785" i="4"/>
  <c r="V785" i="4"/>
  <c r="T785" i="4"/>
  <c r="Q785" i="4"/>
  <c r="N785" i="4"/>
  <c r="K785" i="4"/>
  <c r="W784" i="4"/>
  <c r="V784" i="4"/>
  <c r="T784" i="4"/>
  <c r="Q784" i="4"/>
  <c r="N784" i="4"/>
  <c r="K784" i="4"/>
  <c r="W783" i="4"/>
  <c r="V783" i="4"/>
  <c r="T783" i="4"/>
  <c r="Q783" i="4"/>
  <c r="N783" i="4"/>
  <c r="K783" i="4"/>
  <c r="W782" i="4"/>
  <c r="V782" i="4"/>
  <c r="T782" i="4"/>
  <c r="Q782" i="4"/>
  <c r="N782" i="4"/>
  <c r="K782" i="4"/>
  <c r="W781" i="4"/>
  <c r="V781" i="4"/>
  <c r="T781" i="4"/>
  <c r="Q781" i="4"/>
  <c r="N781" i="4"/>
  <c r="K781" i="4"/>
  <c r="W780" i="4"/>
  <c r="V780" i="4"/>
  <c r="T780" i="4"/>
  <c r="Q780" i="4"/>
  <c r="N780" i="4"/>
  <c r="K780" i="4"/>
  <c r="W779" i="4"/>
  <c r="V779" i="4"/>
  <c r="T779" i="4"/>
  <c r="Q779" i="4"/>
  <c r="N779" i="4"/>
  <c r="K779" i="4"/>
  <c r="W778" i="4"/>
  <c r="V778" i="4"/>
  <c r="T778" i="4"/>
  <c r="Q778" i="4"/>
  <c r="N778" i="4"/>
  <c r="K778" i="4"/>
  <c r="W777" i="4"/>
  <c r="V777" i="4"/>
  <c r="T777" i="4"/>
  <c r="Q777" i="4"/>
  <c r="N777" i="4"/>
  <c r="K777" i="4"/>
  <c r="W776" i="4"/>
  <c r="V776" i="4"/>
  <c r="T776" i="4"/>
  <c r="Q776" i="4"/>
  <c r="N776" i="4"/>
  <c r="K776" i="4"/>
  <c r="W775" i="4"/>
  <c r="V775" i="4"/>
  <c r="T775" i="4"/>
  <c r="Q775" i="4"/>
  <c r="N775" i="4"/>
  <c r="K775" i="4"/>
  <c r="W774" i="4"/>
  <c r="V774" i="4"/>
  <c r="T774" i="4"/>
  <c r="Q774" i="4"/>
  <c r="N774" i="4"/>
  <c r="K774" i="4"/>
  <c r="W773" i="4"/>
  <c r="V773" i="4"/>
  <c r="T773" i="4"/>
  <c r="Q773" i="4"/>
  <c r="N773" i="4"/>
  <c r="K773" i="4"/>
  <c r="W772" i="4"/>
  <c r="V772" i="4"/>
  <c r="T772" i="4"/>
  <c r="Q772" i="4"/>
  <c r="N772" i="4"/>
  <c r="K772" i="4"/>
  <c r="W771" i="4"/>
  <c r="V771" i="4"/>
  <c r="T771" i="4"/>
  <c r="Q771" i="4"/>
  <c r="N771" i="4"/>
  <c r="K771" i="4"/>
  <c r="W770" i="4"/>
  <c r="V770" i="4"/>
  <c r="T770" i="4"/>
  <c r="Q770" i="4"/>
  <c r="N770" i="4"/>
  <c r="K770" i="4"/>
  <c r="W769" i="4"/>
  <c r="V769" i="4"/>
  <c r="T769" i="4"/>
  <c r="Q769" i="4"/>
  <c r="N769" i="4"/>
  <c r="K769" i="4"/>
  <c r="W768" i="4"/>
  <c r="V768" i="4"/>
  <c r="T768" i="4"/>
  <c r="Q768" i="4"/>
  <c r="N768" i="4"/>
  <c r="K768" i="4"/>
  <c r="W767" i="4"/>
  <c r="V767" i="4"/>
  <c r="T767" i="4"/>
  <c r="Q767" i="4"/>
  <c r="N767" i="4"/>
  <c r="K767" i="4"/>
  <c r="W766" i="4"/>
  <c r="V766" i="4"/>
  <c r="T766" i="4"/>
  <c r="Q766" i="4"/>
  <c r="N766" i="4"/>
  <c r="K766" i="4"/>
  <c r="W765" i="4"/>
  <c r="V765" i="4"/>
  <c r="T765" i="4"/>
  <c r="Q765" i="4"/>
  <c r="N765" i="4"/>
  <c r="K765" i="4"/>
  <c r="W764" i="4"/>
  <c r="V764" i="4"/>
  <c r="T764" i="4"/>
  <c r="Q764" i="4"/>
  <c r="N764" i="4"/>
  <c r="K764" i="4"/>
  <c r="W763" i="4"/>
  <c r="V763" i="4"/>
  <c r="T763" i="4"/>
  <c r="Q763" i="4"/>
  <c r="N763" i="4"/>
  <c r="K763" i="4"/>
  <c r="W762" i="4"/>
  <c r="V762" i="4"/>
  <c r="T762" i="4"/>
  <c r="Q762" i="4"/>
  <c r="N762" i="4"/>
  <c r="K762" i="4"/>
  <c r="W761" i="4"/>
  <c r="V761" i="4"/>
  <c r="T761" i="4"/>
  <c r="Q761" i="4"/>
  <c r="N761" i="4"/>
  <c r="K761" i="4"/>
  <c r="W760" i="4"/>
  <c r="V760" i="4"/>
  <c r="T760" i="4"/>
  <c r="Q760" i="4"/>
  <c r="N760" i="4"/>
  <c r="K760" i="4"/>
  <c r="W759" i="4"/>
  <c r="V759" i="4"/>
  <c r="T759" i="4"/>
  <c r="Q759" i="4"/>
  <c r="N759" i="4"/>
  <c r="K759" i="4"/>
  <c r="W758" i="4"/>
  <c r="V758" i="4"/>
  <c r="T758" i="4"/>
  <c r="Q758" i="4"/>
  <c r="N758" i="4"/>
  <c r="K758" i="4"/>
  <c r="W757" i="4"/>
  <c r="V757" i="4"/>
  <c r="T757" i="4"/>
  <c r="Q757" i="4"/>
  <c r="N757" i="4"/>
  <c r="K757" i="4"/>
  <c r="W756" i="4"/>
  <c r="V756" i="4"/>
  <c r="T756" i="4"/>
  <c r="Q756" i="4"/>
  <c r="N756" i="4"/>
  <c r="K756" i="4"/>
  <c r="W755" i="4"/>
  <c r="V755" i="4"/>
  <c r="T755" i="4"/>
  <c r="Q755" i="4"/>
  <c r="N755" i="4"/>
  <c r="K755" i="4"/>
  <c r="W754" i="4"/>
  <c r="V754" i="4"/>
  <c r="T754" i="4"/>
  <c r="Q754" i="4"/>
  <c r="N754" i="4"/>
  <c r="K754" i="4"/>
  <c r="W753" i="4"/>
  <c r="V753" i="4"/>
  <c r="T753" i="4"/>
  <c r="Q753" i="4"/>
  <c r="N753" i="4"/>
  <c r="K753" i="4"/>
  <c r="W752" i="4"/>
  <c r="V752" i="4"/>
  <c r="T752" i="4"/>
  <c r="Q752" i="4"/>
  <c r="N752" i="4"/>
  <c r="K752" i="4"/>
  <c r="W751" i="4"/>
  <c r="V751" i="4"/>
  <c r="T751" i="4"/>
  <c r="Q751" i="4"/>
  <c r="N751" i="4"/>
  <c r="K751" i="4"/>
  <c r="W750" i="4"/>
  <c r="V750" i="4"/>
  <c r="T750" i="4"/>
  <c r="Q750" i="4"/>
  <c r="N750" i="4"/>
  <c r="K750" i="4"/>
  <c r="W749" i="4"/>
  <c r="V749" i="4"/>
  <c r="T749" i="4"/>
  <c r="Q749" i="4"/>
  <c r="N749" i="4"/>
  <c r="K749" i="4"/>
  <c r="W748" i="4"/>
  <c r="V748" i="4"/>
  <c r="T748" i="4"/>
  <c r="Q748" i="4"/>
  <c r="N748" i="4"/>
  <c r="K748" i="4"/>
  <c r="W747" i="4"/>
  <c r="V747" i="4"/>
  <c r="T747" i="4"/>
  <c r="Q747" i="4"/>
  <c r="N747" i="4"/>
  <c r="K747" i="4"/>
  <c r="W746" i="4"/>
  <c r="V746" i="4"/>
  <c r="T746" i="4"/>
  <c r="Q746" i="4"/>
  <c r="N746" i="4"/>
  <c r="K746" i="4"/>
  <c r="W745" i="4"/>
  <c r="V745" i="4"/>
  <c r="T745" i="4"/>
  <c r="Q745" i="4"/>
  <c r="N745" i="4"/>
  <c r="K745" i="4"/>
  <c r="W744" i="4"/>
  <c r="V744" i="4"/>
  <c r="T744" i="4"/>
  <c r="Q744" i="4"/>
  <c r="N744" i="4"/>
  <c r="K744" i="4"/>
  <c r="W743" i="4"/>
  <c r="V743" i="4"/>
  <c r="T743" i="4"/>
  <c r="Q743" i="4"/>
  <c r="N743" i="4"/>
  <c r="K743" i="4"/>
  <c r="W742" i="4"/>
  <c r="V742" i="4"/>
  <c r="T742" i="4"/>
  <c r="Q742" i="4"/>
  <c r="N742" i="4"/>
  <c r="K742" i="4"/>
  <c r="W741" i="4"/>
  <c r="V741" i="4"/>
  <c r="T741" i="4"/>
  <c r="Q741" i="4"/>
  <c r="N741" i="4"/>
  <c r="K741" i="4"/>
  <c r="W740" i="4"/>
  <c r="V740" i="4"/>
  <c r="T740" i="4"/>
  <c r="Q740" i="4"/>
  <c r="N740" i="4"/>
  <c r="K740" i="4"/>
  <c r="W739" i="4"/>
  <c r="V739" i="4"/>
  <c r="T739" i="4"/>
  <c r="Q739" i="4"/>
  <c r="N739" i="4"/>
  <c r="K739" i="4"/>
  <c r="W738" i="4"/>
  <c r="V738" i="4"/>
  <c r="T738" i="4"/>
  <c r="Q738" i="4"/>
  <c r="N738" i="4"/>
  <c r="K738" i="4"/>
  <c r="W737" i="4"/>
  <c r="V737" i="4"/>
  <c r="T737" i="4"/>
  <c r="Q737" i="4"/>
  <c r="N737" i="4"/>
  <c r="K737" i="4"/>
  <c r="W736" i="4"/>
  <c r="V736" i="4"/>
  <c r="T736" i="4"/>
  <c r="Q736" i="4"/>
  <c r="N736" i="4"/>
  <c r="K736" i="4"/>
  <c r="W735" i="4"/>
  <c r="V735" i="4"/>
  <c r="T735" i="4"/>
  <c r="Q735" i="4"/>
  <c r="N735" i="4"/>
  <c r="K735" i="4"/>
  <c r="W734" i="4"/>
  <c r="V734" i="4"/>
  <c r="T734" i="4"/>
  <c r="Q734" i="4"/>
  <c r="N734" i="4"/>
  <c r="K734" i="4"/>
  <c r="W733" i="4"/>
  <c r="V733" i="4"/>
  <c r="T733" i="4"/>
  <c r="Q733" i="4"/>
  <c r="N733" i="4"/>
  <c r="K733" i="4"/>
  <c r="W732" i="4"/>
  <c r="V732" i="4"/>
  <c r="T732" i="4"/>
  <c r="Q732" i="4"/>
  <c r="N732" i="4"/>
  <c r="K732" i="4"/>
  <c r="W731" i="4"/>
  <c r="V731" i="4"/>
  <c r="T731" i="4"/>
  <c r="Q731" i="4"/>
  <c r="N731" i="4"/>
  <c r="K731" i="4"/>
  <c r="W730" i="4"/>
  <c r="V730" i="4"/>
  <c r="T730" i="4"/>
  <c r="Q730" i="4"/>
  <c r="N730" i="4"/>
  <c r="K730" i="4"/>
  <c r="W729" i="4"/>
  <c r="V729" i="4"/>
  <c r="T729" i="4"/>
  <c r="Q729" i="4"/>
  <c r="N729" i="4"/>
  <c r="K729" i="4"/>
  <c r="W728" i="4"/>
  <c r="V728" i="4"/>
  <c r="T728" i="4"/>
  <c r="Q728" i="4"/>
  <c r="N728" i="4"/>
  <c r="K728" i="4"/>
  <c r="W727" i="4"/>
  <c r="V727" i="4"/>
  <c r="T727" i="4"/>
  <c r="Q727" i="4"/>
  <c r="N727" i="4"/>
  <c r="K727" i="4"/>
  <c r="W726" i="4"/>
  <c r="V726" i="4"/>
  <c r="T726" i="4"/>
  <c r="Q726" i="4"/>
  <c r="N726" i="4"/>
  <c r="K726" i="4"/>
  <c r="W725" i="4"/>
  <c r="V725" i="4"/>
  <c r="T725" i="4"/>
  <c r="Q725" i="4"/>
  <c r="N725" i="4"/>
  <c r="K725" i="4"/>
  <c r="W724" i="4"/>
  <c r="V724" i="4"/>
  <c r="T724" i="4"/>
  <c r="Q724" i="4"/>
  <c r="N724" i="4"/>
  <c r="K724" i="4"/>
  <c r="W723" i="4"/>
  <c r="V723" i="4"/>
  <c r="T723" i="4"/>
  <c r="Q723" i="4"/>
  <c r="N723" i="4"/>
  <c r="K723" i="4"/>
  <c r="W722" i="4"/>
  <c r="V722" i="4"/>
  <c r="T722" i="4"/>
  <c r="Q722" i="4"/>
  <c r="N722" i="4"/>
  <c r="K722" i="4"/>
  <c r="W721" i="4"/>
  <c r="V721" i="4"/>
  <c r="T721" i="4"/>
  <c r="Q721" i="4"/>
  <c r="N721" i="4"/>
  <c r="K721" i="4"/>
  <c r="W720" i="4"/>
  <c r="V720" i="4"/>
  <c r="T720" i="4"/>
  <c r="Q720" i="4"/>
  <c r="N720" i="4"/>
  <c r="K720" i="4"/>
  <c r="W719" i="4"/>
  <c r="V719" i="4"/>
  <c r="T719" i="4"/>
  <c r="Q719" i="4"/>
  <c r="N719" i="4"/>
  <c r="K719" i="4"/>
  <c r="W718" i="4"/>
  <c r="V718" i="4"/>
  <c r="T718" i="4"/>
  <c r="Q718" i="4"/>
  <c r="N718" i="4"/>
  <c r="K718" i="4"/>
  <c r="W717" i="4"/>
  <c r="V717" i="4"/>
  <c r="T717" i="4"/>
  <c r="Q717" i="4"/>
  <c r="N717" i="4"/>
  <c r="K717" i="4"/>
  <c r="W716" i="4"/>
  <c r="V716" i="4"/>
  <c r="T716" i="4"/>
  <c r="Q716" i="4"/>
  <c r="N716" i="4"/>
  <c r="K716" i="4"/>
  <c r="W715" i="4"/>
  <c r="V715" i="4"/>
  <c r="T715" i="4"/>
  <c r="Q715" i="4"/>
  <c r="N715" i="4"/>
  <c r="K715" i="4"/>
  <c r="W714" i="4"/>
  <c r="V714" i="4"/>
  <c r="T714" i="4"/>
  <c r="Q714" i="4"/>
  <c r="N714" i="4"/>
  <c r="K714" i="4"/>
  <c r="W713" i="4"/>
  <c r="V713" i="4"/>
  <c r="T713" i="4"/>
  <c r="Q713" i="4"/>
  <c r="N713" i="4"/>
  <c r="K713" i="4"/>
  <c r="W712" i="4"/>
  <c r="V712" i="4"/>
  <c r="T712" i="4"/>
  <c r="Q712" i="4"/>
  <c r="N712" i="4"/>
  <c r="K712" i="4"/>
  <c r="W711" i="4"/>
  <c r="V711" i="4"/>
  <c r="T711" i="4"/>
  <c r="Q711" i="4"/>
  <c r="N711" i="4"/>
  <c r="K711" i="4"/>
  <c r="W710" i="4"/>
  <c r="V710" i="4"/>
  <c r="T710" i="4"/>
  <c r="Q710" i="4"/>
  <c r="N710" i="4"/>
  <c r="K710" i="4"/>
  <c r="W709" i="4"/>
  <c r="V709" i="4"/>
  <c r="T709" i="4"/>
  <c r="Q709" i="4"/>
  <c r="N709" i="4"/>
  <c r="K709" i="4"/>
  <c r="W708" i="4"/>
  <c r="V708" i="4"/>
  <c r="T708" i="4"/>
  <c r="Q708" i="4"/>
  <c r="N708" i="4"/>
  <c r="K708" i="4"/>
  <c r="W707" i="4"/>
  <c r="V707" i="4"/>
  <c r="T707" i="4"/>
  <c r="Q707" i="4"/>
  <c r="N707" i="4"/>
  <c r="K707" i="4"/>
  <c r="W706" i="4"/>
  <c r="V706" i="4"/>
  <c r="T706" i="4"/>
  <c r="Q706" i="4"/>
  <c r="N706" i="4"/>
  <c r="K706" i="4"/>
  <c r="W705" i="4"/>
  <c r="V705" i="4"/>
  <c r="T705" i="4"/>
  <c r="Q705" i="4"/>
  <c r="N705" i="4"/>
  <c r="K705" i="4"/>
  <c r="W704" i="4"/>
  <c r="V704" i="4"/>
  <c r="T704" i="4"/>
  <c r="Q704" i="4"/>
  <c r="N704" i="4"/>
  <c r="K704" i="4"/>
  <c r="W703" i="4"/>
  <c r="V703" i="4"/>
  <c r="T703" i="4"/>
  <c r="Q703" i="4"/>
  <c r="N703" i="4"/>
  <c r="K703" i="4"/>
  <c r="W702" i="4"/>
  <c r="V702" i="4"/>
  <c r="T702" i="4"/>
  <c r="Q702" i="4"/>
  <c r="N702" i="4"/>
  <c r="K702" i="4"/>
  <c r="W701" i="4"/>
  <c r="V701" i="4"/>
  <c r="T701" i="4"/>
  <c r="Q701" i="4"/>
  <c r="N701" i="4"/>
  <c r="K701" i="4"/>
  <c r="W700" i="4"/>
  <c r="V700" i="4"/>
  <c r="T700" i="4"/>
  <c r="Q700" i="4"/>
  <c r="N700" i="4"/>
  <c r="K700" i="4"/>
  <c r="W699" i="4"/>
  <c r="V699" i="4"/>
  <c r="T699" i="4"/>
  <c r="Q699" i="4"/>
  <c r="N699" i="4"/>
  <c r="K699" i="4"/>
  <c r="W698" i="4"/>
  <c r="V698" i="4"/>
  <c r="T698" i="4"/>
  <c r="Q698" i="4"/>
  <c r="N698" i="4"/>
  <c r="K698" i="4"/>
  <c r="W697" i="4"/>
  <c r="V697" i="4"/>
  <c r="T697" i="4"/>
  <c r="Q697" i="4"/>
  <c r="N697" i="4"/>
  <c r="K697" i="4"/>
  <c r="W696" i="4"/>
  <c r="V696" i="4"/>
  <c r="T696" i="4"/>
  <c r="Q696" i="4"/>
  <c r="N696" i="4"/>
  <c r="K696" i="4"/>
  <c r="W695" i="4"/>
  <c r="V695" i="4"/>
  <c r="T695" i="4"/>
  <c r="Q695" i="4"/>
  <c r="N695" i="4"/>
  <c r="K695" i="4"/>
  <c r="W694" i="4"/>
  <c r="V694" i="4"/>
  <c r="T694" i="4"/>
  <c r="Q694" i="4"/>
  <c r="N694" i="4"/>
  <c r="K694" i="4"/>
  <c r="W693" i="4"/>
  <c r="V693" i="4"/>
  <c r="T693" i="4"/>
  <c r="Q693" i="4"/>
  <c r="N693" i="4"/>
  <c r="K693" i="4"/>
  <c r="W692" i="4"/>
  <c r="V692" i="4"/>
  <c r="T692" i="4"/>
  <c r="Q692" i="4"/>
  <c r="N692" i="4"/>
  <c r="K692" i="4"/>
  <c r="W691" i="4"/>
  <c r="V691" i="4"/>
  <c r="T691" i="4"/>
  <c r="Q691" i="4"/>
  <c r="N691" i="4"/>
  <c r="K691" i="4"/>
  <c r="W690" i="4"/>
  <c r="V690" i="4"/>
  <c r="T690" i="4"/>
  <c r="Q690" i="4"/>
  <c r="N690" i="4"/>
  <c r="K690" i="4"/>
  <c r="W689" i="4"/>
  <c r="V689" i="4"/>
  <c r="T689" i="4"/>
  <c r="Q689" i="4"/>
  <c r="N689" i="4"/>
  <c r="K689" i="4"/>
  <c r="W688" i="4"/>
  <c r="V688" i="4"/>
  <c r="T688" i="4"/>
  <c r="Q688" i="4"/>
  <c r="N688" i="4"/>
  <c r="K688" i="4"/>
  <c r="W687" i="4"/>
  <c r="V687" i="4"/>
  <c r="T687" i="4"/>
  <c r="Q687" i="4"/>
  <c r="N687" i="4"/>
  <c r="K687" i="4"/>
  <c r="W686" i="4"/>
  <c r="V686" i="4"/>
  <c r="T686" i="4"/>
  <c r="Q686" i="4"/>
  <c r="N686" i="4"/>
  <c r="K686" i="4"/>
  <c r="W685" i="4"/>
  <c r="V685" i="4"/>
  <c r="T685" i="4"/>
  <c r="Q685" i="4"/>
  <c r="N685" i="4"/>
  <c r="K685" i="4"/>
  <c r="W684" i="4"/>
  <c r="V684" i="4"/>
  <c r="T684" i="4"/>
  <c r="Q684" i="4"/>
  <c r="N684" i="4"/>
  <c r="K684" i="4"/>
  <c r="W683" i="4"/>
  <c r="V683" i="4"/>
  <c r="T683" i="4"/>
  <c r="Q683" i="4"/>
  <c r="N683" i="4"/>
  <c r="K683" i="4"/>
  <c r="W682" i="4"/>
  <c r="V682" i="4"/>
  <c r="T682" i="4"/>
  <c r="Q682" i="4"/>
  <c r="N682" i="4"/>
  <c r="K682" i="4"/>
  <c r="W681" i="4"/>
  <c r="V681" i="4"/>
  <c r="T681" i="4"/>
  <c r="Q681" i="4"/>
  <c r="N681" i="4"/>
  <c r="K681" i="4"/>
  <c r="W680" i="4"/>
  <c r="V680" i="4"/>
  <c r="T680" i="4"/>
  <c r="Q680" i="4"/>
  <c r="N680" i="4"/>
  <c r="K680" i="4"/>
  <c r="W679" i="4"/>
  <c r="V679" i="4"/>
  <c r="T679" i="4"/>
  <c r="Q679" i="4"/>
  <c r="N679" i="4"/>
  <c r="K679" i="4"/>
  <c r="W678" i="4"/>
  <c r="V678" i="4"/>
  <c r="T678" i="4"/>
  <c r="Q678" i="4"/>
  <c r="N678" i="4"/>
  <c r="K678" i="4"/>
  <c r="W677" i="4"/>
  <c r="V677" i="4"/>
  <c r="T677" i="4"/>
  <c r="Q677" i="4"/>
  <c r="N677" i="4"/>
  <c r="K677" i="4"/>
  <c r="W676" i="4"/>
  <c r="V676" i="4"/>
  <c r="T676" i="4"/>
  <c r="Q676" i="4"/>
  <c r="N676" i="4"/>
  <c r="K676" i="4"/>
  <c r="W675" i="4"/>
  <c r="V675" i="4"/>
  <c r="T675" i="4"/>
  <c r="Q675" i="4"/>
  <c r="N675" i="4"/>
  <c r="K675" i="4"/>
  <c r="W674" i="4"/>
  <c r="V674" i="4"/>
  <c r="T674" i="4"/>
  <c r="Q674" i="4"/>
  <c r="N674" i="4"/>
  <c r="K674" i="4"/>
  <c r="W673" i="4"/>
  <c r="V673" i="4"/>
  <c r="T673" i="4"/>
  <c r="Q673" i="4"/>
  <c r="N673" i="4"/>
  <c r="K673" i="4"/>
  <c r="W672" i="4"/>
  <c r="V672" i="4"/>
  <c r="T672" i="4"/>
  <c r="Q672" i="4"/>
  <c r="N672" i="4"/>
  <c r="K672" i="4"/>
  <c r="W671" i="4"/>
  <c r="V671" i="4"/>
  <c r="T671" i="4"/>
  <c r="Q671" i="4"/>
  <c r="N671" i="4"/>
  <c r="K671" i="4"/>
  <c r="W670" i="4"/>
  <c r="V670" i="4"/>
  <c r="T670" i="4"/>
  <c r="Q670" i="4"/>
  <c r="N670" i="4"/>
  <c r="K670" i="4"/>
  <c r="W669" i="4"/>
  <c r="V669" i="4"/>
  <c r="T669" i="4"/>
  <c r="Q669" i="4"/>
  <c r="N669" i="4"/>
  <c r="K669" i="4"/>
  <c r="W668" i="4"/>
  <c r="V668" i="4"/>
  <c r="T668" i="4"/>
  <c r="Q668" i="4"/>
  <c r="N668" i="4"/>
  <c r="K668" i="4"/>
  <c r="W667" i="4"/>
  <c r="V667" i="4"/>
  <c r="T667" i="4"/>
  <c r="Q667" i="4"/>
  <c r="N667" i="4"/>
  <c r="K667" i="4"/>
  <c r="W666" i="4"/>
  <c r="V666" i="4"/>
  <c r="T666" i="4"/>
  <c r="Q666" i="4"/>
  <c r="N666" i="4"/>
  <c r="K666" i="4"/>
  <c r="W665" i="4"/>
  <c r="V665" i="4"/>
  <c r="T665" i="4"/>
  <c r="Q665" i="4"/>
  <c r="N665" i="4"/>
  <c r="K665" i="4"/>
  <c r="W664" i="4"/>
  <c r="V664" i="4"/>
  <c r="T664" i="4"/>
  <c r="Q664" i="4"/>
  <c r="N664" i="4"/>
  <c r="K664" i="4"/>
  <c r="W663" i="4"/>
  <c r="V663" i="4"/>
  <c r="T663" i="4"/>
  <c r="Q663" i="4"/>
  <c r="N663" i="4"/>
  <c r="K663" i="4"/>
  <c r="W662" i="4"/>
  <c r="V662" i="4"/>
  <c r="T662" i="4"/>
  <c r="Q662" i="4"/>
  <c r="N662" i="4"/>
  <c r="K662" i="4"/>
  <c r="W661" i="4"/>
  <c r="V661" i="4"/>
  <c r="T661" i="4"/>
  <c r="Q661" i="4"/>
  <c r="N661" i="4"/>
  <c r="K661" i="4"/>
  <c r="W660" i="4"/>
  <c r="V660" i="4"/>
  <c r="T660" i="4"/>
  <c r="Q660" i="4"/>
  <c r="N660" i="4"/>
  <c r="K660" i="4"/>
  <c r="W659" i="4"/>
  <c r="V659" i="4"/>
  <c r="T659" i="4"/>
  <c r="Q659" i="4"/>
  <c r="N659" i="4"/>
  <c r="K659" i="4"/>
  <c r="W658" i="4"/>
  <c r="V658" i="4"/>
  <c r="T658" i="4"/>
  <c r="Q658" i="4"/>
  <c r="N658" i="4"/>
  <c r="K658" i="4"/>
  <c r="W657" i="4"/>
  <c r="V657" i="4"/>
  <c r="T657" i="4"/>
  <c r="Q657" i="4"/>
  <c r="N657" i="4"/>
  <c r="K657" i="4"/>
  <c r="W656" i="4"/>
  <c r="V656" i="4"/>
  <c r="T656" i="4"/>
  <c r="Q656" i="4"/>
  <c r="N656" i="4"/>
  <c r="K656" i="4"/>
  <c r="W655" i="4"/>
  <c r="V655" i="4"/>
  <c r="T655" i="4"/>
  <c r="Q655" i="4"/>
  <c r="N655" i="4"/>
  <c r="K655" i="4"/>
  <c r="W654" i="4"/>
  <c r="V654" i="4"/>
  <c r="T654" i="4"/>
  <c r="Q654" i="4"/>
  <c r="N654" i="4"/>
  <c r="K654" i="4"/>
  <c r="W653" i="4"/>
  <c r="V653" i="4"/>
  <c r="T653" i="4"/>
  <c r="Q653" i="4"/>
  <c r="N653" i="4"/>
  <c r="K653" i="4"/>
  <c r="W652" i="4"/>
  <c r="V652" i="4"/>
  <c r="T652" i="4"/>
  <c r="Q652" i="4"/>
  <c r="N652" i="4"/>
  <c r="K652" i="4"/>
  <c r="W651" i="4"/>
  <c r="V651" i="4"/>
  <c r="T651" i="4"/>
  <c r="Q651" i="4"/>
  <c r="N651" i="4"/>
  <c r="K651" i="4"/>
  <c r="W650" i="4"/>
  <c r="V650" i="4"/>
  <c r="T650" i="4"/>
  <c r="Q650" i="4"/>
  <c r="N650" i="4"/>
  <c r="K650" i="4"/>
  <c r="W649" i="4"/>
  <c r="V649" i="4"/>
  <c r="T649" i="4"/>
  <c r="Q649" i="4"/>
  <c r="N649" i="4"/>
  <c r="K649" i="4"/>
  <c r="W648" i="4"/>
  <c r="V648" i="4"/>
  <c r="T648" i="4"/>
  <c r="Q648" i="4"/>
  <c r="N648" i="4"/>
  <c r="K648" i="4"/>
  <c r="W647" i="4"/>
  <c r="V647" i="4"/>
  <c r="T647" i="4"/>
  <c r="Q647" i="4"/>
  <c r="N647" i="4"/>
  <c r="K647" i="4"/>
  <c r="W646" i="4"/>
  <c r="V646" i="4"/>
  <c r="T646" i="4"/>
  <c r="Q646" i="4"/>
  <c r="N646" i="4"/>
  <c r="K646" i="4"/>
  <c r="W645" i="4"/>
  <c r="V645" i="4"/>
  <c r="T645" i="4"/>
  <c r="Q645" i="4"/>
  <c r="N645" i="4"/>
  <c r="K645" i="4"/>
  <c r="W644" i="4"/>
  <c r="V644" i="4"/>
  <c r="T644" i="4"/>
  <c r="Q644" i="4"/>
  <c r="N644" i="4"/>
  <c r="K644" i="4"/>
  <c r="W643" i="4"/>
  <c r="V643" i="4"/>
  <c r="T643" i="4"/>
  <c r="Q643" i="4"/>
  <c r="N643" i="4"/>
  <c r="K643" i="4"/>
  <c r="W642" i="4"/>
  <c r="V642" i="4"/>
  <c r="T642" i="4"/>
  <c r="Q642" i="4"/>
  <c r="N642" i="4"/>
  <c r="K642" i="4"/>
  <c r="W641" i="4"/>
  <c r="V641" i="4"/>
  <c r="T641" i="4"/>
  <c r="Q641" i="4"/>
  <c r="N641" i="4"/>
  <c r="K641" i="4"/>
  <c r="W640" i="4"/>
  <c r="V640" i="4"/>
  <c r="T640" i="4"/>
  <c r="Q640" i="4"/>
  <c r="N640" i="4"/>
  <c r="K640" i="4"/>
  <c r="W639" i="4"/>
  <c r="V639" i="4"/>
  <c r="T639" i="4"/>
  <c r="Q639" i="4"/>
  <c r="N639" i="4"/>
  <c r="K639" i="4"/>
  <c r="W638" i="4"/>
  <c r="V638" i="4"/>
  <c r="T638" i="4"/>
  <c r="Q638" i="4"/>
  <c r="N638" i="4"/>
  <c r="K638" i="4"/>
  <c r="W637" i="4"/>
  <c r="V637" i="4"/>
  <c r="T637" i="4"/>
  <c r="Q637" i="4"/>
  <c r="N637" i="4"/>
  <c r="K637" i="4"/>
  <c r="W636" i="4"/>
  <c r="V636" i="4"/>
  <c r="T636" i="4"/>
  <c r="Q636" i="4"/>
  <c r="N636" i="4"/>
  <c r="K636" i="4"/>
  <c r="W635" i="4"/>
  <c r="V635" i="4"/>
  <c r="T635" i="4"/>
  <c r="Q635" i="4"/>
  <c r="N635" i="4"/>
  <c r="K635" i="4"/>
  <c r="W634" i="4"/>
  <c r="V634" i="4"/>
  <c r="T634" i="4"/>
  <c r="Q634" i="4"/>
  <c r="N634" i="4"/>
  <c r="K634" i="4"/>
  <c r="W633" i="4"/>
  <c r="V633" i="4"/>
  <c r="T633" i="4"/>
  <c r="Q633" i="4"/>
  <c r="N633" i="4"/>
  <c r="K633" i="4"/>
  <c r="W632" i="4"/>
  <c r="V632" i="4"/>
  <c r="T632" i="4"/>
  <c r="Q632" i="4"/>
  <c r="N632" i="4"/>
  <c r="K632" i="4"/>
  <c r="W631" i="4"/>
  <c r="V631" i="4"/>
  <c r="T631" i="4"/>
  <c r="Q631" i="4"/>
  <c r="N631" i="4"/>
  <c r="K631" i="4"/>
  <c r="W630" i="4"/>
  <c r="V630" i="4"/>
  <c r="T630" i="4"/>
  <c r="Q630" i="4"/>
  <c r="N630" i="4"/>
  <c r="K630" i="4"/>
  <c r="W629" i="4"/>
  <c r="V629" i="4"/>
  <c r="T629" i="4"/>
  <c r="Q629" i="4"/>
  <c r="N629" i="4"/>
  <c r="K629" i="4"/>
  <c r="W628" i="4"/>
  <c r="V628" i="4"/>
  <c r="T628" i="4"/>
  <c r="Q628" i="4"/>
  <c r="N628" i="4"/>
  <c r="K628" i="4"/>
  <c r="W627" i="4"/>
  <c r="V627" i="4"/>
  <c r="T627" i="4"/>
  <c r="Q627" i="4"/>
  <c r="N627" i="4"/>
  <c r="K627" i="4"/>
  <c r="W626" i="4"/>
  <c r="V626" i="4"/>
  <c r="T626" i="4"/>
  <c r="Q626" i="4"/>
  <c r="N626" i="4"/>
  <c r="K626" i="4"/>
  <c r="W625" i="4"/>
  <c r="V625" i="4"/>
  <c r="T625" i="4"/>
  <c r="Q625" i="4"/>
  <c r="N625" i="4"/>
  <c r="K625" i="4"/>
  <c r="W624" i="4"/>
  <c r="V624" i="4"/>
  <c r="T624" i="4"/>
  <c r="Q624" i="4"/>
  <c r="N624" i="4"/>
  <c r="K624" i="4"/>
  <c r="W623" i="4"/>
  <c r="V623" i="4"/>
  <c r="T623" i="4"/>
  <c r="Q623" i="4"/>
  <c r="N623" i="4"/>
  <c r="K623" i="4"/>
  <c r="W622" i="4"/>
  <c r="V622" i="4"/>
  <c r="T622" i="4"/>
  <c r="Q622" i="4"/>
  <c r="N622" i="4"/>
  <c r="K622" i="4"/>
  <c r="W621" i="4"/>
  <c r="V621" i="4"/>
  <c r="T621" i="4"/>
  <c r="Q621" i="4"/>
  <c r="N621" i="4"/>
  <c r="K621" i="4"/>
  <c r="W620" i="4"/>
  <c r="V620" i="4"/>
  <c r="T620" i="4"/>
  <c r="Q620" i="4"/>
  <c r="N620" i="4"/>
  <c r="K620" i="4"/>
  <c r="W619" i="4"/>
  <c r="V619" i="4"/>
  <c r="T619" i="4"/>
  <c r="Q619" i="4"/>
  <c r="N619" i="4"/>
  <c r="K619" i="4"/>
  <c r="W618" i="4"/>
  <c r="V618" i="4"/>
  <c r="T618" i="4"/>
  <c r="Q618" i="4"/>
  <c r="N618" i="4"/>
  <c r="K618" i="4"/>
  <c r="W617" i="4"/>
  <c r="V617" i="4"/>
  <c r="T617" i="4"/>
  <c r="Q617" i="4"/>
  <c r="N617" i="4"/>
  <c r="K617" i="4"/>
  <c r="W616" i="4"/>
  <c r="V616" i="4"/>
  <c r="T616" i="4"/>
  <c r="Q616" i="4"/>
  <c r="N616" i="4"/>
  <c r="K616" i="4"/>
  <c r="W615" i="4"/>
  <c r="V615" i="4"/>
  <c r="T615" i="4"/>
  <c r="Q615" i="4"/>
  <c r="N615" i="4"/>
  <c r="K615" i="4"/>
  <c r="W614" i="4"/>
  <c r="V614" i="4"/>
  <c r="T614" i="4"/>
  <c r="Q614" i="4"/>
  <c r="N614" i="4"/>
  <c r="K614" i="4"/>
  <c r="W613" i="4"/>
  <c r="V613" i="4"/>
  <c r="T613" i="4"/>
  <c r="Q613" i="4"/>
  <c r="N613" i="4"/>
  <c r="K613" i="4"/>
  <c r="W612" i="4"/>
  <c r="V612" i="4"/>
  <c r="T612" i="4"/>
  <c r="Q612" i="4"/>
  <c r="N612" i="4"/>
  <c r="K612" i="4"/>
  <c r="W611" i="4"/>
  <c r="V611" i="4"/>
  <c r="T611" i="4"/>
  <c r="Q611" i="4"/>
  <c r="N611" i="4"/>
  <c r="K611" i="4"/>
  <c r="W610" i="4"/>
  <c r="V610" i="4"/>
  <c r="T610" i="4"/>
  <c r="Q610" i="4"/>
  <c r="N610" i="4"/>
  <c r="K610" i="4"/>
  <c r="W609" i="4"/>
  <c r="V609" i="4"/>
  <c r="T609" i="4"/>
  <c r="Q609" i="4"/>
  <c r="N609" i="4"/>
  <c r="K609" i="4"/>
  <c r="W608" i="4"/>
  <c r="V608" i="4"/>
  <c r="T608" i="4"/>
  <c r="Q608" i="4"/>
  <c r="N608" i="4"/>
  <c r="K608" i="4"/>
  <c r="W607" i="4"/>
  <c r="V607" i="4"/>
  <c r="T607" i="4"/>
  <c r="Q607" i="4"/>
  <c r="N607" i="4"/>
  <c r="K607" i="4"/>
  <c r="W606" i="4"/>
  <c r="V606" i="4"/>
  <c r="T606" i="4"/>
  <c r="Q606" i="4"/>
  <c r="N606" i="4"/>
  <c r="K606" i="4"/>
  <c r="W605" i="4"/>
  <c r="V605" i="4"/>
  <c r="T605" i="4"/>
  <c r="Q605" i="4"/>
  <c r="N605" i="4"/>
  <c r="K605" i="4"/>
  <c r="W604" i="4"/>
  <c r="V604" i="4"/>
  <c r="T604" i="4"/>
  <c r="Q604" i="4"/>
  <c r="N604" i="4"/>
  <c r="K604" i="4"/>
  <c r="W603" i="4"/>
  <c r="V603" i="4"/>
  <c r="T603" i="4"/>
  <c r="Q603" i="4"/>
  <c r="N603" i="4"/>
  <c r="K603" i="4"/>
  <c r="W602" i="4"/>
  <c r="V602" i="4"/>
  <c r="T602" i="4"/>
  <c r="Q602" i="4"/>
  <c r="N602" i="4"/>
  <c r="K602" i="4"/>
  <c r="W601" i="4"/>
  <c r="V601" i="4"/>
  <c r="T601" i="4"/>
  <c r="Q601" i="4"/>
  <c r="N601" i="4"/>
  <c r="K601" i="4"/>
  <c r="W600" i="4"/>
  <c r="V600" i="4"/>
  <c r="T600" i="4"/>
  <c r="Q600" i="4"/>
  <c r="N600" i="4"/>
  <c r="K600" i="4"/>
  <c r="W599" i="4"/>
  <c r="V599" i="4"/>
  <c r="T599" i="4"/>
  <c r="Q599" i="4"/>
  <c r="N599" i="4"/>
  <c r="K599" i="4"/>
  <c r="W598" i="4"/>
  <c r="V598" i="4"/>
  <c r="T598" i="4"/>
  <c r="Q598" i="4"/>
  <c r="N598" i="4"/>
  <c r="K598" i="4"/>
  <c r="W597" i="4"/>
  <c r="V597" i="4"/>
  <c r="T597" i="4"/>
  <c r="Q597" i="4"/>
  <c r="N597" i="4"/>
  <c r="K597" i="4"/>
  <c r="W596" i="4"/>
  <c r="V596" i="4"/>
  <c r="T596" i="4"/>
  <c r="Q596" i="4"/>
  <c r="N596" i="4"/>
  <c r="K596" i="4"/>
  <c r="W595" i="4"/>
  <c r="V595" i="4"/>
  <c r="T595" i="4"/>
  <c r="Q595" i="4"/>
  <c r="N595" i="4"/>
  <c r="K595" i="4"/>
  <c r="W594" i="4"/>
  <c r="V594" i="4"/>
  <c r="T594" i="4"/>
  <c r="Q594" i="4"/>
  <c r="N594" i="4"/>
  <c r="K594" i="4"/>
  <c r="W593" i="4"/>
  <c r="V593" i="4"/>
  <c r="T593" i="4"/>
  <c r="Q593" i="4"/>
  <c r="N593" i="4"/>
  <c r="K593" i="4"/>
  <c r="W592" i="4"/>
  <c r="V592" i="4"/>
  <c r="T592" i="4"/>
  <c r="Q592" i="4"/>
  <c r="N592" i="4"/>
  <c r="K592" i="4"/>
  <c r="W591" i="4"/>
  <c r="V591" i="4"/>
  <c r="T591" i="4"/>
  <c r="Q591" i="4"/>
  <c r="N591" i="4"/>
  <c r="K591" i="4"/>
  <c r="W590" i="4"/>
  <c r="V590" i="4"/>
  <c r="T590" i="4"/>
  <c r="Q590" i="4"/>
  <c r="N590" i="4"/>
  <c r="K590" i="4"/>
  <c r="W589" i="4"/>
  <c r="V589" i="4"/>
  <c r="T589" i="4"/>
  <c r="Q589" i="4"/>
  <c r="N589" i="4"/>
  <c r="K589" i="4"/>
  <c r="W588" i="4"/>
  <c r="V588" i="4"/>
  <c r="T588" i="4"/>
  <c r="Q588" i="4"/>
  <c r="N588" i="4"/>
  <c r="K588" i="4"/>
  <c r="W587" i="4"/>
  <c r="V587" i="4"/>
  <c r="T587" i="4"/>
  <c r="Q587" i="4"/>
  <c r="N587" i="4"/>
  <c r="K587" i="4"/>
  <c r="W586" i="4"/>
  <c r="V586" i="4"/>
  <c r="T586" i="4"/>
  <c r="Q586" i="4"/>
  <c r="N586" i="4"/>
  <c r="K586" i="4"/>
  <c r="W585" i="4"/>
  <c r="V585" i="4"/>
  <c r="T585" i="4"/>
  <c r="Q585" i="4"/>
  <c r="N585" i="4"/>
  <c r="K585" i="4"/>
  <c r="W584" i="4"/>
  <c r="V584" i="4"/>
  <c r="T584" i="4"/>
  <c r="Q584" i="4"/>
  <c r="N584" i="4"/>
  <c r="K584" i="4"/>
  <c r="W583" i="4"/>
  <c r="V583" i="4"/>
  <c r="T583" i="4"/>
  <c r="Q583" i="4"/>
  <c r="N583" i="4"/>
  <c r="K583" i="4"/>
  <c r="W582" i="4"/>
  <c r="V582" i="4"/>
  <c r="T582" i="4"/>
  <c r="Q582" i="4"/>
  <c r="N582" i="4"/>
  <c r="K582" i="4"/>
  <c r="W581" i="4"/>
  <c r="V581" i="4"/>
  <c r="T581" i="4"/>
  <c r="Q581" i="4"/>
  <c r="N581" i="4"/>
  <c r="K581" i="4"/>
  <c r="W580" i="4"/>
  <c r="V580" i="4"/>
  <c r="T580" i="4"/>
  <c r="Q580" i="4"/>
  <c r="N580" i="4"/>
  <c r="K580" i="4"/>
  <c r="W579" i="4"/>
  <c r="V579" i="4"/>
  <c r="T579" i="4"/>
  <c r="Q579" i="4"/>
  <c r="N579" i="4"/>
  <c r="K579" i="4"/>
  <c r="W578" i="4"/>
  <c r="V578" i="4"/>
  <c r="T578" i="4"/>
  <c r="Q578" i="4"/>
  <c r="N578" i="4"/>
  <c r="K578" i="4"/>
  <c r="W577" i="4"/>
  <c r="V577" i="4"/>
  <c r="T577" i="4"/>
  <c r="Q577" i="4"/>
  <c r="N577" i="4"/>
  <c r="K577" i="4"/>
  <c r="W576" i="4"/>
  <c r="V576" i="4"/>
  <c r="T576" i="4"/>
  <c r="Q576" i="4"/>
  <c r="N576" i="4"/>
  <c r="K576" i="4"/>
  <c r="W575" i="4"/>
  <c r="V575" i="4"/>
  <c r="T575" i="4"/>
  <c r="Q575" i="4"/>
  <c r="N575" i="4"/>
  <c r="K575" i="4"/>
  <c r="W574" i="4"/>
  <c r="V574" i="4"/>
  <c r="T574" i="4"/>
  <c r="Q574" i="4"/>
  <c r="N574" i="4"/>
  <c r="K574" i="4"/>
  <c r="W573" i="4"/>
  <c r="V573" i="4"/>
  <c r="T573" i="4"/>
  <c r="Q573" i="4"/>
  <c r="N573" i="4"/>
  <c r="K573" i="4"/>
  <c r="W572" i="4"/>
  <c r="V572" i="4"/>
  <c r="T572" i="4"/>
  <c r="Q572" i="4"/>
  <c r="N572" i="4"/>
  <c r="K572" i="4"/>
  <c r="W571" i="4"/>
  <c r="V571" i="4"/>
  <c r="T571" i="4"/>
  <c r="Q571" i="4"/>
  <c r="N571" i="4"/>
  <c r="K571" i="4"/>
  <c r="W570" i="4"/>
  <c r="V570" i="4"/>
  <c r="T570" i="4"/>
  <c r="Q570" i="4"/>
  <c r="N570" i="4"/>
  <c r="K570" i="4"/>
  <c r="W569" i="4"/>
  <c r="V569" i="4"/>
  <c r="T569" i="4"/>
  <c r="Q569" i="4"/>
  <c r="N569" i="4"/>
  <c r="K569" i="4"/>
  <c r="W568" i="4"/>
  <c r="V568" i="4"/>
  <c r="T568" i="4"/>
  <c r="Q568" i="4"/>
  <c r="N568" i="4"/>
  <c r="K568" i="4"/>
  <c r="W567" i="4"/>
  <c r="V567" i="4"/>
  <c r="T567" i="4"/>
  <c r="Q567" i="4"/>
  <c r="N567" i="4"/>
  <c r="K567" i="4"/>
  <c r="W566" i="4"/>
  <c r="V566" i="4"/>
  <c r="T566" i="4"/>
  <c r="Q566" i="4"/>
  <c r="N566" i="4"/>
  <c r="K566" i="4"/>
  <c r="W565" i="4"/>
  <c r="V565" i="4"/>
  <c r="T565" i="4"/>
  <c r="Q565" i="4"/>
  <c r="N565" i="4"/>
  <c r="K565" i="4"/>
  <c r="W564" i="4"/>
  <c r="V564" i="4"/>
  <c r="T564" i="4"/>
  <c r="Q564" i="4"/>
  <c r="N564" i="4"/>
  <c r="K564" i="4"/>
  <c r="W563" i="4"/>
  <c r="V563" i="4"/>
  <c r="T563" i="4"/>
  <c r="Q563" i="4"/>
  <c r="N563" i="4"/>
  <c r="K563" i="4"/>
  <c r="W562" i="4"/>
  <c r="V562" i="4"/>
  <c r="T562" i="4"/>
  <c r="Q562" i="4"/>
  <c r="N562" i="4"/>
  <c r="K562" i="4"/>
  <c r="W561" i="4"/>
  <c r="V561" i="4"/>
  <c r="T561" i="4"/>
  <c r="Q561" i="4"/>
  <c r="N561" i="4"/>
  <c r="K561" i="4"/>
  <c r="W560" i="4"/>
  <c r="V560" i="4"/>
  <c r="T560" i="4"/>
  <c r="Q560" i="4"/>
  <c r="N560" i="4"/>
  <c r="K560" i="4"/>
  <c r="W559" i="4"/>
  <c r="V559" i="4"/>
  <c r="T559" i="4"/>
  <c r="Q559" i="4"/>
  <c r="N559" i="4"/>
  <c r="K559" i="4"/>
  <c r="W558" i="4"/>
  <c r="V558" i="4"/>
  <c r="T558" i="4"/>
  <c r="Q558" i="4"/>
  <c r="N558" i="4"/>
  <c r="K558" i="4"/>
  <c r="W557" i="4"/>
  <c r="V557" i="4"/>
  <c r="T557" i="4"/>
  <c r="Q557" i="4"/>
  <c r="N557" i="4"/>
  <c r="K557" i="4"/>
  <c r="W556" i="4"/>
  <c r="V556" i="4"/>
  <c r="T556" i="4"/>
  <c r="Q556" i="4"/>
  <c r="N556" i="4"/>
  <c r="K556" i="4"/>
  <c r="W555" i="4"/>
  <c r="V555" i="4"/>
  <c r="T555" i="4"/>
  <c r="Q555" i="4"/>
  <c r="N555" i="4"/>
  <c r="K555" i="4"/>
  <c r="W554" i="4"/>
  <c r="V554" i="4"/>
  <c r="T554" i="4"/>
  <c r="Q554" i="4"/>
  <c r="N554" i="4"/>
  <c r="K554" i="4"/>
  <c r="W553" i="4"/>
  <c r="V553" i="4"/>
  <c r="T553" i="4"/>
  <c r="Q553" i="4"/>
  <c r="N553" i="4"/>
  <c r="K553" i="4"/>
  <c r="W552" i="4"/>
  <c r="V552" i="4"/>
  <c r="T552" i="4"/>
  <c r="Q552" i="4"/>
  <c r="N552" i="4"/>
  <c r="K552" i="4"/>
  <c r="W551" i="4"/>
  <c r="V551" i="4"/>
  <c r="T551" i="4"/>
  <c r="Q551" i="4"/>
  <c r="N551" i="4"/>
  <c r="K551" i="4"/>
  <c r="W550" i="4"/>
  <c r="V550" i="4"/>
  <c r="T550" i="4"/>
  <c r="Q550" i="4"/>
  <c r="N550" i="4"/>
  <c r="K550" i="4"/>
  <c r="W549" i="4"/>
  <c r="V549" i="4"/>
  <c r="T549" i="4"/>
  <c r="Q549" i="4"/>
  <c r="N549" i="4"/>
  <c r="K549" i="4"/>
  <c r="W548" i="4"/>
  <c r="V548" i="4"/>
  <c r="T548" i="4"/>
  <c r="Q548" i="4"/>
  <c r="N548" i="4"/>
  <c r="K548" i="4"/>
  <c r="W547" i="4"/>
  <c r="V547" i="4"/>
  <c r="T547" i="4"/>
  <c r="Q547" i="4"/>
  <c r="N547" i="4"/>
  <c r="K547" i="4"/>
  <c r="W546" i="4"/>
  <c r="V546" i="4"/>
  <c r="T546" i="4"/>
  <c r="Q546" i="4"/>
  <c r="N546" i="4"/>
  <c r="K546" i="4"/>
  <c r="W545" i="4"/>
  <c r="V545" i="4"/>
  <c r="T545" i="4"/>
  <c r="Q545" i="4"/>
  <c r="N545" i="4"/>
  <c r="K545" i="4"/>
  <c r="W544" i="4"/>
  <c r="V544" i="4"/>
  <c r="T544" i="4"/>
  <c r="Q544" i="4"/>
  <c r="N544" i="4"/>
  <c r="K544" i="4"/>
  <c r="W543" i="4"/>
  <c r="V543" i="4"/>
  <c r="T543" i="4"/>
  <c r="Q543" i="4"/>
  <c r="N543" i="4"/>
  <c r="K543" i="4"/>
  <c r="W542" i="4"/>
  <c r="V542" i="4"/>
  <c r="T542" i="4"/>
  <c r="Q542" i="4"/>
  <c r="N542" i="4"/>
  <c r="K542" i="4"/>
  <c r="W541" i="4"/>
  <c r="V541" i="4"/>
  <c r="T541" i="4"/>
  <c r="Q541" i="4"/>
  <c r="N541" i="4"/>
  <c r="K541" i="4"/>
  <c r="W540" i="4"/>
  <c r="V540" i="4"/>
  <c r="T540" i="4"/>
  <c r="Q540" i="4"/>
  <c r="N540" i="4"/>
  <c r="K540" i="4"/>
  <c r="W539" i="4"/>
  <c r="V539" i="4"/>
  <c r="T539" i="4"/>
  <c r="Q539" i="4"/>
  <c r="N539" i="4"/>
  <c r="K539" i="4"/>
  <c r="W538" i="4"/>
  <c r="V538" i="4"/>
  <c r="T538" i="4"/>
  <c r="Q538" i="4"/>
  <c r="N538" i="4"/>
  <c r="K538" i="4"/>
  <c r="W537" i="4"/>
  <c r="V537" i="4"/>
  <c r="T537" i="4"/>
  <c r="Q537" i="4"/>
  <c r="N537" i="4"/>
  <c r="K537" i="4"/>
  <c r="W536" i="4"/>
  <c r="V536" i="4"/>
  <c r="T536" i="4"/>
  <c r="Q536" i="4"/>
  <c r="N536" i="4"/>
  <c r="K536" i="4"/>
  <c r="W535" i="4"/>
  <c r="V535" i="4"/>
  <c r="T535" i="4"/>
  <c r="Q535" i="4"/>
  <c r="N535" i="4"/>
  <c r="K535" i="4"/>
  <c r="W534" i="4"/>
  <c r="V534" i="4"/>
  <c r="T534" i="4"/>
  <c r="Q534" i="4"/>
  <c r="N534" i="4"/>
  <c r="K534" i="4"/>
  <c r="W533" i="4"/>
  <c r="V533" i="4"/>
  <c r="T533" i="4"/>
  <c r="Q533" i="4"/>
  <c r="N533" i="4"/>
  <c r="K533" i="4"/>
  <c r="W532" i="4"/>
  <c r="V532" i="4"/>
  <c r="T532" i="4"/>
  <c r="Q532" i="4"/>
  <c r="N532" i="4"/>
  <c r="K532" i="4"/>
  <c r="W531" i="4"/>
  <c r="V531" i="4"/>
  <c r="T531" i="4"/>
  <c r="Q531" i="4"/>
  <c r="N531" i="4"/>
  <c r="K531" i="4"/>
  <c r="W530" i="4"/>
  <c r="V530" i="4"/>
  <c r="T530" i="4"/>
  <c r="Q530" i="4"/>
  <c r="N530" i="4"/>
  <c r="K530" i="4"/>
  <c r="W529" i="4"/>
  <c r="V529" i="4"/>
  <c r="T529" i="4"/>
  <c r="Q529" i="4"/>
  <c r="N529" i="4"/>
  <c r="K529" i="4"/>
  <c r="W528" i="4"/>
  <c r="V528" i="4"/>
  <c r="T528" i="4"/>
  <c r="Q528" i="4"/>
  <c r="N528" i="4"/>
  <c r="K528" i="4"/>
  <c r="W527" i="4"/>
  <c r="V527" i="4"/>
  <c r="T527" i="4"/>
  <c r="Q527" i="4"/>
  <c r="N527" i="4"/>
  <c r="K527" i="4"/>
  <c r="W526" i="4"/>
  <c r="V526" i="4"/>
  <c r="T526" i="4"/>
  <c r="Q526" i="4"/>
  <c r="N526" i="4"/>
  <c r="K526" i="4"/>
  <c r="W525" i="4"/>
  <c r="V525" i="4"/>
  <c r="T525" i="4"/>
  <c r="Q525" i="4"/>
  <c r="N525" i="4"/>
  <c r="K525" i="4"/>
  <c r="W524" i="4"/>
  <c r="V524" i="4"/>
  <c r="T524" i="4"/>
  <c r="Q524" i="4"/>
  <c r="N524" i="4"/>
  <c r="K524" i="4"/>
  <c r="W523" i="4"/>
  <c r="V523" i="4"/>
  <c r="T523" i="4"/>
  <c r="Q523" i="4"/>
  <c r="N523" i="4"/>
  <c r="K523" i="4"/>
  <c r="W522" i="4"/>
  <c r="V522" i="4"/>
  <c r="T522" i="4"/>
  <c r="Q522" i="4"/>
  <c r="N522" i="4"/>
  <c r="K522" i="4"/>
  <c r="W521" i="4"/>
  <c r="V521" i="4"/>
  <c r="T521" i="4"/>
  <c r="Q521" i="4"/>
  <c r="N521" i="4"/>
  <c r="K521" i="4"/>
  <c r="W520" i="4"/>
  <c r="V520" i="4"/>
  <c r="T520" i="4"/>
  <c r="Q520" i="4"/>
  <c r="N520" i="4"/>
  <c r="K520" i="4"/>
  <c r="W519" i="4"/>
  <c r="V519" i="4"/>
  <c r="T519" i="4"/>
  <c r="Q519" i="4"/>
  <c r="N519" i="4"/>
  <c r="K519" i="4"/>
  <c r="W518" i="4"/>
  <c r="V518" i="4"/>
  <c r="T518" i="4"/>
  <c r="Q518" i="4"/>
  <c r="N518" i="4"/>
  <c r="K518" i="4"/>
  <c r="W517" i="4"/>
  <c r="V517" i="4"/>
  <c r="T517" i="4"/>
  <c r="Q517" i="4"/>
  <c r="N517" i="4"/>
  <c r="K517" i="4"/>
  <c r="W516" i="4"/>
  <c r="V516" i="4"/>
  <c r="T516" i="4"/>
  <c r="Q516" i="4"/>
  <c r="N516" i="4"/>
  <c r="K516" i="4"/>
  <c r="W515" i="4"/>
  <c r="V515" i="4"/>
  <c r="T515" i="4"/>
  <c r="Q515" i="4"/>
  <c r="N515" i="4"/>
  <c r="K515" i="4"/>
  <c r="W514" i="4"/>
  <c r="V514" i="4"/>
  <c r="T514" i="4"/>
  <c r="Q514" i="4"/>
  <c r="N514" i="4"/>
  <c r="K514" i="4"/>
  <c r="W513" i="4"/>
  <c r="V513" i="4"/>
  <c r="T513" i="4"/>
  <c r="Q513" i="4"/>
  <c r="N513" i="4"/>
  <c r="K513" i="4"/>
  <c r="W512" i="4"/>
  <c r="V512" i="4"/>
  <c r="T512" i="4"/>
  <c r="Q512" i="4"/>
  <c r="N512" i="4"/>
  <c r="K512" i="4"/>
  <c r="W511" i="4"/>
  <c r="V511" i="4"/>
  <c r="T511" i="4"/>
  <c r="Q511" i="4"/>
  <c r="N511" i="4"/>
  <c r="K511" i="4"/>
  <c r="W510" i="4"/>
  <c r="V510" i="4"/>
  <c r="T510" i="4"/>
  <c r="Q510" i="4"/>
  <c r="N510" i="4"/>
  <c r="K510" i="4"/>
  <c r="W509" i="4"/>
  <c r="V509" i="4"/>
  <c r="T509" i="4"/>
  <c r="Q509" i="4"/>
  <c r="N509" i="4"/>
  <c r="K509" i="4"/>
  <c r="W508" i="4"/>
  <c r="V508" i="4"/>
  <c r="T508" i="4"/>
  <c r="Q508" i="4"/>
  <c r="N508" i="4"/>
  <c r="K508" i="4"/>
  <c r="W507" i="4"/>
  <c r="V507" i="4"/>
  <c r="T507" i="4"/>
  <c r="Q507" i="4"/>
  <c r="N507" i="4"/>
  <c r="K507" i="4"/>
  <c r="W506" i="4"/>
  <c r="V506" i="4"/>
  <c r="T506" i="4"/>
  <c r="Q506" i="4"/>
  <c r="N506" i="4"/>
  <c r="K506" i="4"/>
  <c r="W505" i="4"/>
  <c r="V505" i="4"/>
  <c r="T505" i="4"/>
  <c r="Q505" i="4"/>
  <c r="N505" i="4"/>
  <c r="K505" i="4"/>
  <c r="W504" i="4"/>
  <c r="V504" i="4"/>
  <c r="T504" i="4"/>
  <c r="Q504" i="4"/>
  <c r="N504" i="4"/>
  <c r="K504" i="4"/>
  <c r="W503" i="4"/>
  <c r="V503" i="4"/>
  <c r="T503" i="4"/>
  <c r="Q503" i="4"/>
  <c r="N503" i="4"/>
  <c r="K503" i="4"/>
  <c r="W502" i="4"/>
  <c r="V502" i="4"/>
  <c r="T502" i="4"/>
  <c r="Q502" i="4"/>
  <c r="N502" i="4"/>
  <c r="K502" i="4"/>
  <c r="W501" i="4"/>
  <c r="V501" i="4"/>
  <c r="T501" i="4"/>
  <c r="Q501" i="4"/>
  <c r="N501" i="4"/>
  <c r="K501" i="4"/>
  <c r="W500" i="4"/>
  <c r="V500" i="4"/>
  <c r="T500" i="4"/>
  <c r="Q500" i="4"/>
  <c r="N500" i="4"/>
  <c r="K500" i="4"/>
  <c r="W499" i="4"/>
  <c r="V499" i="4"/>
  <c r="T499" i="4"/>
  <c r="Q499" i="4"/>
  <c r="N499" i="4"/>
  <c r="K499" i="4"/>
  <c r="W498" i="4"/>
  <c r="V498" i="4"/>
  <c r="T498" i="4"/>
  <c r="Q498" i="4"/>
  <c r="N498" i="4"/>
  <c r="K498" i="4"/>
  <c r="W497" i="4"/>
  <c r="V497" i="4"/>
  <c r="T497" i="4"/>
  <c r="Q497" i="4"/>
  <c r="N497" i="4"/>
  <c r="K497" i="4"/>
  <c r="W496" i="4"/>
  <c r="V496" i="4"/>
  <c r="T496" i="4"/>
  <c r="Q496" i="4"/>
  <c r="N496" i="4"/>
  <c r="K496" i="4"/>
  <c r="W495" i="4"/>
  <c r="V495" i="4"/>
  <c r="T495" i="4"/>
  <c r="Q495" i="4"/>
  <c r="N495" i="4"/>
  <c r="K495" i="4"/>
  <c r="W494" i="4"/>
  <c r="V494" i="4"/>
  <c r="T494" i="4"/>
  <c r="Q494" i="4"/>
  <c r="N494" i="4"/>
  <c r="K494" i="4"/>
  <c r="W493" i="4"/>
  <c r="V493" i="4"/>
  <c r="T493" i="4"/>
  <c r="Q493" i="4"/>
  <c r="N493" i="4"/>
  <c r="K493" i="4"/>
  <c r="W492" i="4"/>
  <c r="V492" i="4"/>
  <c r="T492" i="4"/>
  <c r="Q492" i="4"/>
  <c r="N492" i="4"/>
  <c r="K492" i="4"/>
  <c r="W491" i="4"/>
  <c r="V491" i="4"/>
  <c r="T491" i="4"/>
  <c r="Q491" i="4"/>
  <c r="N491" i="4"/>
  <c r="K491" i="4"/>
  <c r="W490" i="4"/>
  <c r="V490" i="4"/>
  <c r="T490" i="4"/>
  <c r="Q490" i="4"/>
  <c r="N490" i="4"/>
  <c r="K490" i="4"/>
  <c r="W489" i="4"/>
  <c r="V489" i="4"/>
  <c r="T489" i="4"/>
  <c r="Q489" i="4"/>
  <c r="N489" i="4"/>
  <c r="K489" i="4"/>
  <c r="W488" i="4"/>
  <c r="V488" i="4"/>
  <c r="T488" i="4"/>
  <c r="Q488" i="4"/>
  <c r="N488" i="4"/>
  <c r="K488" i="4"/>
  <c r="W487" i="4"/>
  <c r="V487" i="4"/>
  <c r="T487" i="4"/>
  <c r="Q487" i="4"/>
  <c r="N487" i="4"/>
  <c r="K487" i="4"/>
  <c r="W486" i="4"/>
  <c r="V486" i="4"/>
  <c r="T486" i="4"/>
  <c r="Q486" i="4"/>
  <c r="N486" i="4"/>
  <c r="K486" i="4"/>
  <c r="W485" i="4"/>
  <c r="V485" i="4"/>
  <c r="T485" i="4"/>
  <c r="Q485" i="4"/>
  <c r="N485" i="4"/>
  <c r="K485" i="4"/>
  <c r="W484" i="4"/>
  <c r="V484" i="4"/>
  <c r="T484" i="4"/>
  <c r="Q484" i="4"/>
  <c r="N484" i="4"/>
  <c r="K484" i="4"/>
  <c r="W483" i="4"/>
  <c r="V483" i="4"/>
  <c r="T483" i="4"/>
  <c r="Q483" i="4"/>
  <c r="N483" i="4"/>
  <c r="K483" i="4"/>
  <c r="W482" i="4"/>
  <c r="V482" i="4"/>
  <c r="T482" i="4"/>
  <c r="Q482" i="4"/>
  <c r="N482" i="4"/>
  <c r="K482" i="4"/>
  <c r="W481" i="4"/>
  <c r="V481" i="4"/>
  <c r="T481" i="4"/>
  <c r="Q481" i="4"/>
  <c r="N481" i="4"/>
  <c r="K481" i="4"/>
  <c r="W480" i="4"/>
  <c r="V480" i="4"/>
  <c r="T480" i="4"/>
  <c r="Q480" i="4"/>
  <c r="N480" i="4"/>
  <c r="K480" i="4"/>
  <c r="W479" i="4"/>
  <c r="V479" i="4"/>
  <c r="T479" i="4"/>
  <c r="Q479" i="4"/>
  <c r="N479" i="4"/>
  <c r="K479" i="4"/>
  <c r="W478" i="4"/>
  <c r="V478" i="4"/>
  <c r="T478" i="4"/>
  <c r="Q478" i="4"/>
  <c r="N478" i="4"/>
  <c r="K478" i="4"/>
  <c r="W477" i="4"/>
  <c r="V477" i="4"/>
  <c r="T477" i="4"/>
  <c r="Q477" i="4"/>
  <c r="N477" i="4"/>
  <c r="K477" i="4"/>
  <c r="W476" i="4"/>
  <c r="V476" i="4"/>
  <c r="T476" i="4"/>
  <c r="Q476" i="4"/>
  <c r="N476" i="4"/>
  <c r="K476" i="4"/>
  <c r="W475" i="4"/>
  <c r="V475" i="4"/>
  <c r="T475" i="4"/>
  <c r="Q475" i="4"/>
  <c r="N475" i="4"/>
  <c r="K475" i="4"/>
  <c r="W474" i="4"/>
  <c r="V474" i="4"/>
  <c r="T474" i="4"/>
  <c r="Q474" i="4"/>
  <c r="N474" i="4"/>
  <c r="K474" i="4"/>
  <c r="W473" i="4"/>
  <c r="V473" i="4"/>
  <c r="T473" i="4"/>
  <c r="Q473" i="4"/>
  <c r="N473" i="4"/>
  <c r="K473" i="4"/>
  <c r="W472" i="4"/>
  <c r="V472" i="4"/>
  <c r="T472" i="4"/>
  <c r="Q472" i="4"/>
  <c r="N472" i="4"/>
  <c r="K472" i="4"/>
  <c r="W471" i="4"/>
  <c r="V471" i="4"/>
  <c r="T471" i="4"/>
  <c r="Q471" i="4"/>
  <c r="N471" i="4"/>
  <c r="K471" i="4"/>
  <c r="W470" i="4"/>
  <c r="V470" i="4"/>
  <c r="T470" i="4"/>
  <c r="Q470" i="4"/>
  <c r="N470" i="4"/>
  <c r="K470" i="4"/>
  <c r="W469" i="4"/>
  <c r="V469" i="4"/>
  <c r="T469" i="4"/>
  <c r="Q469" i="4"/>
  <c r="N469" i="4"/>
  <c r="K469" i="4"/>
  <c r="W468" i="4"/>
  <c r="V468" i="4"/>
  <c r="T468" i="4"/>
  <c r="Q468" i="4"/>
  <c r="N468" i="4"/>
  <c r="K468" i="4"/>
  <c r="W467" i="4"/>
  <c r="V467" i="4"/>
  <c r="T467" i="4"/>
  <c r="Q467" i="4"/>
  <c r="N467" i="4"/>
  <c r="K467" i="4"/>
  <c r="W466" i="4"/>
  <c r="V466" i="4"/>
  <c r="T466" i="4"/>
  <c r="Q466" i="4"/>
  <c r="N466" i="4"/>
  <c r="K466" i="4"/>
  <c r="W465" i="4"/>
  <c r="V465" i="4"/>
  <c r="T465" i="4"/>
  <c r="Q465" i="4"/>
  <c r="N465" i="4"/>
  <c r="K465" i="4"/>
  <c r="W464" i="4"/>
  <c r="V464" i="4"/>
  <c r="T464" i="4"/>
  <c r="Q464" i="4"/>
  <c r="N464" i="4"/>
  <c r="K464" i="4"/>
  <c r="W463" i="4"/>
  <c r="V463" i="4"/>
  <c r="T463" i="4"/>
  <c r="Q463" i="4"/>
  <c r="N463" i="4"/>
  <c r="K463" i="4"/>
  <c r="W462" i="4"/>
  <c r="V462" i="4"/>
  <c r="T462" i="4"/>
  <c r="Q462" i="4"/>
  <c r="N462" i="4"/>
  <c r="K462" i="4"/>
  <c r="W461" i="4"/>
  <c r="V461" i="4"/>
  <c r="T461" i="4"/>
  <c r="Q461" i="4"/>
  <c r="N461" i="4"/>
  <c r="K461" i="4"/>
  <c r="W460" i="4"/>
  <c r="V460" i="4"/>
  <c r="T460" i="4"/>
  <c r="Q460" i="4"/>
  <c r="N460" i="4"/>
  <c r="K460" i="4"/>
  <c r="W459" i="4"/>
  <c r="V459" i="4"/>
  <c r="T459" i="4"/>
  <c r="Q459" i="4"/>
  <c r="N459" i="4"/>
  <c r="K459" i="4"/>
  <c r="W458" i="4"/>
  <c r="V458" i="4"/>
  <c r="T458" i="4"/>
  <c r="Q458" i="4"/>
  <c r="N458" i="4"/>
  <c r="K458" i="4"/>
  <c r="W457" i="4"/>
  <c r="V457" i="4"/>
  <c r="T457" i="4"/>
  <c r="Q457" i="4"/>
  <c r="N457" i="4"/>
  <c r="K457" i="4"/>
  <c r="W456" i="4"/>
  <c r="V456" i="4"/>
  <c r="T456" i="4"/>
  <c r="Q456" i="4"/>
  <c r="N456" i="4"/>
  <c r="K456" i="4"/>
  <c r="W455" i="4"/>
  <c r="V455" i="4"/>
  <c r="T455" i="4"/>
  <c r="Q455" i="4"/>
  <c r="N455" i="4"/>
  <c r="K455" i="4"/>
  <c r="W454" i="4"/>
  <c r="V454" i="4"/>
  <c r="T454" i="4"/>
  <c r="Q454" i="4"/>
  <c r="N454" i="4"/>
  <c r="K454" i="4"/>
  <c r="W453" i="4"/>
  <c r="V453" i="4"/>
  <c r="T453" i="4"/>
  <c r="Q453" i="4"/>
  <c r="N453" i="4"/>
  <c r="K453" i="4"/>
  <c r="W452" i="4"/>
  <c r="V452" i="4"/>
  <c r="T452" i="4"/>
  <c r="Q452" i="4"/>
  <c r="N452" i="4"/>
  <c r="K452" i="4"/>
  <c r="W451" i="4"/>
  <c r="V451" i="4"/>
  <c r="T451" i="4"/>
  <c r="Q451" i="4"/>
  <c r="N451" i="4"/>
  <c r="K451" i="4"/>
  <c r="W450" i="4"/>
  <c r="V450" i="4"/>
  <c r="T450" i="4"/>
  <c r="Q450" i="4"/>
  <c r="N450" i="4"/>
  <c r="K450" i="4"/>
  <c r="W449" i="4"/>
  <c r="V449" i="4"/>
  <c r="T449" i="4"/>
  <c r="Q449" i="4"/>
  <c r="N449" i="4"/>
  <c r="K449" i="4"/>
  <c r="W448" i="4"/>
  <c r="V448" i="4"/>
  <c r="T448" i="4"/>
  <c r="Q448" i="4"/>
  <c r="N448" i="4"/>
  <c r="K448" i="4"/>
  <c r="W447" i="4"/>
  <c r="V447" i="4"/>
  <c r="T447" i="4"/>
  <c r="Q447" i="4"/>
  <c r="N447" i="4"/>
  <c r="K447" i="4"/>
  <c r="W446" i="4"/>
  <c r="V446" i="4"/>
  <c r="T446" i="4"/>
  <c r="Q446" i="4"/>
  <c r="N446" i="4"/>
  <c r="K446" i="4"/>
  <c r="W445" i="4"/>
  <c r="V445" i="4"/>
  <c r="T445" i="4"/>
  <c r="Q445" i="4"/>
  <c r="N445" i="4"/>
  <c r="K445" i="4"/>
  <c r="W444" i="4"/>
  <c r="V444" i="4"/>
  <c r="T444" i="4"/>
  <c r="Q444" i="4"/>
  <c r="N444" i="4"/>
  <c r="K444" i="4"/>
  <c r="W443" i="4"/>
  <c r="V443" i="4"/>
  <c r="T443" i="4"/>
  <c r="Q443" i="4"/>
  <c r="N443" i="4"/>
  <c r="K443" i="4"/>
  <c r="W442" i="4"/>
  <c r="V442" i="4"/>
  <c r="T442" i="4"/>
  <c r="Q442" i="4"/>
  <c r="N442" i="4"/>
  <c r="K442" i="4"/>
  <c r="W441" i="4"/>
  <c r="V441" i="4"/>
  <c r="T441" i="4"/>
  <c r="Q441" i="4"/>
  <c r="N441" i="4"/>
  <c r="K441" i="4"/>
  <c r="W440" i="4"/>
  <c r="V440" i="4"/>
  <c r="T440" i="4"/>
  <c r="Q440" i="4"/>
  <c r="N440" i="4"/>
  <c r="K440" i="4"/>
  <c r="W439" i="4"/>
  <c r="V439" i="4"/>
  <c r="T439" i="4"/>
  <c r="Q439" i="4"/>
  <c r="N439" i="4"/>
  <c r="K439" i="4"/>
  <c r="W438" i="4"/>
  <c r="V438" i="4"/>
  <c r="T438" i="4"/>
  <c r="Q438" i="4"/>
  <c r="N438" i="4"/>
  <c r="K438" i="4"/>
  <c r="W437" i="4"/>
  <c r="V437" i="4"/>
  <c r="T437" i="4"/>
  <c r="Q437" i="4"/>
  <c r="N437" i="4"/>
  <c r="K437" i="4"/>
  <c r="W436" i="4"/>
  <c r="V436" i="4"/>
  <c r="T436" i="4"/>
  <c r="Q436" i="4"/>
  <c r="N436" i="4"/>
  <c r="K436" i="4"/>
  <c r="W435" i="4"/>
  <c r="V435" i="4"/>
  <c r="T435" i="4"/>
  <c r="Q435" i="4"/>
  <c r="N435" i="4"/>
  <c r="K435" i="4"/>
  <c r="W434" i="4"/>
  <c r="V434" i="4"/>
  <c r="T434" i="4"/>
  <c r="Q434" i="4"/>
  <c r="N434" i="4"/>
  <c r="K434" i="4"/>
  <c r="W433" i="4"/>
  <c r="V433" i="4"/>
  <c r="T433" i="4"/>
  <c r="Q433" i="4"/>
  <c r="N433" i="4"/>
  <c r="K433" i="4"/>
  <c r="W432" i="4"/>
  <c r="V432" i="4"/>
  <c r="T432" i="4"/>
  <c r="Q432" i="4"/>
  <c r="N432" i="4"/>
  <c r="K432" i="4"/>
  <c r="W431" i="4"/>
  <c r="V431" i="4"/>
  <c r="T431" i="4"/>
  <c r="Q431" i="4"/>
  <c r="N431" i="4"/>
  <c r="K431" i="4"/>
  <c r="W430" i="4"/>
  <c r="V430" i="4"/>
  <c r="T430" i="4"/>
  <c r="Q430" i="4"/>
  <c r="N430" i="4"/>
  <c r="K430" i="4"/>
  <c r="W429" i="4"/>
  <c r="V429" i="4"/>
  <c r="T429" i="4"/>
  <c r="Q429" i="4"/>
  <c r="N429" i="4"/>
  <c r="K429" i="4"/>
  <c r="W428" i="4"/>
  <c r="V428" i="4"/>
  <c r="T428" i="4"/>
  <c r="Q428" i="4"/>
  <c r="N428" i="4"/>
  <c r="K428" i="4"/>
  <c r="W427" i="4"/>
  <c r="V427" i="4"/>
  <c r="T427" i="4"/>
  <c r="Q427" i="4"/>
  <c r="N427" i="4"/>
  <c r="K427" i="4"/>
  <c r="W426" i="4"/>
  <c r="V426" i="4"/>
  <c r="T426" i="4"/>
  <c r="Q426" i="4"/>
  <c r="N426" i="4"/>
  <c r="K426" i="4"/>
  <c r="W425" i="4"/>
  <c r="V425" i="4"/>
  <c r="T425" i="4"/>
  <c r="Q425" i="4"/>
  <c r="N425" i="4"/>
  <c r="K425" i="4"/>
  <c r="W424" i="4"/>
  <c r="V424" i="4"/>
  <c r="T424" i="4"/>
  <c r="Q424" i="4"/>
  <c r="N424" i="4"/>
  <c r="K424" i="4"/>
  <c r="W423" i="4"/>
  <c r="V423" i="4"/>
  <c r="T423" i="4"/>
  <c r="Q423" i="4"/>
  <c r="N423" i="4"/>
  <c r="K423" i="4"/>
  <c r="W422" i="4"/>
  <c r="V422" i="4"/>
  <c r="T422" i="4"/>
  <c r="Q422" i="4"/>
  <c r="N422" i="4"/>
  <c r="K422" i="4"/>
  <c r="W421" i="4"/>
  <c r="V421" i="4"/>
  <c r="T421" i="4"/>
  <c r="Q421" i="4"/>
  <c r="N421" i="4"/>
  <c r="K421" i="4"/>
  <c r="W420" i="4"/>
  <c r="V420" i="4"/>
  <c r="T420" i="4"/>
  <c r="Q420" i="4"/>
  <c r="N420" i="4"/>
  <c r="K420" i="4"/>
  <c r="W419" i="4"/>
  <c r="V419" i="4"/>
  <c r="T419" i="4"/>
  <c r="Q419" i="4"/>
  <c r="N419" i="4"/>
  <c r="K419" i="4"/>
  <c r="W418" i="4"/>
  <c r="V418" i="4"/>
  <c r="T418" i="4"/>
  <c r="Q418" i="4"/>
  <c r="N418" i="4"/>
  <c r="K418" i="4"/>
  <c r="W417" i="4"/>
  <c r="V417" i="4"/>
  <c r="T417" i="4"/>
  <c r="Q417" i="4"/>
  <c r="N417" i="4"/>
  <c r="K417" i="4"/>
  <c r="W416" i="4"/>
  <c r="V416" i="4"/>
  <c r="T416" i="4"/>
  <c r="Q416" i="4"/>
  <c r="N416" i="4"/>
  <c r="K416" i="4"/>
  <c r="W415" i="4"/>
  <c r="V415" i="4"/>
  <c r="T415" i="4"/>
  <c r="Q415" i="4"/>
  <c r="N415" i="4"/>
  <c r="K415" i="4"/>
  <c r="W414" i="4"/>
  <c r="V414" i="4"/>
  <c r="T414" i="4"/>
  <c r="Q414" i="4"/>
  <c r="N414" i="4"/>
  <c r="K414" i="4"/>
  <c r="W413" i="4"/>
  <c r="V413" i="4"/>
  <c r="T413" i="4"/>
  <c r="Q413" i="4"/>
  <c r="N413" i="4"/>
  <c r="K413" i="4"/>
  <c r="W412" i="4"/>
  <c r="V412" i="4"/>
  <c r="T412" i="4"/>
  <c r="Q412" i="4"/>
  <c r="N412" i="4"/>
  <c r="K412" i="4"/>
  <c r="W411" i="4"/>
  <c r="V411" i="4"/>
  <c r="T411" i="4"/>
  <c r="Q411" i="4"/>
  <c r="N411" i="4"/>
  <c r="K411" i="4"/>
  <c r="W410" i="4"/>
  <c r="V410" i="4"/>
  <c r="T410" i="4"/>
  <c r="Q410" i="4"/>
  <c r="N410" i="4"/>
  <c r="K410" i="4"/>
  <c r="W409" i="4"/>
  <c r="V409" i="4"/>
  <c r="T409" i="4"/>
  <c r="Q409" i="4"/>
  <c r="N409" i="4"/>
  <c r="K409" i="4"/>
  <c r="W408" i="4"/>
  <c r="V408" i="4"/>
  <c r="T408" i="4"/>
  <c r="Q408" i="4"/>
  <c r="N408" i="4"/>
  <c r="K408" i="4"/>
  <c r="W407" i="4"/>
  <c r="V407" i="4"/>
  <c r="T407" i="4"/>
  <c r="Q407" i="4"/>
  <c r="N407" i="4"/>
  <c r="K407" i="4"/>
  <c r="W406" i="4"/>
  <c r="V406" i="4"/>
  <c r="T406" i="4"/>
  <c r="Q406" i="4"/>
  <c r="N406" i="4"/>
  <c r="K406" i="4"/>
  <c r="W405" i="4"/>
  <c r="V405" i="4"/>
  <c r="T405" i="4"/>
  <c r="Q405" i="4"/>
  <c r="N405" i="4"/>
  <c r="K405" i="4"/>
  <c r="W404" i="4"/>
  <c r="V404" i="4"/>
  <c r="T404" i="4"/>
  <c r="Q404" i="4"/>
  <c r="N404" i="4"/>
  <c r="K404" i="4"/>
  <c r="W403" i="4"/>
  <c r="V403" i="4"/>
  <c r="T403" i="4"/>
  <c r="Q403" i="4"/>
  <c r="N403" i="4"/>
  <c r="K403" i="4"/>
  <c r="W402" i="4"/>
  <c r="V402" i="4"/>
  <c r="T402" i="4"/>
  <c r="Q402" i="4"/>
  <c r="N402" i="4"/>
  <c r="K402" i="4"/>
  <c r="W401" i="4"/>
  <c r="V401" i="4"/>
  <c r="T401" i="4"/>
  <c r="Q401" i="4"/>
  <c r="N401" i="4"/>
  <c r="K401" i="4"/>
  <c r="W400" i="4"/>
  <c r="V400" i="4"/>
  <c r="T400" i="4"/>
  <c r="Q400" i="4"/>
  <c r="N400" i="4"/>
  <c r="K400" i="4"/>
  <c r="W399" i="4"/>
  <c r="V399" i="4"/>
  <c r="T399" i="4"/>
  <c r="Q399" i="4"/>
  <c r="N399" i="4"/>
  <c r="K399" i="4"/>
  <c r="W398" i="4"/>
  <c r="V398" i="4"/>
  <c r="T398" i="4"/>
  <c r="Q398" i="4"/>
  <c r="N398" i="4"/>
  <c r="K398" i="4"/>
  <c r="W397" i="4"/>
  <c r="V397" i="4"/>
  <c r="T397" i="4"/>
  <c r="Q397" i="4"/>
  <c r="N397" i="4"/>
  <c r="K397" i="4"/>
  <c r="W396" i="4"/>
  <c r="V396" i="4"/>
  <c r="T396" i="4"/>
  <c r="Q396" i="4"/>
  <c r="N396" i="4"/>
  <c r="K396" i="4"/>
  <c r="W395" i="4"/>
  <c r="V395" i="4"/>
  <c r="T395" i="4"/>
  <c r="Q395" i="4"/>
  <c r="N395" i="4"/>
  <c r="K395" i="4"/>
  <c r="W394" i="4"/>
  <c r="V394" i="4"/>
  <c r="T394" i="4"/>
  <c r="Q394" i="4"/>
  <c r="N394" i="4"/>
  <c r="K394" i="4"/>
  <c r="W393" i="4"/>
  <c r="V393" i="4"/>
  <c r="T393" i="4"/>
  <c r="Q393" i="4"/>
  <c r="N393" i="4"/>
  <c r="K393" i="4"/>
  <c r="W392" i="4"/>
  <c r="V392" i="4"/>
  <c r="T392" i="4"/>
  <c r="Q392" i="4"/>
  <c r="N392" i="4"/>
  <c r="K392" i="4"/>
  <c r="W391" i="4"/>
  <c r="V391" i="4"/>
  <c r="T391" i="4"/>
  <c r="Q391" i="4"/>
  <c r="N391" i="4"/>
  <c r="K391" i="4"/>
  <c r="W390" i="4"/>
  <c r="V390" i="4"/>
  <c r="T390" i="4"/>
  <c r="Q390" i="4"/>
  <c r="N390" i="4"/>
  <c r="K390" i="4"/>
  <c r="W389" i="4"/>
  <c r="V389" i="4"/>
  <c r="T389" i="4"/>
  <c r="Q389" i="4"/>
  <c r="N389" i="4"/>
  <c r="K389" i="4"/>
  <c r="W388" i="4"/>
  <c r="V388" i="4"/>
  <c r="T388" i="4"/>
  <c r="Q388" i="4"/>
  <c r="N388" i="4"/>
  <c r="K388" i="4"/>
  <c r="W387" i="4"/>
  <c r="V387" i="4"/>
  <c r="T387" i="4"/>
  <c r="Q387" i="4"/>
  <c r="N387" i="4"/>
  <c r="K387" i="4"/>
  <c r="W386" i="4"/>
  <c r="V386" i="4"/>
  <c r="T386" i="4"/>
  <c r="Q386" i="4"/>
  <c r="N386" i="4"/>
  <c r="K386" i="4"/>
  <c r="W385" i="4"/>
  <c r="V385" i="4"/>
  <c r="T385" i="4"/>
  <c r="Q385" i="4"/>
  <c r="N385" i="4"/>
  <c r="K385" i="4"/>
  <c r="W384" i="4"/>
  <c r="V384" i="4"/>
  <c r="T384" i="4"/>
  <c r="Q384" i="4"/>
  <c r="N384" i="4"/>
  <c r="K384" i="4"/>
  <c r="W383" i="4"/>
  <c r="V383" i="4"/>
  <c r="T383" i="4"/>
  <c r="Q383" i="4"/>
  <c r="N383" i="4"/>
  <c r="K383" i="4"/>
  <c r="W382" i="4"/>
  <c r="V382" i="4"/>
  <c r="T382" i="4"/>
  <c r="Q382" i="4"/>
  <c r="N382" i="4"/>
  <c r="K382" i="4"/>
  <c r="W381" i="4"/>
  <c r="V381" i="4"/>
  <c r="T381" i="4"/>
  <c r="Q381" i="4"/>
  <c r="N381" i="4"/>
  <c r="K381" i="4"/>
  <c r="W380" i="4"/>
  <c r="V380" i="4"/>
  <c r="T380" i="4"/>
  <c r="Q380" i="4"/>
  <c r="N380" i="4"/>
  <c r="K380" i="4"/>
  <c r="W379" i="4"/>
  <c r="V379" i="4"/>
  <c r="T379" i="4"/>
  <c r="Q379" i="4"/>
  <c r="N379" i="4"/>
  <c r="K379" i="4"/>
  <c r="W378" i="4"/>
  <c r="V378" i="4"/>
  <c r="T378" i="4"/>
  <c r="Q378" i="4"/>
  <c r="N378" i="4"/>
  <c r="K378" i="4"/>
  <c r="W377" i="4"/>
  <c r="V377" i="4"/>
  <c r="T377" i="4"/>
  <c r="Q377" i="4"/>
  <c r="N377" i="4"/>
  <c r="K377" i="4"/>
  <c r="W376" i="4"/>
  <c r="V376" i="4"/>
  <c r="T376" i="4"/>
  <c r="Q376" i="4"/>
  <c r="N376" i="4"/>
  <c r="K376" i="4"/>
  <c r="W375" i="4"/>
  <c r="V375" i="4"/>
  <c r="T375" i="4"/>
  <c r="Q375" i="4"/>
  <c r="N375" i="4"/>
  <c r="K375" i="4"/>
  <c r="W374" i="4"/>
  <c r="V374" i="4"/>
  <c r="T374" i="4"/>
  <c r="Q374" i="4"/>
  <c r="N374" i="4"/>
  <c r="K374" i="4"/>
  <c r="W373" i="4"/>
  <c r="V373" i="4"/>
  <c r="T373" i="4"/>
  <c r="Q373" i="4"/>
  <c r="N373" i="4"/>
  <c r="K373" i="4"/>
  <c r="W372" i="4"/>
  <c r="V372" i="4"/>
  <c r="T372" i="4"/>
  <c r="Q372" i="4"/>
  <c r="N372" i="4"/>
  <c r="K372" i="4"/>
  <c r="W371" i="4"/>
  <c r="V371" i="4"/>
  <c r="T371" i="4"/>
  <c r="Q371" i="4"/>
  <c r="N371" i="4"/>
  <c r="K371" i="4"/>
  <c r="W370" i="4"/>
  <c r="V370" i="4"/>
  <c r="T370" i="4"/>
  <c r="Q370" i="4"/>
  <c r="N370" i="4"/>
  <c r="K370" i="4"/>
  <c r="W369" i="4"/>
  <c r="V369" i="4"/>
  <c r="T369" i="4"/>
  <c r="Q369" i="4"/>
  <c r="N369" i="4"/>
  <c r="K369" i="4"/>
  <c r="W368" i="4"/>
  <c r="V368" i="4"/>
  <c r="T368" i="4"/>
  <c r="Q368" i="4"/>
  <c r="N368" i="4"/>
  <c r="K368" i="4"/>
  <c r="W367" i="4"/>
  <c r="V367" i="4"/>
  <c r="T367" i="4"/>
  <c r="Q367" i="4"/>
  <c r="N367" i="4"/>
  <c r="K367" i="4"/>
  <c r="W366" i="4"/>
  <c r="V366" i="4"/>
  <c r="T366" i="4"/>
  <c r="Q366" i="4"/>
  <c r="N366" i="4"/>
  <c r="K366" i="4"/>
  <c r="W365" i="4"/>
  <c r="V365" i="4"/>
  <c r="T365" i="4"/>
  <c r="Q365" i="4"/>
  <c r="N365" i="4"/>
  <c r="K365" i="4"/>
  <c r="W364" i="4"/>
  <c r="V364" i="4"/>
  <c r="T364" i="4"/>
  <c r="Q364" i="4"/>
  <c r="N364" i="4"/>
  <c r="K364" i="4"/>
  <c r="W363" i="4"/>
  <c r="V363" i="4"/>
  <c r="T363" i="4"/>
  <c r="Q363" i="4"/>
  <c r="N363" i="4"/>
  <c r="K363" i="4"/>
  <c r="W362" i="4"/>
  <c r="V362" i="4"/>
  <c r="T362" i="4"/>
  <c r="Q362" i="4"/>
  <c r="N362" i="4"/>
  <c r="K362" i="4"/>
  <c r="W361" i="4"/>
  <c r="V361" i="4"/>
  <c r="T361" i="4"/>
  <c r="Q361" i="4"/>
  <c r="N361" i="4"/>
  <c r="K361" i="4"/>
  <c r="W360" i="4"/>
  <c r="V360" i="4"/>
  <c r="T360" i="4"/>
  <c r="Q360" i="4"/>
  <c r="N360" i="4"/>
  <c r="K360" i="4"/>
  <c r="W359" i="4"/>
  <c r="V359" i="4"/>
  <c r="T359" i="4"/>
  <c r="Q359" i="4"/>
  <c r="N359" i="4"/>
  <c r="K359" i="4"/>
  <c r="W358" i="4"/>
  <c r="V358" i="4"/>
  <c r="T358" i="4"/>
  <c r="Q358" i="4"/>
  <c r="N358" i="4"/>
  <c r="K358" i="4"/>
  <c r="W357" i="4"/>
  <c r="V357" i="4"/>
  <c r="T357" i="4"/>
  <c r="Q357" i="4"/>
  <c r="N357" i="4"/>
  <c r="K357" i="4"/>
  <c r="W356" i="4"/>
  <c r="V356" i="4"/>
  <c r="T356" i="4"/>
  <c r="Q356" i="4"/>
  <c r="N356" i="4"/>
  <c r="K356" i="4"/>
  <c r="W355" i="4"/>
  <c r="V355" i="4"/>
  <c r="T355" i="4"/>
  <c r="Q355" i="4"/>
  <c r="N355" i="4"/>
  <c r="K355" i="4"/>
  <c r="W354" i="4"/>
  <c r="V354" i="4"/>
  <c r="T354" i="4"/>
  <c r="Q354" i="4"/>
  <c r="N354" i="4"/>
  <c r="K354" i="4"/>
  <c r="W353" i="4"/>
  <c r="V353" i="4"/>
  <c r="T353" i="4"/>
  <c r="Q353" i="4"/>
  <c r="N353" i="4"/>
  <c r="K353" i="4"/>
  <c r="W352" i="4"/>
  <c r="V352" i="4"/>
  <c r="T352" i="4"/>
  <c r="Q352" i="4"/>
  <c r="N352" i="4"/>
  <c r="K352" i="4"/>
  <c r="W351" i="4"/>
  <c r="V351" i="4"/>
  <c r="T351" i="4"/>
  <c r="Q351" i="4"/>
  <c r="N351" i="4"/>
  <c r="K351" i="4"/>
  <c r="W350" i="4"/>
  <c r="V350" i="4"/>
  <c r="T350" i="4"/>
  <c r="Q350" i="4"/>
  <c r="N350" i="4"/>
  <c r="K350" i="4"/>
  <c r="W349" i="4"/>
  <c r="V349" i="4"/>
  <c r="T349" i="4"/>
  <c r="Q349" i="4"/>
  <c r="N349" i="4"/>
  <c r="K349" i="4"/>
  <c r="W348" i="4"/>
  <c r="V348" i="4"/>
  <c r="T348" i="4"/>
  <c r="Q348" i="4"/>
  <c r="N348" i="4"/>
  <c r="K348" i="4"/>
  <c r="W347" i="4"/>
  <c r="V347" i="4"/>
  <c r="T347" i="4"/>
  <c r="Q347" i="4"/>
  <c r="N347" i="4"/>
  <c r="K347" i="4"/>
  <c r="W346" i="4"/>
  <c r="V346" i="4"/>
  <c r="T346" i="4"/>
  <c r="Q346" i="4"/>
  <c r="N346" i="4"/>
  <c r="K346" i="4"/>
  <c r="W345" i="4"/>
  <c r="V345" i="4"/>
  <c r="T345" i="4"/>
  <c r="Q345" i="4"/>
  <c r="N345" i="4"/>
  <c r="K345" i="4"/>
  <c r="W344" i="4"/>
  <c r="V344" i="4"/>
  <c r="T344" i="4"/>
  <c r="Q344" i="4"/>
  <c r="N344" i="4"/>
  <c r="K344" i="4"/>
  <c r="W343" i="4"/>
  <c r="V343" i="4"/>
  <c r="T343" i="4"/>
  <c r="Q343" i="4"/>
  <c r="N343" i="4"/>
  <c r="K343" i="4"/>
  <c r="W342" i="4"/>
  <c r="V342" i="4"/>
  <c r="T342" i="4"/>
  <c r="Q342" i="4"/>
  <c r="N342" i="4"/>
  <c r="K342" i="4"/>
  <c r="W341" i="4"/>
  <c r="V341" i="4"/>
  <c r="T341" i="4"/>
  <c r="Q341" i="4"/>
  <c r="N341" i="4"/>
  <c r="K341" i="4"/>
  <c r="W340" i="4"/>
  <c r="V340" i="4"/>
  <c r="T340" i="4"/>
  <c r="Q340" i="4"/>
  <c r="N340" i="4"/>
  <c r="K340" i="4"/>
  <c r="W339" i="4"/>
  <c r="V339" i="4"/>
  <c r="T339" i="4"/>
  <c r="Q339" i="4"/>
  <c r="N339" i="4"/>
  <c r="K339" i="4"/>
  <c r="W338" i="4"/>
  <c r="V338" i="4"/>
  <c r="T338" i="4"/>
  <c r="Q338" i="4"/>
  <c r="N338" i="4"/>
  <c r="K338" i="4"/>
  <c r="W337" i="4"/>
  <c r="V337" i="4"/>
  <c r="T337" i="4"/>
  <c r="Q337" i="4"/>
  <c r="N337" i="4"/>
  <c r="K337" i="4"/>
  <c r="W336" i="4"/>
  <c r="V336" i="4"/>
  <c r="T336" i="4"/>
  <c r="Q336" i="4"/>
  <c r="N336" i="4"/>
  <c r="K336" i="4"/>
  <c r="W335" i="4"/>
  <c r="V335" i="4"/>
  <c r="T335" i="4"/>
  <c r="Q335" i="4"/>
  <c r="N335" i="4"/>
  <c r="K335" i="4"/>
  <c r="W334" i="4"/>
  <c r="V334" i="4"/>
  <c r="T334" i="4"/>
  <c r="Q334" i="4"/>
  <c r="N334" i="4"/>
  <c r="K334" i="4"/>
  <c r="W333" i="4"/>
  <c r="V333" i="4"/>
  <c r="T333" i="4"/>
  <c r="Q333" i="4"/>
  <c r="N333" i="4"/>
  <c r="K333" i="4"/>
  <c r="W332" i="4"/>
  <c r="V332" i="4"/>
  <c r="T332" i="4"/>
  <c r="Q332" i="4"/>
  <c r="N332" i="4"/>
  <c r="K332" i="4"/>
  <c r="W331" i="4"/>
  <c r="V331" i="4"/>
  <c r="T331" i="4"/>
  <c r="Q331" i="4"/>
  <c r="N331" i="4"/>
  <c r="K331" i="4"/>
  <c r="W330" i="4"/>
  <c r="V330" i="4"/>
  <c r="T330" i="4"/>
  <c r="Q330" i="4"/>
  <c r="N330" i="4"/>
  <c r="K330" i="4"/>
  <c r="W329" i="4"/>
  <c r="V329" i="4"/>
  <c r="T329" i="4"/>
  <c r="Q329" i="4"/>
  <c r="N329" i="4"/>
  <c r="K329" i="4"/>
  <c r="W328" i="4"/>
  <c r="V328" i="4"/>
  <c r="T328" i="4"/>
  <c r="Q328" i="4"/>
  <c r="N328" i="4"/>
  <c r="K328" i="4"/>
  <c r="W327" i="4"/>
  <c r="V327" i="4"/>
  <c r="T327" i="4"/>
  <c r="Q327" i="4"/>
  <c r="N327" i="4"/>
  <c r="K327" i="4"/>
  <c r="W326" i="4"/>
  <c r="V326" i="4"/>
  <c r="T326" i="4"/>
  <c r="Q326" i="4"/>
  <c r="N326" i="4"/>
  <c r="K326" i="4"/>
  <c r="W325" i="4"/>
  <c r="V325" i="4"/>
  <c r="T325" i="4"/>
  <c r="Q325" i="4"/>
  <c r="N325" i="4"/>
  <c r="K325" i="4"/>
  <c r="W324" i="4"/>
  <c r="V324" i="4"/>
  <c r="T324" i="4"/>
  <c r="Q324" i="4"/>
  <c r="N324" i="4"/>
  <c r="K324" i="4"/>
  <c r="W323" i="4"/>
  <c r="V323" i="4"/>
  <c r="T323" i="4"/>
  <c r="Q323" i="4"/>
  <c r="N323" i="4"/>
  <c r="K323" i="4"/>
  <c r="W322" i="4"/>
  <c r="V322" i="4"/>
  <c r="T322" i="4"/>
  <c r="Q322" i="4"/>
  <c r="N322" i="4"/>
  <c r="K322" i="4"/>
  <c r="W321" i="4"/>
  <c r="V321" i="4"/>
  <c r="T321" i="4"/>
  <c r="Q321" i="4"/>
  <c r="N321" i="4"/>
  <c r="K321" i="4"/>
  <c r="W320" i="4"/>
  <c r="V320" i="4"/>
  <c r="T320" i="4"/>
  <c r="Q320" i="4"/>
  <c r="N320" i="4"/>
  <c r="K320" i="4"/>
  <c r="W319" i="4"/>
  <c r="V319" i="4"/>
  <c r="T319" i="4"/>
  <c r="Q319" i="4"/>
  <c r="N319" i="4"/>
  <c r="K319" i="4"/>
  <c r="W318" i="4"/>
  <c r="V318" i="4"/>
  <c r="T318" i="4"/>
  <c r="Q318" i="4"/>
  <c r="N318" i="4"/>
  <c r="K318" i="4"/>
  <c r="W317" i="4"/>
  <c r="V317" i="4"/>
  <c r="T317" i="4"/>
  <c r="Q317" i="4"/>
  <c r="N317" i="4"/>
  <c r="K317" i="4"/>
  <c r="W316" i="4"/>
  <c r="V316" i="4"/>
  <c r="T316" i="4"/>
  <c r="Q316" i="4"/>
  <c r="N316" i="4"/>
  <c r="K316" i="4"/>
  <c r="W315" i="4"/>
  <c r="V315" i="4"/>
  <c r="T315" i="4"/>
  <c r="Q315" i="4"/>
  <c r="N315" i="4"/>
  <c r="K315" i="4"/>
  <c r="W314" i="4"/>
  <c r="V314" i="4"/>
  <c r="T314" i="4"/>
  <c r="Q314" i="4"/>
  <c r="N314" i="4"/>
  <c r="K314" i="4"/>
  <c r="W313" i="4"/>
  <c r="V313" i="4"/>
  <c r="T313" i="4"/>
  <c r="Q313" i="4"/>
  <c r="N313" i="4"/>
  <c r="K313" i="4"/>
  <c r="W312" i="4"/>
  <c r="V312" i="4"/>
  <c r="T312" i="4"/>
  <c r="Q312" i="4"/>
  <c r="N312" i="4"/>
  <c r="K312" i="4"/>
  <c r="W311" i="4"/>
  <c r="V311" i="4"/>
  <c r="T311" i="4"/>
  <c r="Q311" i="4"/>
  <c r="N311" i="4"/>
  <c r="K311" i="4"/>
  <c r="W310" i="4"/>
  <c r="V310" i="4"/>
  <c r="T310" i="4"/>
  <c r="Q310" i="4"/>
  <c r="N310" i="4"/>
  <c r="K310" i="4"/>
  <c r="W309" i="4"/>
  <c r="V309" i="4"/>
  <c r="T309" i="4"/>
  <c r="Q309" i="4"/>
  <c r="N309" i="4"/>
  <c r="K309" i="4"/>
  <c r="W308" i="4"/>
  <c r="V308" i="4"/>
  <c r="T308" i="4"/>
  <c r="Q308" i="4"/>
  <c r="N308" i="4"/>
  <c r="K308" i="4"/>
  <c r="W307" i="4"/>
  <c r="V307" i="4"/>
  <c r="T307" i="4"/>
  <c r="Q307" i="4"/>
  <c r="N307" i="4"/>
  <c r="K307" i="4"/>
  <c r="W306" i="4"/>
  <c r="V306" i="4"/>
  <c r="T306" i="4"/>
  <c r="Q306" i="4"/>
  <c r="N306" i="4"/>
  <c r="K306" i="4"/>
  <c r="W305" i="4"/>
  <c r="V305" i="4"/>
  <c r="T305" i="4"/>
  <c r="Q305" i="4"/>
  <c r="N305" i="4"/>
  <c r="K305" i="4"/>
  <c r="W304" i="4"/>
  <c r="V304" i="4"/>
  <c r="T304" i="4"/>
  <c r="Q304" i="4"/>
  <c r="N304" i="4"/>
  <c r="K304" i="4"/>
  <c r="W303" i="4"/>
  <c r="V303" i="4"/>
  <c r="T303" i="4"/>
  <c r="Q303" i="4"/>
  <c r="N303" i="4"/>
  <c r="K303" i="4"/>
  <c r="W302" i="4"/>
  <c r="V302" i="4"/>
  <c r="T302" i="4"/>
  <c r="Q302" i="4"/>
  <c r="N302" i="4"/>
  <c r="K302" i="4"/>
  <c r="W301" i="4"/>
  <c r="V301" i="4"/>
  <c r="T301" i="4"/>
  <c r="Q301" i="4"/>
  <c r="N301" i="4"/>
  <c r="K301" i="4"/>
  <c r="W300" i="4"/>
  <c r="V300" i="4"/>
  <c r="T300" i="4"/>
  <c r="Q300" i="4"/>
  <c r="N300" i="4"/>
  <c r="K300" i="4"/>
  <c r="W299" i="4"/>
  <c r="V299" i="4"/>
  <c r="T299" i="4"/>
  <c r="Q299" i="4"/>
  <c r="N299" i="4"/>
  <c r="K299" i="4"/>
  <c r="W298" i="4"/>
  <c r="V298" i="4"/>
  <c r="T298" i="4"/>
  <c r="Q298" i="4"/>
  <c r="N298" i="4"/>
  <c r="K298" i="4"/>
  <c r="W297" i="4"/>
  <c r="V297" i="4"/>
  <c r="T297" i="4"/>
  <c r="Q297" i="4"/>
  <c r="N297" i="4"/>
  <c r="K297" i="4"/>
  <c r="W296" i="4"/>
  <c r="V296" i="4"/>
  <c r="T296" i="4"/>
  <c r="Q296" i="4"/>
  <c r="N296" i="4"/>
  <c r="K296" i="4"/>
  <c r="W295" i="4"/>
  <c r="V295" i="4"/>
  <c r="T295" i="4"/>
  <c r="Q295" i="4"/>
  <c r="N295" i="4"/>
  <c r="K295" i="4"/>
  <c r="W294" i="4"/>
  <c r="V294" i="4"/>
  <c r="T294" i="4"/>
  <c r="Q294" i="4"/>
  <c r="N294" i="4"/>
  <c r="K294" i="4"/>
  <c r="W293" i="4"/>
  <c r="V293" i="4"/>
  <c r="T293" i="4"/>
  <c r="Q293" i="4"/>
  <c r="N293" i="4"/>
  <c r="K293" i="4"/>
  <c r="W292" i="4"/>
  <c r="V292" i="4"/>
  <c r="T292" i="4"/>
  <c r="Q292" i="4"/>
  <c r="N292" i="4"/>
  <c r="K292" i="4"/>
  <c r="W291" i="4"/>
  <c r="V291" i="4"/>
  <c r="T291" i="4"/>
  <c r="Q291" i="4"/>
  <c r="N291" i="4"/>
  <c r="K291" i="4"/>
  <c r="W290" i="4"/>
  <c r="V290" i="4"/>
  <c r="T290" i="4"/>
  <c r="Q290" i="4"/>
  <c r="N290" i="4"/>
  <c r="K290" i="4"/>
  <c r="W289" i="4"/>
  <c r="V289" i="4"/>
  <c r="T289" i="4"/>
  <c r="Q289" i="4"/>
  <c r="N289" i="4"/>
  <c r="K289" i="4"/>
  <c r="W288" i="4"/>
  <c r="V288" i="4"/>
  <c r="T288" i="4"/>
  <c r="Q288" i="4"/>
  <c r="N288" i="4"/>
  <c r="K288" i="4"/>
  <c r="W287" i="4"/>
  <c r="V287" i="4"/>
  <c r="T287" i="4"/>
  <c r="Q287" i="4"/>
  <c r="N287" i="4"/>
  <c r="K287" i="4"/>
  <c r="W286" i="4"/>
  <c r="V286" i="4"/>
  <c r="T286" i="4"/>
  <c r="Q286" i="4"/>
  <c r="N286" i="4"/>
  <c r="K286" i="4"/>
  <c r="W285" i="4"/>
  <c r="V285" i="4"/>
  <c r="T285" i="4"/>
  <c r="Q285" i="4"/>
  <c r="N285" i="4"/>
  <c r="K285" i="4"/>
  <c r="W284" i="4"/>
  <c r="V284" i="4"/>
  <c r="T284" i="4"/>
  <c r="Q284" i="4"/>
  <c r="N284" i="4"/>
  <c r="K284" i="4"/>
  <c r="W283" i="4"/>
  <c r="V283" i="4"/>
  <c r="T283" i="4"/>
  <c r="Q283" i="4"/>
  <c r="N283" i="4"/>
  <c r="K283" i="4"/>
  <c r="W282" i="4"/>
  <c r="V282" i="4"/>
  <c r="T282" i="4"/>
  <c r="Q282" i="4"/>
  <c r="N282" i="4"/>
  <c r="K282" i="4"/>
  <c r="W281" i="4"/>
  <c r="V281" i="4"/>
  <c r="T281" i="4"/>
  <c r="Q281" i="4"/>
  <c r="N281" i="4"/>
  <c r="K281" i="4"/>
  <c r="W280" i="4"/>
  <c r="V280" i="4"/>
  <c r="T280" i="4"/>
  <c r="Q280" i="4"/>
  <c r="N280" i="4"/>
  <c r="K280" i="4"/>
  <c r="W279" i="4"/>
  <c r="V279" i="4"/>
  <c r="T279" i="4"/>
  <c r="Q279" i="4"/>
  <c r="N279" i="4"/>
  <c r="K279" i="4"/>
  <c r="W278" i="4"/>
  <c r="V278" i="4"/>
  <c r="T278" i="4"/>
  <c r="Q278" i="4"/>
  <c r="N278" i="4"/>
  <c r="K278" i="4"/>
  <c r="W277" i="4"/>
  <c r="V277" i="4"/>
  <c r="T277" i="4"/>
  <c r="Q277" i="4"/>
  <c r="N277" i="4"/>
  <c r="K277" i="4"/>
  <c r="W276" i="4"/>
  <c r="V276" i="4"/>
  <c r="T276" i="4"/>
  <c r="Q276" i="4"/>
  <c r="N276" i="4"/>
  <c r="K276" i="4"/>
  <c r="W275" i="4"/>
  <c r="V275" i="4"/>
  <c r="T275" i="4"/>
  <c r="Q275" i="4"/>
  <c r="N275" i="4"/>
  <c r="K275" i="4"/>
  <c r="W274" i="4"/>
  <c r="V274" i="4"/>
  <c r="T274" i="4"/>
  <c r="Q274" i="4"/>
  <c r="N274" i="4"/>
  <c r="K274" i="4"/>
  <c r="W273" i="4"/>
  <c r="V273" i="4"/>
  <c r="T273" i="4"/>
  <c r="Q273" i="4"/>
  <c r="N273" i="4"/>
  <c r="K273" i="4"/>
  <c r="W272" i="4"/>
  <c r="V272" i="4"/>
  <c r="T272" i="4"/>
  <c r="Q272" i="4"/>
  <c r="N272" i="4"/>
  <c r="K272" i="4"/>
  <c r="W271" i="4"/>
  <c r="V271" i="4"/>
  <c r="T271" i="4"/>
  <c r="Q271" i="4"/>
  <c r="N271" i="4"/>
  <c r="K271" i="4"/>
  <c r="W270" i="4"/>
  <c r="V270" i="4"/>
  <c r="T270" i="4"/>
  <c r="Q270" i="4"/>
  <c r="N270" i="4"/>
  <c r="K270" i="4"/>
  <c r="W269" i="4"/>
  <c r="V269" i="4"/>
  <c r="T269" i="4"/>
  <c r="Q269" i="4"/>
  <c r="N269" i="4"/>
  <c r="K269" i="4"/>
  <c r="W268" i="4"/>
  <c r="V268" i="4"/>
  <c r="T268" i="4"/>
  <c r="Q268" i="4"/>
  <c r="N268" i="4"/>
  <c r="K268" i="4"/>
  <c r="W267" i="4"/>
  <c r="V267" i="4"/>
  <c r="T267" i="4"/>
  <c r="Q267" i="4"/>
  <c r="N267" i="4"/>
  <c r="K267" i="4"/>
  <c r="W266" i="4"/>
  <c r="V266" i="4"/>
  <c r="T266" i="4"/>
  <c r="Q266" i="4"/>
  <c r="N266" i="4"/>
  <c r="K266" i="4"/>
  <c r="W265" i="4"/>
  <c r="V265" i="4"/>
  <c r="T265" i="4"/>
  <c r="Q265" i="4"/>
  <c r="N265" i="4"/>
  <c r="K265" i="4"/>
  <c r="W264" i="4"/>
  <c r="V264" i="4"/>
  <c r="T264" i="4"/>
  <c r="Q264" i="4"/>
  <c r="N264" i="4"/>
  <c r="K264" i="4"/>
  <c r="W263" i="4"/>
  <c r="V263" i="4"/>
  <c r="T263" i="4"/>
  <c r="Q263" i="4"/>
  <c r="N263" i="4"/>
  <c r="K263" i="4"/>
  <c r="W262" i="4"/>
  <c r="V262" i="4"/>
  <c r="T262" i="4"/>
  <c r="Q262" i="4"/>
  <c r="N262" i="4"/>
  <c r="K262" i="4"/>
  <c r="W261" i="4"/>
  <c r="V261" i="4"/>
  <c r="T261" i="4"/>
  <c r="Q261" i="4"/>
  <c r="N261" i="4"/>
  <c r="K261" i="4"/>
  <c r="W260" i="4"/>
  <c r="V260" i="4"/>
  <c r="T260" i="4"/>
  <c r="Q260" i="4"/>
  <c r="N260" i="4"/>
  <c r="K260" i="4"/>
  <c r="W259" i="4"/>
  <c r="V259" i="4"/>
  <c r="T259" i="4"/>
  <c r="Q259" i="4"/>
  <c r="N259" i="4"/>
  <c r="K259" i="4"/>
  <c r="W258" i="4"/>
  <c r="V258" i="4"/>
  <c r="T258" i="4"/>
  <c r="Q258" i="4"/>
  <c r="N258" i="4"/>
  <c r="K258" i="4"/>
  <c r="W257" i="4"/>
  <c r="V257" i="4"/>
  <c r="T257" i="4"/>
  <c r="Q257" i="4"/>
  <c r="N257" i="4"/>
  <c r="K257" i="4"/>
  <c r="W256" i="4"/>
  <c r="V256" i="4"/>
  <c r="T256" i="4"/>
  <c r="Q256" i="4"/>
  <c r="N256" i="4"/>
  <c r="K256" i="4"/>
  <c r="W255" i="4"/>
  <c r="V255" i="4"/>
  <c r="T255" i="4"/>
  <c r="Q255" i="4"/>
  <c r="N255" i="4"/>
  <c r="K255" i="4"/>
  <c r="W254" i="4"/>
  <c r="V254" i="4"/>
  <c r="T254" i="4"/>
  <c r="Q254" i="4"/>
  <c r="N254" i="4"/>
  <c r="K254" i="4"/>
  <c r="W253" i="4"/>
  <c r="V253" i="4"/>
  <c r="T253" i="4"/>
  <c r="Q253" i="4"/>
  <c r="N253" i="4"/>
  <c r="K253" i="4"/>
  <c r="W252" i="4"/>
  <c r="V252" i="4"/>
  <c r="T252" i="4"/>
  <c r="Q252" i="4"/>
  <c r="N252" i="4"/>
  <c r="K252" i="4"/>
  <c r="W251" i="4"/>
  <c r="V251" i="4"/>
  <c r="T251" i="4"/>
  <c r="Q251" i="4"/>
  <c r="N251" i="4"/>
  <c r="K251" i="4"/>
  <c r="W250" i="4"/>
  <c r="V250" i="4"/>
  <c r="T250" i="4"/>
  <c r="Q250" i="4"/>
  <c r="N250" i="4"/>
  <c r="K250" i="4"/>
  <c r="W249" i="4"/>
  <c r="V249" i="4"/>
  <c r="T249" i="4"/>
  <c r="Q249" i="4"/>
  <c r="N249" i="4"/>
  <c r="K249" i="4"/>
  <c r="W248" i="4"/>
  <c r="V248" i="4"/>
  <c r="T248" i="4"/>
  <c r="Q248" i="4"/>
  <c r="N248" i="4"/>
  <c r="K248" i="4"/>
  <c r="W247" i="4"/>
  <c r="V247" i="4"/>
  <c r="T247" i="4"/>
  <c r="Q247" i="4"/>
  <c r="N247" i="4"/>
  <c r="K247" i="4"/>
  <c r="W246" i="4"/>
  <c r="V246" i="4"/>
  <c r="T246" i="4"/>
  <c r="Q246" i="4"/>
  <c r="N246" i="4"/>
  <c r="K246" i="4"/>
  <c r="W245" i="4"/>
  <c r="V245" i="4"/>
  <c r="T245" i="4"/>
  <c r="Q245" i="4"/>
  <c r="N245" i="4"/>
  <c r="K245" i="4"/>
  <c r="W244" i="4"/>
  <c r="V244" i="4"/>
  <c r="T244" i="4"/>
  <c r="Q244" i="4"/>
  <c r="N244" i="4"/>
  <c r="K244" i="4"/>
  <c r="W243" i="4"/>
  <c r="V243" i="4"/>
  <c r="T243" i="4"/>
  <c r="Q243" i="4"/>
  <c r="N243" i="4"/>
  <c r="K243" i="4"/>
  <c r="W242" i="4"/>
  <c r="V242" i="4"/>
  <c r="T242" i="4"/>
  <c r="Q242" i="4"/>
  <c r="N242" i="4"/>
  <c r="K242" i="4"/>
  <c r="W241" i="4"/>
  <c r="V241" i="4"/>
  <c r="T241" i="4"/>
  <c r="Q241" i="4"/>
  <c r="N241" i="4"/>
  <c r="K241" i="4"/>
  <c r="W240" i="4"/>
  <c r="V240" i="4"/>
  <c r="T240" i="4"/>
  <c r="Q240" i="4"/>
  <c r="N240" i="4"/>
  <c r="K240" i="4"/>
  <c r="W239" i="4"/>
  <c r="V239" i="4"/>
  <c r="T239" i="4"/>
  <c r="Q239" i="4"/>
  <c r="N239" i="4"/>
  <c r="K239" i="4"/>
  <c r="W238" i="4"/>
  <c r="V238" i="4"/>
  <c r="T238" i="4"/>
  <c r="Q238" i="4"/>
  <c r="N238" i="4"/>
  <c r="K238" i="4"/>
  <c r="W237" i="4"/>
  <c r="V237" i="4"/>
  <c r="T237" i="4"/>
  <c r="Q237" i="4"/>
  <c r="N237" i="4"/>
  <c r="K237" i="4"/>
  <c r="W236" i="4"/>
  <c r="V236" i="4"/>
  <c r="T236" i="4"/>
  <c r="Q236" i="4"/>
  <c r="N236" i="4"/>
  <c r="K236" i="4"/>
  <c r="W235" i="4"/>
  <c r="V235" i="4"/>
  <c r="T235" i="4"/>
  <c r="Q235" i="4"/>
  <c r="N235" i="4"/>
  <c r="K235" i="4"/>
  <c r="W234" i="4"/>
  <c r="V234" i="4"/>
  <c r="T234" i="4"/>
  <c r="Q234" i="4"/>
  <c r="N234" i="4"/>
  <c r="K234" i="4"/>
  <c r="W233" i="4"/>
  <c r="V233" i="4"/>
  <c r="T233" i="4"/>
  <c r="Q233" i="4"/>
  <c r="N233" i="4"/>
  <c r="K233" i="4"/>
  <c r="W232" i="4"/>
  <c r="V232" i="4"/>
  <c r="T232" i="4"/>
  <c r="Q232" i="4"/>
  <c r="N232" i="4"/>
  <c r="K232" i="4"/>
  <c r="W231" i="4"/>
  <c r="V231" i="4"/>
  <c r="T231" i="4"/>
  <c r="Q231" i="4"/>
  <c r="N231" i="4"/>
  <c r="K231" i="4"/>
  <c r="W230" i="4"/>
  <c r="V230" i="4"/>
  <c r="T230" i="4"/>
  <c r="Q230" i="4"/>
  <c r="N230" i="4"/>
  <c r="K230" i="4"/>
  <c r="W229" i="4"/>
  <c r="V229" i="4"/>
  <c r="T229" i="4"/>
  <c r="Q229" i="4"/>
  <c r="N229" i="4"/>
  <c r="K229" i="4"/>
  <c r="W228" i="4"/>
  <c r="V228" i="4"/>
  <c r="T228" i="4"/>
  <c r="Q228" i="4"/>
  <c r="N228" i="4"/>
  <c r="K228" i="4"/>
  <c r="W227" i="4"/>
  <c r="V227" i="4"/>
  <c r="T227" i="4"/>
  <c r="Q227" i="4"/>
  <c r="N227" i="4"/>
  <c r="K227" i="4"/>
  <c r="W226" i="4"/>
  <c r="V226" i="4"/>
  <c r="T226" i="4"/>
  <c r="Q226" i="4"/>
  <c r="N226" i="4"/>
  <c r="K226" i="4"/>
  <c r="W225" i="4"/>
  <c r="V225" i="4"/>
  <c r="T225" i="4"/>
  <c r="Q225" i="4"/>
  <c r="N225" i="4"/>
  <c r="K225" i="4"/>
  <c r="W224" i="4"/>
  <c r="V224" i="4"/>
  <c r="T224" i="4"/>
  <c r="Q224" i="4"/>
  <c r="N224" i="4"/>
  <c r="K224" i="4"/>
  <c r="W223" i="4"/>
  <c r="V223" i="4"/>
  <c r="T223" i="4"/>
  <c r="Q223" i="4"/>
  <c r="N223" i="4"/>
  <c r="K223" i="4"/>
  <c r="W222" i="4"/>
  <c r="V222" i="4"/>
  <c r="T222" i="4"/>
  <c r="Q222" i="4"/>
  <c r="N222" i="4"/>
  <c r="K222" i="4"/>
  <c r="W221" i="4"/>
  <c r="V221" i="4"/>
  <c r="T221" i="4"/>
  <c r="Q221" i="4"/>
  <c r="N221" i="4"/>
  <c r="K221" i="4"/>
  <c r="W220" i="4"/>
  <c r="V220" i="4"/>
  <c r="T220" i="4"/>
  <c r="Q220" i="4"/>
  <c r="N220" i="4"/>
  <c r="K220" i="4"/>
  <c r="W219" i="4"/>
  <c r="V219" i="4"/>
  <c r="T219" i="4"/>
  <c r="Q219" i="4"/>
  <c r="N219" i="4"/>
  <c r="K219" i="4"/>
  <c r="W218" i="4"/>
  <c r="V218" i="4"/>
  <c r="T218" i="4"/>
  <c r="Q218" i="4"/>
  <c r="N218" i="4"/>
  <c r="K218" i="4"/>
  <c r="W217" i="4"/>
  <c r="V217" i="4"/>
  <c r="T217" i="4"/>
  <c r="Q217" i="4"/>
  <c r="N217" i="4"/>
  <c r="K217" i="4"/>
  <c r="W216" i="4"/>
  <c r="V216" i="4"/>
  <c r="T216" i="4"/>
  <c r="Q216" i="4"/>
  <c r="N216" i="4"/>
  <c r="K216" i="4"/>
  <c r="W215" i="4"/>
  <c r="V215" i="4"/>
  <c r="T215" i="4"/>
  <c r="Q215" i="4"/>
  <c r="N215" i="4"/>
  <c r="K215" i="4"/>
  <c r="W214" i="4"/>
  <c r="V214" i="4"/>
  <c r="T214" i="4"/>
  <c r="Q214" i="4"/>
  <c r="N214" i="4"/>
  <c r="K214" i="4"/>
  <c r="W213" i="4"/>
  <c r="V213" i="4"/>
  <c r="T213" i="4"/>
  <c r="Q213" i="4"/>
  <c r="N213" i="4"/>
  <c r="K213" i="4"/>
  <c r="W212" i="4"/>
  <c r="V212" i="4"/>
  <c r="T212" i="4"/>
  <c r="Q212" i="4"/>
  <c r="N212" i="4"/>
  <c r="K212" i="4"/>
  <c r="W211" i="4"/>
  <c r="V211" i="4"/>
  <c r="T211" i="4"/>
  <c r="Q211" i="4"/>
  <c r="N211" i="4"/>
  <c r="K211" i="4"/>
  <c r="W210" i="4"/>
  <c r="V210" i="4"/>
  <c r="T210" i="4"/>
  <c r="Q210" i="4"/>
  <c r="N210" i="4"/>
  <c r="K210" i="4"/>
  <c r="W209" i="4"/>
  <c r="V209" i="4"/>
  <c r="T209" i="4"/>
  <c r="Q209" i="4"/>
  <c r="N209" i="4"/>
  <c r="K209" i="4"/>
  <c r="W208" i="4"/>
  <c r="V208" i="4"/>
  <c r="T208" i="4"/>
  <c r="Q208" i="4"/>
  <c r="N208" i="4"/>
  <c r="K208" i="4"/>
  <c r="W207" i="4"/>
  <c r="V207" i="4"/>
  <c r="T207" i="4"/>
  <c r="Q207" i="4"/>
  <c r="N207" i="4"/>
  <c r="K207" i="4"/>
  <c r="W206" i="4"/>
  <c r="V206" i="4"/>
  <c r="T206" i="4"/>
  <c r="Q206" i="4"/>
  <c r="N206" i="4"/>
  <c r="K206" i="4"/>
  <c r="W205" i="4"/>
  <c r="V205" i="4"/>
  <c r="T205" i="4"/>
  <c r="Q205" i="4"/>
  <c r="N205" i="4"/>
  <c r="K205" i="4"/>
  <c r="W204" i="4"/>
  <c r="V204" i="4"/>
  <c r="T204" i="4"/>
  <c r="Q204" i="4"/>
  <c r="N204" i="4"/>
  <c r="K204" i="4"/>
  <c r="W203" i="4"/>
  <c r="V203" i="4"/>
  <c r="T203" i="4"/>
  <c r="Q203" i="4"/>
  <c r="N203" i="4"/>
  <c r="K203" i="4"/>
  <c r="W202" i="4"/>
  <c r="V202" i="4"/>
  <c r="T202" i="4"/>
  <c r="Q202" i="4"/>
  <c r="N202" i="4"/>
  <c r="K202" i="4"/>
  <c r="W201" i="4"/>
  <c r="V201" i="4"/>
  <c r="T201" i="4"/>
  <c r="Q201" i="4"/>
  <c r="N201" i="4"/>
  <c r="K201" i="4"/>
  <c r="W200" i="4"/>
  <c r="V200" i="4"/>
  <c r="T200" i="4"/>
  <c r="Q200" i="4"/>
  <c r="N200" i="4"/>
  <c r="K200" i="4"/>
  <c r="W199" i="4"/>
  <c r="V199" i="4"/>
  <c r="T199" i="4"/>
  <c r="Q199" i="4"/>
  <c r="N199" i="4"/>
  <c r="K199" i="4"/>
  <c r="W198" i="4"/>
  <c r="V198" i="4"/>
  <c r="T198" i="4"/>
  <c r="Q198" i="4"/>
  <c r="N198" i="4"/>
  <c r="K198" i="4"/>
  <c r="W197" i="4"/>
  <c r="V197" i="4"/>
  <c r="T197" i="4"/>
  <c r="Q197" i="4"/>
  <c r="N197" i="4"/>
  <c r="K197" i="4"/>
  <c r="W196" i="4"/>
  <c r="V196" i="4"/>
  <c r="T196" i="4"/>
  <c r="Q196" i="4"/>
  <c r="N196" i="4"/>
  <c r="K196" i="4"/>
  <c r="W195" i="4"/>
  <c r="V195" i="4"/>
  <c r="T195" i="4"/>
  <c r="Q195" i="4"/>
  <c r="N195" i="4"/>
  <c r="K195" i="4"/>
  <c r="W194" i="4"/>
  <c r="V194" i="4"/>
  <c r="T194" i="4"/>
  <c r="Q194" i="4"/>
  <c r="N194" i="4"/>
  <c r="K194" i="4"/>
  <c r="W193" i="4"/>
  <c r="V193" i="4"/>
  <c r="T193" i="4"/>
  <c r="Q193" i="4"/>
  <c r="N193" i="4"/>
  <c r="K193" i="4"/>
  <c r="W192" i="4"/>
  <c r="V192" i="4"/>
  <c r="T192" i="4"/>
  <c r="Q192" i="4"/>
  <c r="N192" i="4"/>
  <c r="K192" i="4"/>
  <c r="W191" i="4"/>
  <c r="V191" i="4"/>
  <c r="T191" i="4"/>
  <c r="Q191" i="4"/>
  <c r="N191" i="4"/>
  <c r="K191" i="4"/>
  <c r="W190" i="4"/>
  <c r="V190" i="4"/>
  <c r="T190" i="4"/>
  <c r="Q190" i="4"/>
  <c r="N190" i="4"/>
  <c r="K190" i="4"/>
  <c r="W189" i="4"/>
  <c r="V189" i="4"/>
  <c r="T189" i="4"/>
  <c r="Q189" i="4"/>
  <c r="N189" i="4"/>
  <c r="K189" i="4"/>
  <c r="W188" i="4"/>
  <c r="V188" i="4"/>
  <c r="T188" i="4"/>
  <c r="Q188" i="4"/>
  <c r="N188" i="4"/>
  <c r="K188" i="4"/>
  <c r="W187" i="4"/>
  <c r="V187" i="4"/>
  <c r="T187" i="4"/>
  <c r="Q187" i="4"/>
  <c r="N187" i="4"/>
  <c r="K187" i="4"/>
  <c r="W186" i="4"/>
  <c r="V186" i="4"/>
  <c r="T186" i="4"/>
  <c r="Q186" i="4"/>
  <c r="N186" i="4"/>
  <c r="K186" i="4"/>
  <c r="W185" i="4"/>
  <c r="V185" i="4"/>
  <c r="T185" i="4"/>
  <c r="Q185" i="4"/>
  <c r="N185" i="4"/>
  <c r="K185" i="4"/>
  <c r="W184" i="4"/>
  <c r="V184" i="4"/>
  <c r="T184" i="4"/>
  <c r="Q184" i="4"/>
  <c r="N184" i="4"/>
  <c r="K184" i="4"/>
  <c r="W183" i="4"/>
  <c r="V183" i="4"/>
  <c r="T183" i="4"/>
  <c r="Q183" i="4"/>
  <c r="N183" i="4"/>
  <c r="K183" i="4"/>
  <c r="W182" i="4"/>
  <c r="V182" i="4"/>
  <c r="T182" i="4"/>
  <c r="Q182" i="4"/>
  <c r="N182" i="4"/>
  <c r="K182" i="4"/>
  <c r="W181" i="4"/>
  <c r="V181" i="4"/>
  <c r="T181" i="4"/>
  <c r="Q181" i="4"/>
  <c r="N181" i="4"/>
  <c r="K181" i="4"/>
  <c r="W180" i="4"/>
  <c r="V180" i="4"/>
  <c r="T180" i="4"/>
  <c r="Q180" i="4"/>
  <c r="N180" i="4"/>
  <c r="K180" i="4"/>
  <c r="W179" i="4"/>
  <c r="V179" i="4"/>
  <c r="T179" i="4"/>
  <c r="Q179" i="4"/>
  <c r="N179" i="4"/>
  <c r="K179" i="4"/>
  <c r="W178" i="4"/>
  <c r="V178" i="4"/>
  <c r="T178" i="4"/>
  <c r="Q178" i="4"/>
  <c r="N178" i="4"/>
  <c r="K178" i="4"/>
  <c r="W177" i="4"/>
  <c r="V177" i="4"/>
  <c r="T177" i="4"/>
  <c r="Q177" i="4"/>
  <c r="N177" i="4"/>
  <c r="K177" i="4"/>
  <c r="W176" i="4"/>
  <c r="V176" i="4"/>
  <c r="T176" i="4"/>
  <c r="Q176" i="4"/>
  <c r="N176" i="4"/>
  <c r="K176" i="4"/>
  <c r="W175" i="4"/>
  <c r="V175" i="4"/>
  <c r="T175" i="4"/>
  <c r="Q175" i="4"/>
  <c r="N175" i="4"/>
  <c r="K175" i="4"/>
  <c r="W174" i="4"/>
  <c r="V174" i="4"/>
  <c r="T174" i="4"/>
  <c r="Q174" i="4"/>
  <c r="N174" i="4"/>
  <c r="K174" i="4"/>
  <c r="W173" i="4"/>
  <c r="V173" i="4"/>
  <c r="T173" i="4"/>
  <c r="Q173" i="4"/>
  <c r="N173" i="4"/>
  <c r="K173" i="4"/>
  <c r="W172" i="4"/>
  <c r="V172" i="4"/>
  <c r="T172" i="4"/>
  <c r="Q172" i="4"/>
  <c r="N172" i="4"/>
  <c r="K172" i="4"/>
  <c r="W171" i="4"/>
  <c r="V171" i="4"/>
  <c r="T171" i="4"/>
  <c r="Q171" i="4"/>
  <c r="N171" i="4"/>
  <c r="K171" i="4"/>
  <c r="W170" i="4"/>
  <c r="V170" i="4"/>
  <c r="T170" i="4"/>
  <c r="Q170" i="4"/>
  <c r="N170" i="4"/>
  <c r="K170" i="4"/>
  <c r="W169" i="4"/>
  <c r="V169" i="4"/>
  <c r="T169" i="4"/>
  <c r="Q169" i="4"/>
  <c r="N169" i="4"/>
  <c r="K169" i="4"/>
  <c r="W168" i="4"/>
  <c r="V168" i="4"/>
  <c r="T168" i="4"/>
  <c r="Q168" i="4"/>
  <c r="N168" i="4"/>
  <c r="K168" i="4"/>
  <c r="W167" i="4"/>
  <c r="V167" i="4"/>
  <c r="T167" i="4"/>
  <c r="Q167" i="4"/>
  <c r="N167" i="4"/>
  <c r="K167" i="4"/>
  <c r="W166" i="4"/>
  <c r="V166" i="4"/>
  <c r="T166" i="4"/>
  <c r="Q166" i="4"/>
  <c r="N166" i="4"/>
  <c r="K166" i="4"/>
  <c r="W165" i="4"/>
  <c r="V165" i="4"/>
  <c r="T165" i="4"/>
  <c r="Q165" i="4"/>
  <c r="N165" i="4"/>
  <c r="K165" i="4"/>
  <c r="W164" i="4"/>
  <c r="V164" i="4"/>
  <c r="T164" i="4"/>
  <c r="Q164" i="4"/>
  <c r="N164" i="4"/>
  <c r="K164" i="4"/>
  <c r="W163" i="4"/>
  <c r="V163" i="4"/>
  <c r="T163" i="4"/>
  <c r="Q163" i="4"/>
  <c r="N163" i="4"/>
  <c r="K163" i="4"/>
  <c r="W162" i="4"/>
  <c r="V162" i="4"/>
  <c r="T162" i="4"/>
  <c r="Q162" i="4"/>
  <c r="N162" i="4"/>
  <c r="K162" i="4"/>
  <c r="W161" i="4"/>
  <c r="V161" i="4"/>
  <c r="T161" i="4"/>
  <c r="Q161" i="4"/>
  <c r="N161" i="4"/>
  <c r="K161" i="4"/>
  <c r="W160" i="4"/>
  <c r="V160" i="4"/>
  <c r="T160" i="4"/>
  <c r="Q160" i="4"/>
  <c r="N160" i="4"/>
  <c r="K160" i="4"/>
  <c r="W159" i="4"/>
  <c r="V159" i="4"/>
  <c r="T159" i="4"/>
  <c r="Q159" i="4"/>
  <c r="N159" i="4"/>
  <c r="K159" i="4"/>
  <c r="W158" i="4"/>
  <c r="V158" i="4"/>
  <c r="T158" i="4"/>
  <c r="Q158" i="4"/>
  <c r="N158" i="4"/>
  <c r="K158" i="4"/>
  <c r="W157" i="4"/>
  <c r="V157" i="4"/>
  <c r="T157" i="4"/>
  <c r="Q157" i="4"/>
  <c r="N157" i="4"/>
  <c r="K157" i="4"/>
  <c r="W156" i="4"/>
  <c r="V156" i="4"/>
  <c r="T156" i="4"/>
  <c r="Q156" i="4"/>
  <c r="N156" i="4"/>
  <c r="K156" i="4"/>
  <c r="W155" i="4"/>
  <c r="V155" i="4"/>
  <c r="T155" i="4"/>
  <c r="Q155" i="4"/>
  <c r="N155" i="4"/>
  <c r="K155" i="4"/>
  <c r="W154" i="4"/>
  <c r="V154" i="4"/>
  <c r="T154" i="4"/>
  <c r="Q154" i="4"/>
  <c r="N154" i="4"/>
  <c r="K154" i="4"/>
  <c r="W153" i="4"/>
  <c r="V153" i="4"/>
  <c r="T153" i="4"/>
  <c r="Q153" i="4"/>
  <c r="N153" i="4"/>
  <c r="K153" i="4"/>
  <c r="W152" i="4"/>
  <c r="V152" i="4"/>
  <c r="T152" i="4"/>
  <c r="Q152" i="4"/>
  <c r="N152" i="4"/>
  <c r="K152" i="4"/>
  <c r="W151" i="4"/>
  <c r="V151" i="4"/>
  <c r="T151" i="4"/>
  <c r="Q151" i="4"/>
  <c r="N151" i="4"/>
  <c r="K151" i="4"/>
  <c r="W150" i="4"/>
  <c r="V150" i="4"/>
  <c r="T150" i="4"/>
  <c r="Q150" i="4"/>
  <c r="N150" i="4"/>
  <c r="K150" i="4"/>
  <c r="W149" i="4"/>
  <c r="V149" i="4"/>
  <c r="T149" i="4"/>
  <c r="Q149" i="4"/>
  <c r="N149" i="4"/>
  <c r="K149" i="4"/>
  <c r="W148" i="4"/>
  <c r="V148" i="4"/>
  <c r="T148" i="4"/>
  <c r="Q148" i="4"/>
  <c r="N148" i="4"/>
  <c r="K148" i="4"/>
  <c r="W147" i="4"/>
  <c r="V147" i="4"/>
  <c r="T147" i="4"/>
  <c r="Q147" i="4"/>
  <c r="N147" i="4"/>
  <c r="K147" i="4"/>
  <c r="W146" i="4"/>
  <c r="V146" i="4"/>
  <c r="T146" i="4"/>
  <c r="Q146" i="4"/>
  <c r="N146" i="4"/>
  <c r="K146" i="4"/>
  <c r="W145" i="4"/>
  <c r="V145" i="4"/>
  <c r="T145" i="4"/>
  <c r="Q145" i="4"/>
  <c r="N145" i="4"/>
  <c r="K145" i="4"/>
  <c r="W144" i="4"/>
  <c r="V144" i="4"/>
  <c r="T144" i="4"/>
  <c r="Q144" i="4"/>
  <c r="N144" i="4"/>
  <c r="K144" i="4"/>
  <c r="W143" i="4"/>
  <c r="V143" i="4"/>
  <c r="T143" i="4"/>
  <c r="Q143" i="4"/>
  <c r="N143" i="4"/>
  <c r="K143" i="4"/>
  <c r="W142" i="4"/>
  <c r="V142" i="4"/>
  <c r="T142" i="4"/>
  <c r="Q142" i="4"/>
  <c r="N142" i="4"/>
  <c r="K142" i="4"/>
  <c r="W141" i="4"/>
  <c r="V141" i="4"/>
  <c r="T141" i="4"/>
  <c r="Q141" i="4"/>
  <c r="N141" i="4"/>
  <c r="K141" i="4"/>
  <c r="W140" i="4"/>
  <c r="V140" i="4"/>
  <c r="T140" i="4"/>
  <c r="Q140" i="4"/>
  <c r="N140" i="4"/>
  <c r="K140" i="4"/>
  <c r="W139" i="4"/>
  <c r="V139" i="4"/>
  <c r="T139" i="4"/>
  <c r="Q139" i="4"/>
  <c r="N139" i="4"/>
  <c r="K139" i="4"/>
  <c r="W138" i="4"/>
  <c r="V138" i="4"/>
  <c r="T138" i="4"/>
  <c r="Q138" i="4"/>
  <c r="N138" i="4"/>
  <c r="K138" i="4"/>
  <c r="W137" i="4"/>
  <c r="V137" i="4"/>
  <c r="T137" i="4"/>
  <c r="Q137" i="4"/>
  <c r="N137" i="4"/>
  <c r="K137" i="4"/>
  <c r="W136" i="4"/>
  <c r="V136" i="4"/>
  <c r="T136" i="4"/>
  <c r="Q136" i="4"/>
  <c r="N136" i="4"/>
  <c r="K136" i="4"/>
  <c r="W135" i="4"/>
  <c r="V135" i="4"/>
  <c r="T135" i="4"/>
  <c r="Q135" i="4"/>
  <c r="N135" i="4"/>
  <c r="K135" i="4"/>
  <c r="W134" i="4"/>
  <c r="V134" i="4"/>
  <c r="T134" i="4"/>
  <c r="Q134" i="4"/>
  <c r="N134" i="4"/>
  <c r="K134" i="4"/>
  <c r="W133" i="4"/>
  <c r="V133" i="4"/>
  <c r="T133" i="4"/>
  <c r="Q133" i="4"/>
  <c r="N133" i="4"/>
  <c r="K133" i="4"/>
  <c r="W132" i="4"/>
  <c r="V132" i="4"/>
  <c r="T132" i="4"/>
  <c r="Q132" i="4"/>
  <c r="N132" i="4"/>
  <c r="K132" i="4"/>
  <c r="W131" i="4"/>
  <c r="V131" i="4"/>
  <c r="T131" i="4"/>
  <c r="Q131" i="4"/>
  <c r="N131" i="4"/>
  <c r="K131" i="4"/>
  <c r="W130" i="4"/>
  <c r="V130" i="4"/>
  <c r="T130" i="4"/>
  <c r="Q130" i="4"/>
  <c r="N130" i="4"/>
  <c r="K130" i="4"/>
  <c r="W129" i="4"/>
  <c r="V129" i="4"/>
  <c r="T129" i="4"/>
  <c r="Q129" i="4"/>
  <c r="N129" i="4"/>
  <c r="K129" i="4"/>
  <c r="W128" i="4"/>
  <c r="V128" i="4"/>
  <c r="T128" i="4"/>
  <c r="Q128" i="4"/>
  <c r="N128" i="4"/>
  <c r="K128" i="4"/>
  <c r="W127" i="4"/>
  <c r="V127" i="4"/>
  <c r="T127" i="4"/>
  <c r="Q127" i="4"/>
  <c r="N127" i="4"/>
  <c r="K127" i="4"/>
  <c r="W126" i="4"/>
  <c r="V126" i="4"/>
  <c r="T126" i="4"/>
  <c r="Q126" i="4"/>
  <c r="N126" i="4"/>
  <c r="K126" i="4"/>
  <c r="W125" i="4"/>
  <c r="V125" i="4"/>
  <c r="T125" i="4"/>
  <c r="Q125" i="4"/>
  <c r="N125" i="4"/>
  <c r="K125" i="4"/>
  <c r="W124" i="4"/>
  <c r="V124" i="4"/>
  <c r="T124" i="4"/>
  <c r="Q124" i="4"/>
  <c r="N124" i="4"/>
  <c r="K124" i="4"/>
  <c r="W123" i="4"/>
  <c r="V123" i="4"/>
  <c r="T123" i="4"/>
  <c r="Q123" i="4"/>
  <c r="N123" i="4"/>
  <c r="K123" i="4"/>
  <c r="W122" i="4"/>
  <c r="V122" i="4"/>
  <c r="T122" i="4"/>
  <c r="Q122" i="4"/>
  <c r="N122" i="4"/>
  <c r="K122" i="4"/>
  <c r="W121" i="4"/>
  <c r="V121" i="4"/>
  <c r="T121" i="4"/>
  <c r="Q121" i="4"/>
  <c r="N121" i="4"/>
  <c r="K121" i="4"/>
  <c r="W120" i="4"/>
  <c r="V120" i="4"/>
  <c r="T120" i="4"/>
  <c r="Q120" i="4"/>
  <c r="N120" i="4"/>
  <c r="K120" i="4"/>
  <c r="W119" i="4"/>
  <c r="V119" i="4"/>
  <c r="T119" i="4"/>
  <c r="Q119" i="4"/>
  <c r="N119" i="4"/>
  <c r="K119" i="4"/>
  <c r="W118" i="4"/>
  <c r="V118" i="4"/>
  <c r="T118" i="4"/>
  <c r="Q118" i="4"/>
  <c r="N118" i="4"/>
  <c r="K118" i="4"/>
  <c r="W117" i="4"/>
  <c r="V117" i="4"/>
  <c r="T117" i="4"/>
  <c r="Q117" i="4"/>
  <c r="N117" i="4"/>
  <c r="K117" i="4"/>
  <c r="W116" i="4"/>
  <c r="V116" i="4"/>
  <c r="T116" i="4"/>
  <c r="Q116" i="4"/>
  <c r="N116" i="4"/>
  <c r="K116" i="4"/>
  <c r="W115" i="4"/>
  <c r="V115" i="4"/>
  <c r="T115" i="4"/>
  <c r="Q115" i="4"/>
  <c r="N115" i="4"/>
  <c r="K115" i="4"/>
  <c r="W114" i="4"/>
  <c r="V114" i="4"/>
  <c r="T114" i="4"/>
  <c r="Q114" i="4"/>
  <c r="N114" i="4"/>
  <c r="K114" i="4"/>
  <c r="W113" i="4"/>
  <c r="V113" i="4"/>
  <c r="T113" i="4"/>
  <c r="Q113" i="4"/>
  <c r="N113" i="4"/>
  <c r="K113" i="4"/>
  <c r="W112" i="4"/>
  <c r="V112" i="4"/>
  <c r="T112" i="4"/>
  <c r="Q112" i="4"/>
  <c r="N112" i="4"/>
  <c r="K112" i="4"/>
  <c r="W111" i="4"/>
  <c r="V111" i="4"/>
  <c r="T111" i="4"/>
  <c r="Q111" i="4"/>
  <c r="N111" i="4"/>
  <c r="K111" i="4"/>
  <c r="W110" i="4"/>
  <c r="V110" i="4"/>
  <c r="T110" i="4"/>
  <c r="Q110" i="4"/>
  <c r="N110" i="4"/>
  <c r="K110" i="4"/>
  <c r="W109" i="4"/>
  <c r="V109" i="4"/>
  <c r="T109" i="4"/>
  <c r="Q109" i="4"/>
  <c r="N109" i="4"/>
  <c r="K109" i="4"/>
  <c r="W108" i="4"/>
  <c r="V108" i="4"/>
  <c r="T108" i="4"/>
  <c r="Q108" i="4"/>
  <c r="N108" i="4"/>
  <c r="K108" i="4"/>
  <c r="W107" i="4"/>
  <c r="V107" i="4"/>
  <c r="T107" i="4"/>
  <c r="Q107" i="4"/>
  <c r="N107" i="4"/>
  <c r="K107" i="4"/>
  <c r="W106" i="4"/>
  <c r="V106" i="4"/>
  <c r="T106" i="4"/>
  <c r="Q106" i="4"/>
  <c r="N106" i="4"/>
  <c r="K106" i="4"/>
  <c r="W105" i="4"/>
  <c r="V105" i="4"/>
  <c r="T105" i="4"/>
  <c r="Q105" i="4"/>
  <c r="N105" i="4"/>
  <c r="K105" i="4"/>
  <c r="W104" i="4"/>
  <c r="V104" i="4"/>
  <c r="T104" i="4"/>
  <c r="Q104" i="4"/>
  <c r="N104" i="4"/>
  <c r="K104" i="4"/>
  <c r="W103" i="4"/>
  <c r="V103" i="4"/>
  <c r="T103" i="4"/>
  <c r="Q103" i="4"/>
  <c r="N103" i="4"/>
  <c r="K103" i="4"/>
  <c r="W102" i="4"/>
  <c r="V102" i="4"/>
  <c r="T102" i="4"/>
  <c r="Q102" i="4"/>
  <c r="N102" i="4"/>
  <c r="K102" i="4"/>
  <c r="W101" i="4"/>
  <c r="V101" i="4"/>
  <c r="T101" i="4"/>
  <c r="Q101" i="4"/>
  <c r="N101" i="4"/>
  <c r="K101" i="4"/>
  <c r="W100" i="4"/>
  <c r="V100" i="4"/>
  <c r="T100" i="4"/>
  <c r="Q100" i="4"/>
  <c r="N100" i="4"/>
  <c r="K100" i="4"/>
  <c r="W99" i="4"/>
  <c r="V99" i="4"/>
  <c r="T99" i="4"/>
  <c r="Q99" i="4"/>
  <c r="N99" i="4"/>
  <c r="K99" i="4"/>
  <c r="W98" i="4"/>
  <c r="V98" i="4"/>
  <c r="T98" i="4"/>
  <c r="Q98" i="4"/>
  <c r="N98" i="4"/>
  <c r="K98" i="4"/>
  <c r="W97" i="4"/>
  <c r="V97" i="4"/>
  <c r="T97" i="4"/>
  <c r="Q97" i="4"/>
  <c r="N97" i="4"/>
  <c r="K97" i="4"/>
  <c r="W96" i="4"/>
  <c r="V96" i="4"/>
  <c r="T96" i="4"/>
  <c r="Q96" i="4"/>
  <c r="N96" i="4"/>
  <c r="K96" i="4"/>
  <c r="W95" i="4"/>
  <c r="V95" i="4"/>
  <c r="T95" i="4"/>
  <c r="Q95" i="4"/>
  <c r="N95" i="4"/>
  <c r="K95" i="4"/>
  <c r="W94" i="4"/>
  <c r="V94" i="4"/>
  <c r="T94" i="4"/>
  <c r="Q94" i="4"/>
  <c r="N94" i="4"/>
  <c r="K94" i="4"/>
  <c r="W93" i="4"/>
  <c r="V93" i="4"/>
  <c r="T93" i="4"/>
  <c r="Q93" i="4"/>
  <c r="N93" i="4"/>
  <c r="K93" i="4"/>
  <c r="W92" i="4"/>
  <c r="V92" i="4"/>
  <c r="T92" i="4"/>
  <c r="Q92" i="4"/>
  <c r="N92" i="4"/>
  <c r="K92" i="4"/>
  <c r="W91" i="4"/>
  <c r="V91" i="4"/>
  <c r="T91" i="4"/>
  <c r="Q91" i="4"/>
  <c r="N91" i="4"/>
  <c r="K91" i="4"/>
  <c r="W90" i="4"/>
  <c r="V90" i="4"/>
  <c r="T90" i="4"/>
  <c r="Q90" i="4"/>
  <c r="N90" i="4"/>
  <c r="K90" i="4"/>
  <c r="W89" i="4"/>
  <c r="V89" i="4"/>
  <c r="T89" i="4"/>
  <c r="Q89" i="4"/>
  <c r="N89" i="4"/>
  <c r="K89" i="4"/>
  <c r="W88" i="4"/>
  <c r="V88" i="4"/>
  <c r="T88" i="4"/>
  <c r="Q88" i="4"/>
  <c r="N88" i="4"/>
  <c r="K88" i="4"/>
  <c r="W87" i="4"/>
  <c r="V87" i="4"/>
  <c r="T87" i="4"/>
  <c r="Q87" i="4"/>
  <c r="N87" i="4"/>
  <c r="K87" i="4"/>
  <c r="W86" i="4"/>
  <c r="V86" i="4"/>
  <c r="T86" i="4"/>
  <c r="Q86" i="4"/>
  <c r="N86" i="4"/>
  <c r="K86" i="4"/>
  <c r="W85" i="4"/>
  <c r="V85" i="4"/>
  <c r="T85" i="4"/>
  <c r="Q85" i="4"/>
  <c r="N85" i="4"/>
  <c r="K85" i="4"/>
  <c r="W84" i="4"/>
  <c r="V84" i="4"/>
  <c r="T84" i="4"/>
  <c r="Q84" i="4"/>
  <c r="N84" i="4"/>
  <c r="K84" i="4"/>
  <c r="W83" i="4"/>
  <c r="V83" i="4"/>
  <c r="T83" i="4"/>
  <c r="Q83" i="4"/>
  <c r="N83" i="4"/>
  <c r="K83" i="4"/>
  <c r="W82" i="4"/>
  <c r="V82" i="4"/>
  <c r="T82" i="4"/>
  <c r="Q82" i="4"/>
  <c r="N82" i="4"/>
  <c r="K82" i="4"/>
  <c r="W81" i="4"/>
  <c r="V81" i="4"/>
  <c r="T81" i="4"/>
  <c r="Q81" i="4"/>
  <c r="N81" i="4"/>
  <c r="K81" i="4"/>
  <c r="W80" i="4"/>
  <c r="V80" i="4"/>
  <c r="T80" i="4"/>
  <c r="Q80" i="4"/>
  <c r="N80" i="4"/>
  <c r="K80" i="4"/>
  <c r="W79" i="4"/>
  <c r="V79" i="4"/>
  <c r="T79" i="4"/>
  <c r="Q79" i="4"/>
  <c r="N79" i="4"/>
  <c r="K79" i="4"/>
  <c r="W78" i="4"/>
  <c r="V78" i="4"/>
  <c r="T78" i="4"/>
  <c r="Q78" i="4"/>
  <c r="N78" i="4"/>
  <c r="K78" i="4"/>
  <c r="W77" i="4"/>
  <c r="V77" i="4"/>
  <c r="T77" i="4"/>
  <c r="Q77" i="4"/>
  <c r="N77" i="4"/>
  <c r="K77" i="4"/>
  <c r="W76" i="4"/>
  <c r="V76" i="4"/>
  <c r="T76" i="4"/>
  <c r="Q76" i="4"/>
  <c r="N76" i="4"/>
  <c r="K76" i="4"/>
  <c r="W75" i="4"/>
  <c r="V75" i="4"/>
  <c r="T75" i="4"/>
  <c r="Q75" i="4"/>
  <c r="N75" i="4"/>
  <c r="K75" i="4"/>
  <c r="W74" i="4"/>
  <c r="V74" i="4"/>
  <c r="T74" i="4"/>
  <c r="Q74" i="4"/>
  <c r="N74" i="4"/>
  <c r="K74" i="4"/>
  <c r="W73" i="4"/>
  <c r="V73" i="4"/>
  <c r="T73" i="4"/>
  <c r="Q73" i="4"/>
  <c r="N73" i="4"/>
  <c r="K73" i="4"/>
  <c r="W72" i="4"/>
  <c r="V72" i="4"/>
  <c r="T72" i="4"/>
  <c r="Q72" i="4"/>
  <c r="N72" i="4"/>
  <c r="K72" i="4"/>
  <c r="W71" i="4"/>
  <c r="V71" i="4"/>
  <c r="T71" i="4"/>
  <c r="Q71" i="4"/>
  <c r="N71" i="4"/>
  <c r="K71" i="4"/>
  <c r="W70" i="4"/>
  <c r="V70" i="4"/>
  <c r="T70" i="4"/>
  <c r="Q70" i="4"/>
  <c r="N70" i="4"/>
  <c r="K70" i="4"/>
  <c r="W69" i="4"/>
  <c r="V69" i="4"/>
  <c r="T69" i="4"/>
  <c r="Q69" i="4"/>
  <c r="N69" i="4"/>
  <c r="K69" i="4"/>
  <c r="W68" i="4"/>
  <c r="V68" i="4"/>
  <c r="T68" i="4"/>
  <c r="Q68" i="4"/>
  <c r="N68" i="4"/>
  <c r="K68" i="4"/>
  <c r="W67" i="4"/>
  <c r="V67" i="4"/>
  <c r="T67" i="4"/>
  <c r="Q67" i="4"/>
  <c r="N67" i="4"/>
  <c r="K67" i="4"/>
  <c r="W66" i="4"/>
  <c r="V66" i="4"/>
  <c r="T66" i="4"/>
  <c r="Q66" i="4"/>
  <c r="N66" i="4"/>
  <c r="K66" i="4"/>
  <c r="W65" i="4"/>
  <c r="V65" i="4"/>
  <c r="T65" i="4"/>
  <c r="Q65" i="4"/>
  <c r="N65" i="4"/>
  <c r="K65" i="4"/>
  <c r="W64" i="4"/>
  <c r="V64" i="4"/>
  <c r="T64" i="4"/>
  <c r="Q64" i="4"/>
  <c r="N64" i="4"/>
  <c r="K64" i="4"/>
  <c r="W63" i="4"/>
  <c r="V63" i="4"/>
  <c r="T63" i="4"/>
  <c r="Q63" i="4"/>
  <c r="N63" i="4"/>
  <c r="K63" i="4"/>
  <c r="W62" i="4"/>
  <c r="V62" i="4"/>
  <c r="T62" i="4"/>
  <c r="Q62" i="4"/>
  <c r="N62" i="4"/>
  <c r="K62" i="4"/>
  <c r="W61" i="4"/>
  <c r="V61" i="4"/>
  <c r="T61" i="4"/>
  <c r="Q61" i="4"/>
  <c r="N61" i="4"/>
  <c r="K61" i="4"/>
  <c r="W60" i="4"/>
  <c r="V60" i="4"/>
  <c r="T60" i="4"/>
  <c r="Q60" i="4"/>
  <c r="N60" i="4"/>
  <c r="K60" i="4"/>
  <c r="W59" i="4"/>
  <c r="V59" i="4"/>
  <c r="T59" i="4"/>
  <c r="Q59" i="4"/>
  <c r="N59" i="4"/>
  <c r="K59" i="4"/>
  <c r="W58" i="4"/>
  <c r="V58" i="4"/>
  <c r="T58" i="4"/>
  <c r="Q58" i="4"/>
  <c r="N58" i="4"/>
  <c r="K58" i="4"/>
  <c r="W57" i="4"/>
  <c r="V57" i="4"/>
  <c r="T57" i="4"/>
  <c r="Q57" i="4"/>
  <c r="N57" i="4"/>
  <c r="K57" i="4"/>
  <c r="W56" i="4"/>
  <c r="V56" i="4"/>
  <c r="T56" i="4"/>
  <c r="Q56" i="4"/>
  <c r="N56" i="4"/>
  <c r="K56" i="4"/>
  <c r="W55" i="4"/>
  <c r="V55" i="4"/>
  <c r="T55" i="4"/>
  <c r="Q55" i="4"/>
  <c r="N55" i="4"/>
  <c r="K55" i="4"/>
  <c r="W54" i="4"/>
  <c r="V54" i="4"/>
  <c r="T54" i="4"/>
  <c r="Q54" i="4"/>
  <c r="N54" i="4"/>
  <c r="K54" i="4"/>
  <c r="W53" i="4"/>
  <c r="V53" i="4"/>
  <c r="T53" i="4"/>
  <c r="Q53" i="4"/>
  <c r="N53" i="4"/>
  <c r="K53" i="4"/>
  <c r="W52" i="4"/>
  <c r="V52" i="4"/>
  <c r="T52" i="4"/>
  <c r="Q52" i="4"/>
  <c r="N52" i="4"/>
  <c r="K52" i="4"/>
  <c r="W51" i="4"/>
  <c r="V51" i="4"/>
  <c r="T51" i="4"/>
  <c r="Q51" i="4"/>
  <c r="N51" i="4"/>
  <c r="K51" i="4"/>
  <c r="W50" i="4"/>
  <c r="V50" i="4"/>
  <c r="T50" i="4"/>
  <c r="Q50" i="4"/>
  <c r="N50" i="4"/>
  <c r="K50" i="4"/>
  <c r="W49" i="4"/>
  <c r="V49" i="4"/>
  <c r="T49" i="4"/>
  <c r="Q49" i="4"/>
  <c r="N49" i="4"/>
  <c r="K49" i="4"/>
  <c r="W48" i="4"/>
  <c r="V48" i="4"/>
  <c r="T48" i="4"/>
  <c r="Q48" i="4"/>
  <c r="N48" i="4"/>
  <c r="K48" i="4"/>
  <c r="W47" i="4"/>
  <c r="V47" i="4"/>
  <c r="T47" i="4"/>
  <c r="Q47" i="4"/>
  <c r="N47" i="4"/>
  <c r="K47" i="4"/>
  <c r="W46" i="4"/>
  <c r="V46" i="4"/>
  <c r="T46" i="4"/>
  <c r="Q46" i="4"/>
  <c r="N46" i="4"/>
  <c r="K46" i="4"/>
  <c r="W45" i="4"/>
  <c r="V45" i="4"/>
  <c r="T45" i="4"/>
  <c r="Q45" i="4"/>
  <c r="N45" i="4"/>
  <c r="K45" i="4"/>
  <c r="W44" i="4"/>
  <c r="V44" i="4"/>
  <c r="T44" i="4"/>
  <c r="Q44" i="4"/>
  <c r="N44" i="4"/>
  <c r="K44" i="4"/>
  <c r="W43" i="4"/>
  <c r="V43" i="4"/>
  <c r="T43" i="4"/>
  <c r="Q43" i="4"/>
  <c r="N43" i="4"/>
  <c r="K43" i="4"/>
  <c r="W42" i="4"/>
  <c r="V42" i="4"/>
  <c r="T42" i="4"/>
  <c r="Q42" i="4"/>
  <c r="N42" i="4"/>
  <c r="K42" i="4"/>
  <c r="W41" i="4"/>
  <c r="V41" i="4"/>
  <c r="T41" i="4"/>
  <c r="Q41" i="4"/>
  <c r="N41" i="4"/>
  <c r="K41" i="4"/>
  <c r="W40" i="4"/>
  <c r="V40" i="4"/>
  <c r="T40" i="4"/>
  <c r="Q40" i="4"/>
  <c r="N40" i="4"/>
  <c r="K40" i="4"/>
  <c r="W39" i="4"/>
  <c r="V39" i="4"/>
  <c r="T39" i="4"/>
  <c r="Q39" i="4"/>
  <c r="N39" i="4"/>
  <c r="K39" i="4"/>
  <c r="W38" i="4"/>
  <c r="V38" i="4"/>
  <c r="T38" i="4"/>
  <c r="Q38" i="4"/>
  <c r="N38" i="4"/>
  <c r="K38" i="4"/>
  <c r="W37" i="4"/>
  <c r="V37" i="4"/>
  <c r="T37" i="4"/>
  <c r="Q37" i="4"/>
  <c r="N37" i="4"/>
  <c r="K37" i="4"/>
  <c r="W36" i="4"/>
  <c r="V36" i="4"/>
  <c r="T36" i="4"/>
  <c r="Q36" i="4"/>
  <c r="N36" i="4"/>
  <c r="K36" i="4"/>
  <c r="W35" i="4"/>
  <c r="V35" i="4"/>
  <c r="T35" i="4"/>
  <c r="Q35" i="4"/>
  <c r="N35" i="4"/>
  <c r="K35" i="4"/>
  <c r="W34" i="4"/>
  <c r="V34" i="4"/>
  <c r="T34" i="4"/>
  <c r="Q34" i="4"/>
  <c r="N34" i="4"/>
  <c r="K34" i="4"/>
  <c r="W33" i="4"/>
  <c r="V33" i="4"/>
  <c r="T33" i="4"/>
  <c r="Q33" i="4"/>
  <c r="N33" i="4"/>
  <c r="K33" i="4"/>
  <c r="W32" i="4"/>
  <c r="V32" i="4"/>
  <c r="T32" i="4"/>
  <c r="Q32" i="4"/>
  <c r="N32" i="4"/>
  <c r="K32" i="4"/>
  <c r="W31" i="4"/>
  <c r="V31" i="4"/>
  <c r="T31" i="4"/>
  <c r="Q31" i="4"/>
  <c r="N31" i="4"/>
  <c r="K31" i="4"/>
  <c r="W30" i="4"/>
  <c r="V30" i="4"/>
  <c r="T30" i="4"/>
  <c r="Q30" i="4"/>
  <c r="N30" i="4"/>
  <c r="K30" i="4"/>
  <c r="W29" i="4"/>
  <c r="V29" i="4"/>
  <c r="T29" i="4"/>
  <c r="Q29" i="4"/>
  <c r="N29" i="4"/>
  <c r="K29" i="4"/>
  <c r="W28" i="4"/>
  <c r="V28" i="4"/>
  <c r="T28" i="4"/>
  <c r="Q28" i="4"/>
  <c r="N28" i="4"/>
  <c r="K28" i="4"/>
  <c r="W27" i="4"/>
  <c r="V27" i="4"/>
  <c r="T27" i="4"/>
  <c r="Q27" i="4"/>
  <c r="N27" i="4"/>
  <c r="K27" i="4"/>
  <c r="W26" i="4"/>
  <c r="V26" i="4"/>
  <c r="T26" i="4"/>
  <c r="Q26" i="4"/>
  <c r="N26" i="4"/>
  <c r="K26" i="4"/>
  <c r="W25" i="4"/>
  <c r="V25" i="4"/>
  <c r="T25" i="4"/>
  <c r="Q25" i="4"/>
  <c r="N25" i="4"/>
  <c r="K25" i="4"/>
  <c r="W24" i="4"/>
  <c r="V24" i="4"/>
  <c r="T24" i="4"/>
  <c r="Q24" i="4"/>
  <c r="N24" i="4"/>
  <c r="K24" i="4"/>
  <c r="W23" i="4"/>
  <c r="V23" i="4"/>
  <c r="T23" i="4"/>
  <c r="Q23" i="4"/>
  <c r="N23" i="4"/>
  <c r="K23" i="4"/>
  <c r="W22" i="4"/>
  <c r="V22" i="4"/>
  <c r="T22" i="4"/>
  <c r="Q22" i="4"/>
  <c r="N22" i="4"/>
  <c r="K22" i="4"/>
  <c r="W21" i="4"/>
  <c r="V21" i="4"/>
  <c r="T21" i="4"/>
  <c r="Q21" i="4"/>
  <c r="N21" i="4"/>
  <c r="K21" i="4"/>
  <c r="W20" i="4"/>
  <c r="V20" i="4"/>
  <c r="T20" i="4"/>
  <c r="Q20" i="4"/>
  <c r="N20" i="4"/>
  <c r="K20" i="4"/>
  <c r="W19" i="4"/>
  <c r="V19" i="4"/>
  <c r="T19" i="4"/>
  <c r="Q19" i="4"/>
  <c r="N19" i="4"/>
  <c r="K19" i="4"/>
  <c r="W18" i="4"/>
  <c r="V18" i="4"/>
  <c r="T18" i="4"/>
  <c r="Q18" i="4"/>
  <c r="N18" i="4"/>
  <c r="K18" i="4"/>
  <c r="W17" i="4"/>
  <c r="V17" i="4"/>
  <c r="T17" i="4"/>
  <c r="Q17" i="4"/>
  <c r="N17" i="4"/>
  <c r="K17" i="4"/>
  <c r="W16" i="4"/>
  <c r="V16" i="4"/>
  <c r="T16" i="4"/>
  <c r="Q16" i="4"/>
  <c r="N16" i="4"/>
  <c r="K16" i="4"/>
  <c r="W15" i="4"/>
  <c r="V15" i="4"/>
  <c r="T15" i="4"/>
  <c r="Q15" i="4"/>
  <c r="N15" i="4"/>
  <c r="K15" i="4"/>
  <c r="W14" i="4"/>
  <c r="V14" i="4"/>
  <c r="T14" i="4"/>
  <c r="Q14" i="4"/>
  <c r="N14" i="4"/>
  <c r="K14" i="4"/>
  <c r="W13" i="4"/>
  <c r="V13" i="4"/>
  <c r="T13" i="4"/>
  <c r="Q13" i="4"/>
  <c r="N13" i="4"/>
  <c r="K13" i="4"/>
  <c r="W12" i="4"/>
  <c r="V12" i="4"/>
  <c r="T12" i="4"/>
  <c r="Q12" i="4"/>
  <c r="N12" i="4"/>
  <c r="K12" i="4"/>
  <c r="W11" i="4"/>
  <c r="V11" i="4"/>
  <c r="T11" i="4"/>
  <c r="Q11" i="4"/>
  <c r="N11" i="4"/>
  <c r="K11" i="4"/>
  <c r="W10" i="4"/>
  <c r="V10" i="4"/>
  <c r="T10" i="4"/>
  <c r="Q10" i="4"/>
  <c r="N10" i="4"/>
  <c r="K10" i="4"/>
  <c r="W9" i="4"/>
  <c r="V9" i="4"/>
  <c r="T9" i="4"/>
  <c r="Q9" i="4"/>
  <c r="N9" i="4"/>
  <c r="K9" i="4"/>
  <c r="W8" i="4"/>
  <c r="V8" i="4"/>
  <c r="T8" i="4"/>
  <c r="Q8" i="4"/>
  <c r="N8" i="4"/>
  <c r="K8" i="4"/>
  <c r="W7" i="4"/>
  <c r="V7" i="4"/>
  <c r="T7" i="4"/>
  <c r="Q7" i="4"/>
  <c r="N7" i="4"/>
  <c r="K7" i="4"/>
  <c r="W6" i="4"/>
  <c r="V6" i="4"/>
  <c r="T6" i="4"/>
  <c r="Q6" i="4"/>
  <c r="N6" i="4"/>
  <c r="K6" i="4"/>
  <c r="W5" i="4"/>
  <c r="V5" i="4"/>
  <c r="T5" i="4"/>
  <c r="Q5" i="4"/>
  <c r="N5" i="4"/>
  <c r="K5" i="4"/>
  <c r="W4" i="4"/>
  <c r="V4" i="4"/>
  <c r="T4" i="4"/>
  <c r="Q4" i="4"/>
  <c r="N4" i="4"/>
  <c r="K4" i="4"/>
  <c r="W3" i="4"/>
  <c r="AA1" i="4" s="1"/>
  <c r="V3" i="4"/>
  <c r="T3" i="4"/>
  <c r="Q3" i="4"/>
  <c r="N3" i="4"/>
  <c r="AG1" i="4" s="1"/>
  <c r="B3" i="3" s="1"/>
  <c r="K3" i="4"/>
  <c r="W2" i="4"/>
  <c r="V2" i="4"/>
  <c r="T2" i="4"/>
  <c r="N2" i="4"/>
  <c r="K2" i="4"/>
  <c r="AE1" i="4"/>
  <c r="A3" i="3" s="1"/>
  <c r="AC1" i="4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J1" i="2"/>
  <c r="H1" i="2"/>
  <c r="K363" i="6"/>
  <c r="K362" i="6"/>
  <c r="K361" i="6"/>
  <c r="G361" i="6"/>
  <c r="K360" i="6"/>
  <c r="G360" i="6"/>
  <c r="K359" i="6"/>
  <c r="G359" i="6"/>
  <c r="K358" i="6"/>
  <c r="G358" i="6"/>
  <c r="K357" i="6"/>
  <c r="G357" i="6"/>
  <c r="K356" i="6"/>
  <c r="G356" i="6"/>
  <c r="K355" i="6"/>
  <c r="G355" i="6"/>
  <c r="K354" i="6"/>
  <c r="G354" i="6"/>
  <c r="K353" i="6"/>
  <c r="G353" i="6"/>
  <c r="K352" i="6"/>
  <c r="G352" i="6"/>
  <c r="K351" i="6"/>
  <c r="G351" i="6"/>
  <c r="K350" i="6"/>
  <c r="G350" i="6"/>
  <c r="K349" i="6"/>
  <c r="G349" i="6"/>
  <c r="K348" i="6"/>
  <c r="G348" i="6"/>
  <c r="K347" i="6"/>
  <c r="G347" i="6"/>
  <c r="K346" i="6"/>
  <c r="G346" i="6"/>
  <c r="K345" i="6"/>
  <c r="G345" i="6"/>
  <c r="K344" i="6"/>
  <c r="G344" i="6"/>
  <c r="K343" i="6"/>
  <c r="G343" i="6"/>
  <c r="K342" i="6"/>
  <c r="G342" i="6"/>
  <c r="K341" i="6"/>
  <c r="G341" i="6"/>
  <c r="K340" i="6"/>
  <c r="G340" i="6"/>
  <c r="K339" i="6"/>
  <c r="G339" i="6"/>
  <c r="K338" i="6"/>
  <c r="G338" i="6"/>
  <c r="K337" i="6"/>
  <c r="G337" i="6"/>
  <c r="K336" i="6"/>
  <c r="G336" i="6"/>
  <c r="K335" i="6"/>
  <c r="G335" i="6"/>
  <c r="K334" i="6"/>
  <c r="G334" i="6"/>
  <c r="K333" i="6"/>
  <c r="G333" i="6"/>
  <c r="K332" i="6"/>
  <c r="G332" i="6"/>
  <c r="K331" i="6"/>
  <c r="G331" i="6"/>
  <c r="K330" i="6"/>
  <c r="G330" i="6"/>
  <c r="K329" i="6"/>
  <c r="G329" i="6"/>
  <c r="K328" i="6"/>
  <c r="G328" i="6"/>
  <c r="K327" i="6"/>
  <c r="G327" i="6"/>
  <c r="K326" i="6"/>
  <c r="G326" i="6"/>
  <c r="K325" i="6"/>
  <c r="G325" i="6"/>
  <c r="K324" i="6"/>
  <c r="G324" i="6"/>
  <c r="K323" i="6"/>
  <c r="G323" i="6"/>
  <c r="K322" i="6"/>
  <c r="G322" i="6"/>
  <c r="K321" i="6"/>
  <c r="G321" i="6"/>
  <c r="K320" i="6"/>
  <c r="G320" i="6"/>
  <c r="K319" i="6"/>
  <c r="G319" i="6"/>
  <c r="K318" i="6"/>
  <c r="G318" i="6"/>
  <c r="K317" i="6"/>
  <c r="G317" i="6"/>
  <c r="K316" i="6"/>
  <c r="G316" i="6"/>
  <c r="K315" i="6"/>
  <c r="G315" i="6"/>
  <c r="K314" i="6"/>
  <c r="G314" i="6"/>
  <c r="K313" i="6"/>
  <c r="G313" i="6"/>
  <c r="K312" i="6"/>
  <c r="G312" i="6"/>
  <c r="K311" i="6"/>
  <c r="G311" i="6"/>
  <c r="K310" i="6"/>
  <c r="G310" i="6"/>
  <c r="K309" i="6"/>
  <c r="G309" i="6"/>
  <c r="K308" i="6"/>
  <c r="G308" i="6"/>
  <c r="K307" i="6"/>
  <c r="G307" i="6"/>
  <c r="K306" i="6"/>
  <c r="G306" i="6"/>
  <c r="K305" i="6"/>
  <c r="G305" i="6"/>
  <c r="K304" i="6"/>
  <c r="G304" i="6"/>
  <c r="K303" i="6"/>
  <c r="G303" i="6"/>
  <c r="K302" i="6"/>
  <c r="G302" i="6"/>
  <c r="K301" i="6"/>
  <c r="G301" i="6"/>
  <c r="K300" i="6"/>
  <c r="G300" i="6"/>
  <c r="K299" i="6"/>
  <c r="G299" i="6"/>
  <c r="K298" i="6"/>
  <c r="G298" i="6"/>
  <c r="K297" i="6"/>
  <c r="G297" i="6"/>
  <c r="K296" i="6"/>
  <c r="G296" i="6"/>
  <c r="K295" i="6"/>
  <c r="G295" i="6"/>
  <c r="K294" i="6"/>
  <c r="G294" i="6"/>
  <c r="K293" i="6"/>
  <c r="G293" i="6"/>
  <c r="K292" i="6"/>
  <c r="G292" i="6"/>
  <c r="K291" i="6"/>
  <c r="G291" i="6"/>
  <c r="K290" i="6"/>
  <c r="G290" i="6"/>
  <c r="K289" i="6"/>
  <c r="G289" i="6"/>
  <c r="K288" i="6"/>
  <c r="G288" i="6"/>
  <c r="K287" i="6"/>
  <c r="G287" i="6"/>
  <c r="K286" i="6"/>
  <c r="G286" i="6"/>
  <c r="K285" i="6"/>
  <c r="G285" i="6"/>
  <c r="K284" i="6"/>
  <c r="G284" i="6"/>
  <c r="K283" i="6"/>
  <c r="G283" i="6"/>
  <c r="K282" i="6"/>
  <c r="G282" i="6"/>
  <c r="K281" i="6"/>
  <c r="G281" i="6"/>
  <c r="K280" i="6"/>
  <c r="G280" i="6"/>
  <c r="K279" i="6"/>
  <c r="G279" i="6"/>
  <c r="K278" i="6"/>
  <c r="G278" i="6"/>
  <c r="K277" i="6"/>
  <c r="G277" i="6"/>
  <c r="K276" i="6"/>
  <c r="G276" i="6"/>
  <c r="K275" i="6"/>
  <c r="G275" i="6"/>
  <c r="K274" i="6"/>
  <c r="G274" i="6"/>
  <c r="K273" i="6"/>
  <c r="G273" i="6"/>
  <c r="K272" i="6"/>
  <c r="G272" i="6"/>
  <c r="K271" i="6"/>
  <c r="G271" i="6"/>
  <c r="K270" i="6"/>
  <c r="G270" i="6"/>
  <c r="K269" i="6"/>
  <c r="G269" i="6"/>
  <c r="K268" i="6"/>
  <c r="G268" i="6"/>
  <c r="K267" i="6"/>
  <c r="G267" i="6"/>
  <c r="K266" i="6"/>
  <c r="G266" i="6"/>
  <c r="K265" i="6"/>
  <c r="G265" i="6"/>
  <c r="K264" i="6"/>
  <c r="G264" i="6"/>
  <c r="K263" i="6"/>
  <c r="G263" i="6"/>
  <c r="K262" i="6"/>
  <c r="G262" i="6"/>
  <c r="K261" i="6"/>
  <c r="G261" i="6"/>
  <c r="K260" i="6"/>
  <c r="G260" i="6"/>
  <c r="K259" i="6"/>
  <c r="G259" i="6"/>
  <c r="K258" i="6"/>
  <c r="G258" i="6"/>
  <c r="K257" i="6"/>
  <c r="G257" i="6"/>
  <c r="K256" i="6"/>
  <c r="G256" i="6"/>
  <c r="K255" i="6"/>
  <c r="G255" i="6"/>
  <c r="K254" i="6"/>
  <c r="G254" i="6"/>
  <c r="K253" i="6"/>
  <c r="G253" i="6"/>
  <c r="K252" i="6"/>
  <c r="G252" i="6"/>
  <c r="K251" i="6"/>
  <c r="G251" i="6"/>
  <c r="K250" i="6"/>
  <c r="G250" i="6"/>
  <c r="K249" i="6"/>
  <c r="G249" i="6"/>
  <c r="K248" i="6"/>
  <c r="G248" i="6"/>
  <c r="K247" i="6"/>
  <c r="G247" i="6"/>
  <c r="K246" i="6"/>
  <c r="G246" i="6"/>
  <c r="K245" i="6"/>
  <c r="G245" i="6"/>
  <c r="K244" i="6"/>
  <c r="G244" i="6"/>
  <c r="K243" i="6"/>
  <c r="G243" i="6"/>
  <c r="K242" i="6"/>
  <c r="G242" i="6"/>
  <c r="K241" i="6"/>
  <c r="G241" i="6"/>
  <c r="K240" i="6"/>
  <c r="G240" i="6"/>
  <c r="K239" i="6"/>
  <c r="G239" i="6"/>
  <c r="K238" i="6"/>
  <c r="G238" i="6"/>
  <c r="K237" i="6"/>
  <c r="G237" i="6"/>
  <c r="K236" i="6"/>
  <c r="G236" i="6"/>
  <c r="K235" i="6"/>
  <c r="G235" i="6"/>
  <c r="K234" i="6"/>
  <c r="G234" i="6"/>
  <c r="K233" i="6"/>
  <c r="G233" i="6"/>
  <c r="K232" i="6"/>
  <c r="G232" i="6"/>
  <c r="K231" i="6"/>
  <c r="G231" i="6"/>
  <c r="K230" i="6"/>
  <c r="G230" i="6"/>
  <c r="K229" i="6"/>
  <c r="G229" i="6"/>
  <c r="K228" i="6"/>
  <c r="G228" i="6"/>
  <c r="K227" i="6"/>
  <c r="G227" i="6"/>
  <c r="K226" i="6"/>
  <c r="G226" i="6"/>
  <c r="K225" i="6"/>
  <c r="G225" i="6"/>
  <c r="K224" i="6"/>
  <c r="G224" i="6"/>
  <c r="K223" i="6"/>
  <c r="G223" i="6"/>
  <c r="K222" i="6"/>
  <c r="G222" i="6"/>
  <c r="K221" i="6"/>
  <c r="G221" i="6"/>
  <c r="K220" i="6"/>
  <c r="G220" i="6"/>
  <c r="K219" i="6"/>
  <c r="G219" i="6"/>
  <c r="K218" i="6"/>
  <c r="G218" i="6"/>
  <c r="K217" i="6"/>
  <c r="G217" i="6"/>
  <c r="K216" i="6"/>
  <c r="G216" i="6"/>
  <c r="K215" i="6"/>
  <c r="G215" i="6"/>
  <c r="K214" i="6"/>
  <c r="G214" i="6"/>
  <c r="K213" i="6"/>
  <c r="G213" i="6"/>
  <c r="K212" i="6"/>
  <c r="G212" i="6"/>
  <c r="K211" i="6"/>
  <c r="G211" i="6"/>
  <c r="K210" i="6"/>
  <c r="G210" i="6"/>
  <c r="K209" i="6"/>
  <c r="G209" i="6"/>
  <c r="K208" i="6"/>
  <c r="G208" i="6"/>
  <c r="K207" i="6"/>
  <c r="G207" i="6"/>
  <c r="K206" i="6"/>
  <c r="G206" i="6"/>
  <c r="K205" i="6"/>
  <c r="G205" i="6"/>
  <c r="K204" i="6"/>
  <c r="G204" i="6"/>
  <c r="K203" i="6"/>
  <c r="G203" i="6"/>
  <c r="K202" i="6"/>
  <c r="G202" i="6"/>
  <c r="K201" i="6"/>
  <c r="G201" i="6"/>
  <c r="K200" i="6"/>
  <c r="G200" i="6"/>
  <c r="K199" i="6"/>
  <c r="G199" i="6"/>
  <c r="K198" i="6"/>
  <c r="G198" i="6"/>
  <c r="K197" i="6"/>
  <c r="G197" i="6"/>
  <c r="K196" i="6"/>
  <c r="G196" i="6"/>
  <c r="K195" i="6"/>
  <c r="G195" i="6"/>
  <c r="K194" i="6"/>
  <c r="G194" i="6"/>
  <c r="K193" i="6"/>
  <c r="G193" i="6"/>
  <c r="K192" i="6"/>
  <c r="G192" i="6"/>
  <c r="K191" i="6"/>
  <c r="G191" i="6"/>
  <c r="K190" i="6"/>
  <c r="G190" i="6"/>
  <c r="K189" i="6"/>
  <c r="G189" i="6"/>
  <c r="K188" i="6"/>
  <c r="G188" i="6"/>
  <c r="K187" i="6"/>
  <c r="G187" i="6"/>
  <c r="K186" i="6"/>
  <c r="G186" i="6"/>
  <c r="K185" i="6"/>
  <c r="G185" i="6"/>
  <c r="K184" i="6"/>
  <c r="G184" i="6"/>
  <c r="K183" i="6"/>
  <c r="G183" i="6"/>
  <c r="K182" i="6"/>
  <c r="G182" i="6"/>
  <c r="K181" i="6"/>
  <c r="G181" i="6"/>
  <c r="K180" i="6"/>
  <c r="G180" i="6"/>
  <c r="K179" i="6"/>
  <c r="G179" i="6"/>
  <c r="K178" i="6"/>
  <c r="G178" i="6"/>
  <c r="K177" i="6"/>
  <c r="G177" i="6"/>
  <c r="K176" i="6"/>
  <c r="G176" i="6"/>
  <c r="K175" i="6"/>
  <c r="G175" i="6"/>
  <c r="K174" i="6"/>
  <c r="G174" i="6"/>
  <c r="K173" i="6"/>
  <c r="G173" i="6"/>
  <c r="K172" i="6"/>
  <c r="G172" i="6"/>
  <c r="K171" i="6"/>
  <c r="G171" i="6"/>
  <c r="K170" i="6"/>
  <c r="G170" i="6"/>
  <c r="K169" i="6"/>
  <c r="G169" i="6"/>
  <c r="K168" i="6"/>
  <c r="G168" i="6"/>
  <c r="K167" i="6"/>
  <c r="G167" i="6"/>
  <c r="K166" i="6"/>
  <c r="G166" i="6"/>
  <c r="K165" i="6"/>
  <c r="G165" i="6"/>
  <c r="K164" i="6"/>
  <c r="G164" i="6"/>
  <c r="K163" i="6"/>
  <c r="G163" i="6"/>
  <c r="K162" i="6"/>
  <c r="G162" i="6"/>
  <c r="K161" i="6"/>
  <c r="G161" i="6"/>
  <c r="K160" i="6"/>
  <c r="G160" i="6"/>
  <c r="K159" i="6"/>
  <c r="G159" i="6"/>
  <c r="K158" i="6"/>
  <c r="G158" i="6"/>
  <c r="K157" i="6"/>
  <c r="G157" i="6"/>
  <c r="K156" i="6"/>
  <c r="G156" i="6"/>
  <c r="K155" i="6"/>
  <c r="G155" i="6"/>
  <c r="K154" i="6"/>
  <c r="G154" i="6"/>
  <c r="K153" i="6"/>
  <c r="G153" i="6"/>
  <c r="K152" i="6"/>
  <c r="G152" i="6"/>
  <c r="K151" i="6"/>
  <c r="G151" i="6"/>
  <c r="K150" i="6"/>
  <c r="G150" i="6"/>
  <c r="K149" i="6"/>
  <c r="G149" i="6"/>
  <c r="K148" i="6"/>
  <c r="G148" i="6"/>
  <c r="K147" i="6"/>
  <c r="G147" i="6"/>
  <c r="K146" i="6"/>
  <c r="G146" i="6"/>
  <c r="K145" i="6"/>
  <c r="G145" i="6"/>
  <c r="K144" i="6"/>
  <c r="G144" i="6"/>
  <c r="K143" i="6"/>
  <c r="G143" i="6"/>
  <c r="K142" i="6"/>
  <c r="G142" i="6"/>
  <c r="K141" i="6"/>
  <c r="G141" i="6"/>
  <c r="K140" i="6"/>
  <c r="G140" i="6"/>
  <c r="K139" i="6"/>
  <c r="G139" i="6"/>
  <c r="K138" i="6"/>
  <c r="G138" i="6"/>
  <c r="K137" i="6"/>
  <c r="G137" i="6"/>
  <c r="K136" i="6"/>
  <c r="G136" i="6"/>
  <c r="K135" i="6"/>
  <c r="G135" i="6"/>
  <c r="K134" i="6"/>
  <c r="G134" i="6"/>
  <c r="K133" i="6"/>
  <c r="G133" i="6"/>
  <c r="K132" i="6"/>
  <c r="G132" i="6"/>
  <c r="K131" i="6"/>
  <c r="G131" i="6"/>
  <c r="K130" i="6"/>
  <c r="G130" i="6"/>
  <c r="K129" i="6"/>
  <c r="G129" i="6"/>
  <c r="K128" i="6"/>
  <c r="G128" i="6"/>
  <c r="K127" i="6"/>
  <c r="G127" i="6"/>
  <c r="K126" i="6"/>
  <c r="G126" i="6"/>
  <c r="K125" i="6"/>
  <c r="G125" i="6"/>
  <c r="K124" i="6"/>
  <c r="G124" i="6"/>
  <c r="K123" i="6"/>
  <c r="G123" i="6"/>
  <c r="K122" i="6"/>
  <c r="G122" i="6"/>
  <c r="K121" i="6"/>
  <c r="G121" i="6"/>
  <c r="K120" i="6"/>
  <c r="G120" i="6"/>
  <c r="K119" i="6"/>
  <c r="G119" i="6"/>
  <c r="K118" i="6"/>
  <c r="G118" i="6"/>
  <c r="K117" i="6"/>
  <c r="G117" i="6"/>
  <c r="K116" i="6"/>
  <c r="G116" i="6"/>
  <c r="K115" i="6"/>
  <c r="G115" i="6"/>
  <c r="K114" i="6"/>
  <c r="G114" i="6"/>
  <c r="K113" i="6"/>
  <c r="G113" i="6"/>
  <c r="K112" i="6"/>
  <c r="G112" i="6"/>
  <c r="K111" i="6"/>
  <c r="G111" i="6"/>
  <c r="K110" i="6"/>
  <c r="G110" i="6"/>
  <c r="K109" i="6"/>
  <c r="G109" i="6"/>
  <c r="K108" i="6"/>
  <c r="G108" i="6"/>
  <c r="K107" i="6"/>
  <c r="G107" i="6"/>
  <c r="K106" i="6"/>
  <c r="G106" i="6"/>
  <c r="K105" i="6"/>
  <c r="G105" i="6"/>
  <c r="K104" i="6"/>
  <c r="G104" i="6"/>
  <c r="K103" i="6"/>
  <c r="G103" i="6"/>
  <c r="K102" i="6"/>
  <c r="G102" i="6"/>
  <c r="K101" i="6"/>
  <c r="G101" i="6"/>
  <c r="K100" i="6"/>
  <c r="G100" i="6"/>
  <c r="K99" i="6"/>
  <c r="G99" i="6"/>
  <c r="K98" i="6"/>
  <c r="G98" i="6"/>
  <c r="K97" i="6"/>
  <c r="G97" i="6"/>
  <c r="K96" i="6"/>
  <c r="G96" i="6"/>
  <c r="K95" i="6"/>
  <c r="G95" i="6"/>
  <c r="K94" i="6"/>
  <c r="G94" i="6"/>
  <c r="K93" i="6"/>
  <c r="G93" i="6"/>
  <c r="K92" i="6"/>
  <c r="G92" i="6"/>
  <c r="K91" i="6"/>
  <c r="G91" i="6"/>
  <c r="K90" i="6"/>
  <c r="G90" i="6"/>
  <c r="K89" i="6"/>
  <c r="G89" i="6"/>
  <c r="K88" i="6"/>
  <c r="G88" i="6"/>
  <c r="K87" i="6"/>
  <c r="G87" i="6"/>
  <c r="K86" i="6"/>
  <c r="G86" i="6"/>
  <c r="K85" i="6"/>
  <c r="G85" i="6"/>
  <c r="K84" i="6"/>
  <c r="G84" i="6"/>
  <c r="K83" i="6"/>
  <c r="G83" i="6"/>
  <c r="K82" i="6"/>
  <c r="G82" i="6"/>
  <c r="K81" i="6"/>
  <c r="G81" i="6"/>
  <c r="K80" i="6"/>
  <c r="G80" i="6"/>
  <c r="K79" i="6"/>
  <c r="G79" i="6"/>
  <c r="K78" i="6"/>
  <c r="G78" i="6"/>
  <c r="K77" i="6"/>
  <c r="G77" i="6"/>
  <c r="K76" i="6"/>
  <c r="G76" i="6"/>
  <c r="K75" i="6"/>
  <c r="G75" i="6"/>
  <c r="K74" i="6"/>
  <c r="G74" i="6"/>
  <c r="K73" i="6"/>
  <c r="G73" i="6"/>
  <c r="K72" i="6"/>
  <c r="G72" i="6"/>
  <c r="K71" i="6"/>
  <c r="G71" i="6"/>
  <c r="K70" i="6"/>
  <c r="G70" i="6"/>
  <c r="K69" i="6"/>
  <c r="G69" i="6"/>
  <c r="K68" i="6"/>
  <c r="K67" i="6"/>
  <c r="G67" i="6"/>
  <c r="K66" i="6"/>
  <c r="G66" i="6"/>
  <c r="K65" i="6"/>
  <c r="G65" i="6"/>
  <c r="K64" i="6"/>
  <c r="G64" i="6"/>
  <c r="K63" i="6"/>
  <c r="G63" i="6"/>
  <c r="K62" i="6"/>
  <c r="G62" i="6"/>
  <c r="K61" i="6"/>
  <c r="G61" i="6"/>
  <c r="K60" i="6"/>
  <c r="G60" i="6"/>
  <c r="K59" i="6"/>
  <c r="G59" i="6"/>
  <c r="K58" i="6"/>
  <c r="G58" i="6"/>
  <c r="K57" i="6"/>
  <c r="G57" i="6"/>
  <c r="K56" i="6"/>
  <c r="G56" i="6"/>
  <c r="K55" i="6"/>
  <c r="G55" i="6"/>
  <c r="K54" i="6"/>
  <c r="G54" i="6"/>
  <c r="K53" i="6"/>
  <c r="G53" i="6"/>
  <c r="K52" i="6"/>
  <c r="G52" i="6"/>
  <c r="K51" i="6"/>
  <c r="G51" i="6"/>
  <c r="K50" i="6"/>
  <c r="G50" i="6"/>
  <c r="K49" i="6"/>
  <c r="G49" i="6"/>
  <c r="K48" i="6"/>
  <c r="G48" i="6"/>
  <c r="K47" i="6"/>
  <c r="G47" i="6"/>
  <c r="K46" i="6"/>
  <c r="G46" i="6"/>
  <c r="K45" i="6"/>
  <c r="G45" i="6"/>
  <c r="K44" i="6"/>
  <c r="G44" i="6"/>
  <c r="K43" i="6"/>
  <c r="G43" i="6"/>
  <c r="K42" i="6"/>
  <c r="G42" i="6"/>
  <c r="K41" i="6"/>
  <c r="G41" i="6"/>
  <c r="K40" i="6"/>
  <c r="G40" i="6"/>
  <c r="K39" i="6"/>
  <c r="G39" i="6"/>
  <c r="K38" i="6"/>
  <c r="G38" i="6"/>
  <c r="K37" i="6"/>
  <c r="G37" i="6"/>
  <c r="K36" i="6"/>
  <c r="G36" i="6"/>
  <c r="K35" i="6"/>
  <c r="G35" i="6"/>
  <c r="K34" i="6"/>
  <c r="G34" i="6"/>
  <c r="K33" i="6"/>
  <c r="G33" i="6"/>
  <c r="K32" i="6"/>
  <c r="G32" i="6"/>
  <c r="K31" i="6"/>
  <c r="G31" i="6"/>
  <c r="K30" i="6"/>
  <c r="G30" i="6"/>
  <c r="K29" i="6"/>
  <c r="G29" i="6"/>
  <c r="K28" i="6"/>
  <c r="G28" i="6"/>
  <c r="K27" i="6"/>
  <c r="G27" i="6"/>
  <c r="K26" i="6"/>
  <c r="G26" i="6"/>
  <c r="K25" i="6"/>
  <c r="G25" i="6"/>
  <c r="K24" i="6"/>
  <c r="G24" i="6"/>
  <c r="K23" i="6"/>
  <c r="G23" i="6"/>
  <c r="K22" i="6"/>
  <c r="G22" i="6"/>
  <c r="K21" i="6"/>
  <c r="G21" i="6"/>
  <c r="K20" i="6"/>
  <c r="G20" i="6"/>
  <c r="K19" i="6"/>
  <c r="G19" i="6"/>
  <c r="K18" i="6"/>
  <c r="G18" i="6"/>
  <c r="K17" i="6"/>
  <c r="G17" i="6"/>
  <c r="K16" i="6"/>
  <c r="G16" i="6"/>
  <c r="K15" i="6"/>
  <c r="G15" i="6"/>
  <c r="K14" i="6"/>
  <c r="G14" i="6"/>
  <c r="K13" i="6"/>
  <c r="G13" i="6"/>
  <c r="K12" i="6"/>
  <c r="G12" i="6"/>
  <c r="K11" i="6"/>
  <c r="G11" i="6"/>
  <c r="K10" i="6"/>
  <c r="G10" i="6"/>
  <c r="K9" i="6"/>
  <c r="G9" i="6"/>
  <c r="K8" i="6"/>
  <c r="G8" i="6"/>
  <c r="K7" i="6"/>
  <c r="G7" i="6"/>
  <c r="K6" i="6"/>
  <c r="G6" i="6"/>
  <c r="K5" i="6"/>
  <c r="G5" i="6"/>
  <c r="K4" i="6"/>
  <c r="G4" i="6"/>
  <c r="K3" i="6"/>
  <c r="G3" i="6"/>
  <c r="O1" i="6" s="1"/>
  <c r="K2" i="6"/>
  <c r="G2" i="6"/>
  <c r="S1" i="6"/>
  <c r="Q1" i="6"/>
  <c r="M1" i="6"/>
  <c r="L361" i="1"/>
  <c r="G361" i="1"/>
  <c r="L360" i="1"/>
  <c r="G360" i="1"/>
  <c r="L359" i="1"/>
  <c r="G359" i="1"/>
  <c r="L358" i="1"/>
  <c r="G358" i="1"/>
  <c r="L357" i="1"/>
  <c r="G357" i="1"/>
  <c r="L356" i="1"/>
  <c r="G356" i="1"/>
  <c r="L355" i="1"/>
  <c r="G355" i="1"/>
  <c r="L354" i="1"/>
  <c r="G354" i="1"/>
  <c r="L353" i="1"/>
  <c r="G353" i="1"/>
  <c r="L352" i="1"/>
  <c r="G352" i="1"/>
  <c r="L351" i="1"/>
  <c r="G351" i="1"/>
  <c r="L350" i="1"/>
  <c r="G350" i="1"/>
  <c r="L349" i="1"/>
  <c r="G349" i="1"/>
  <c r="L348" i="1"/>
  <c r="G348" i="1"/>
  <c r="L347" i="1"/>
  <c r="G347" i="1"/>
  <c r="L346" i="1"/>
  <c r="G346" i="1"/>
  <c r="L345" i="1"/>
  <c r="G345" i="1"/>
  <c r="L344" i="1"/>
  <c r="G344" i="1"/>
  <c r="L343" i="1"/>
  <c r="G343" i="1"/>
  <c r="L342" i="1"/>
  <c r="G342" i="1"/>
  <c r="L341" i="1"/>
  <c r="G341" i="1"/>
  <c r="L340" i="1"/>
  <c r="G340" i="1"/>
  <c r="L339" i="1"/>
  <c r="G339" i="1"/>
  <c r="L338" i="1"/>
  <c r="G338" i="1"/>
  <c r="L337" i="1"/>
  <c r="G337" i="1"/>
  <c r="L336" i="1"/>
  <c r="G336" i="1"/>
  <c r="L335" i="1"/>
  <c r="G335" i="1"/>
  <c r="L334" i="1"/>
  <c r="G334" i="1"/>
  <c r="L333" i="1"/>
  <c r="G333" i="1"/>
  <c r="L332" i="1"/>
  <c r="G332" i="1"/>
  <c r="L331" i="1"/>
  <c r="G331" i="1"/>
  <c r="L330" i="1"/>
  <c r="G330" i="1"/>
  <c r="L329" i="1"/>
  <c r="G329" i="1"/>
  <c r="L328" i="1"/>
  <c r="G328" i="1"/>
  <c r="L327" i="1"/>
  <c r="G327" i="1"/>
  <c r="L326" i="1"/>
  <c r="G326" i="1"/>
  <c r="L325" i="1"/>
  <c r="G325" i="1"/>
  <c r="L324" i="1"/>
  <c r="G324" i="1"/>
  <c r="L323" i="1"/>
  <c r="G323" i="1"/>
  <c r="L322" i="1"/>
  <c r="G322" i="1"/>
  <c r="L321" i="1"/>
  <c r="G321" i="1"/>
  <c r="L320" i="1"/>
  <c r="G320" i="1"/>
  <c r="L319" i="1"/>
  <c r="G319" i="1"/>
  <c r="L318" i="1"/>
  <c r="G318" i="1"/>
  <c r="L317" i="1"/>
  <c r="G317" i="1"/>
  <c r="L316" i="1"/>
  <c r="G316" i="1"/>
  <c r="L315" i="1"/>
  <c r="G315" i="1"/>
  <c r="L314" i="1"/>
  <c r="G314" i="1"/>
  <c r="L313" i="1"/>
  <c r="G313" i="1"/>
  <c r="L312" i="1"/>
  <c r="G312" i="1"/>
  <c r="L311" i="1"/>
  <c r="G311" i="1"/>
  <c r="L310" i="1"/>
  <c r="G310" i="1"/>
  <c r="L309" i="1"/>
  <c r="G309" i="1"/>
  <c r="L308" i="1"/>
  <c r="G308" i="1"/>
  <c r="L307" i="1"/>
  <c r="G307" i="1"/>
  <c r="L306" i="1"/>
  <c r="G306" i="1"/>
  <c r="L305" i="1"/>
  <c r="G305" i="1"/>
  <c r="L304" i="1"/>
  <c r="G304" i="1"/>
  <c r="L303" i="1"/>
  <c r="G303" i="1"/>
  <c r="L302" i="1"/>
  <c r="G302" i="1"/>
  <c r="L301" i="1"/>
  <c r="G301" i="1"/>
  <c r="L300" i="1"/>
  <c r="G300" i="1"/>
  <c r="L299" i="1"/>
  <c r="G299" i="1"/>
  <c r="L298" i="1"/>
  <c r="G298" i="1"/>
  <c r="L297" i="1"/>
  <c r="G297" i="1"/>
  <c r="L296" i="1"/>
  <c r="G296" i="1"/>
  <c r="L295" i="1"/>
  <c r="G295" i="1"/>
  <c r="L294" i="1"/>
  <c r="G294" i="1"/>
  <c r="L293" i="1"/>
  <c r="G293" i="1"/>
  <c r="L292" i="1"/>
  <c r="G292" i="1"/>
  <c r="L291" i="1"/>
  <c r="G291" i="1"/>
  <c r="L290" i="1"/>
  <c r="G290" i="1"/>
  <c r="L289" i="1"/>
  <c r="G289" i="1"/>
  <c r="L288" i="1"/>
  <c r="G288" i="1"/>
  <c r="L287" i="1"/>
  <c r="G287" i="1"/>
  <c r="L286" i="1"/>
  <c r="G286" i="1"/>
  <c r="L285" i="1"/>
  <c r="G285" i="1"/>
  <c r="L284" i="1"/>
  <c r="G284" i="1"/>
  <c r="L283" i="1"/>
  <c r="G283" i="1"/>
  <c r="L282" i="1"/>
  <c r="G282" i="1"/>
  <c r="L281" i="1"/>
  <c r="G281" i="1"/>
  <c r="L280" i="1"/>
  <c r="G280" i="1"/>
  <c r="L279" i="1"/>
  <c r="G279" i="1"/>
  <c r="L278" i="1"/>
  <c r="G278" i="1"/>
  <c r="L277" i="1"/>
  <c r="G277" i="1"/>
  <c r="L276" i="1"/>
  <c r="G276" i="1"/>
  <c r="L275" i="1"/>
  <c r="G275" i="1"/>
  <c r="L274" i="1"/>
  <c r="G274" i="1"/>
  <c r="L273" i="1"/>
  <c r="G273" i="1"/>
  <c r="L272" i="1"/>
  <c r="G272" i="1"/>
  <c r="L271" i="1"/>
  <c r="G271" i="1"/>
  <c r="L270" i="1"/>
  <c r="G270" i="1"/>
  <c r="L269" i="1"/>
  <c r="G269" i="1"/>
  <c r="L268" i="1"/>
  <c r="G268" i="1"/>
  <c r="L267" i="1"/>
  <c r="G267" i="1"/>
  <c r="L266" i="1"/>
  <c r="G266" i="1"/>
  <c r="L265" i="1"/>
  <c r="G265" i="1"/>
  <c r="L264" i="1"/>
  <c r="G264" i="1"/>
  <c r="L263" i="1"/>
  <c r="G263" i="1"/>
  <c r="L262" i="1"/>
  <c r="G262" i="1"/>
  <c r="L261" i="1"/>
  <c r="G261" i="1"/>
  <c r="L260" i="1"/>
  <c r="G260" i="1"/>
  <c r="L259" i="1"/>
  <c r="G259" i="1"/>
  <c r="L258" i="1"/>
  <c r="G258" i="1"/>
  <c r="L257" i="1"/>
  <c r="G257" i="1"/>
  <c r="L256" i="1"/>
  <c r="G256" i="1"/>
  <c r="L255" i="1"/>
  <c r="G255" i="1"/>
  <c r="L254" i="1"/>
  <c r="G254" i="1"/>
  <c r="L253" i="1"/>
  <c r="G253" i="1"/>
  <c r="L252" i="1"/>
  <c r="G252" i="1"/>
  <c r="L251" i="1"/>
  <c r="G251" i="1"/>
  <c r="L250" i="1"/>
  <c r="G250" i="1"/>
  <c r="L249" i="1"/>
  <c r="G249" i="1"/>
  <c r="L248" i="1"/>
  <c r="G248" i="1"/>
  <c r="L247" i="1"/>
  <c r="G247" i="1"/>
  <c r="L246" i="1"/>
  <c r="G246" i="1"/>
  <c r="L245" i="1"/>
  <c r="G245" i="1"/>
  <c r="L244" i="1"/>
  <c r="G244" i="1"/>
  <c r="L243" i="1"/>
  <c r="G243" i="1"/>
  <c r="L242" i="1"/>
  <c r="G242" i="1"/>
  <c r="L241" i="1"/>
  <c r="G241" i="1"/>
  <c r="L240" i="1"/>
  <c r="G240" i="1"/>
  <c r="L239" i="1"/>
  <c r="G239" i="1"/>
  <c r="L238" i="1"/>
  <c r="G238" i="1"/>
  <c r="L237" i="1"/>
  <c r="G237" i="1"/>
  <c r="L236" i="1"/>
  <c r="G236" i="1"/>
  <c r="L235" i="1"/>
  <c r="G235" i="1"/>
  <c r="L234" i="1"/>
  <c r="G234" i="1"/>
  <c r="L233" i="1"/>
  <c r="G233" i="1"/>
  <c r="L232" i="1"/>
  <c r="G232" i="1"/>
  <c r="L231" i="1"/>
  <c r="G231" i="1"/>
  <c r="L230" i="1"/>
  <c r="G230" i="1"/>
  <c r="L229" i="1"/>
  <c r="G229" i="1"/>
  <c r="L228" i="1"/>
  <c r="G228" i="1"/>
  <c r="L227" i="1"/>
  <c r="G227" i="1"/>
  <c r="L226" i="1"/>
  <c r="G226" i="1"/>
  <c r="L225" i="1"/>
  <c r="G225" i="1"/>
  <c r="L224" i="1"/>
  <c r="G224" i="1"/>
  <c r="L223" i="1"/>
  <c r="G223" i="1"/>
  <c r="L222" i="1"/>
  <c r="G222" i="1"/>
  <c r="L221" i="1"/>
  <c r="G221" i="1"/>
  <c r="L220" i="1"/>
  <c r="G220" i="1"/>
  <c r="L219" i="1"/>
  <c r="G219" i="1"/>
  <c r="L218" i="1"/>
  <c r="G218" i="1"/>
  <c r="L217" i="1"/>
  <c r="G217" i="1"/>
  <c r="L216" i="1"/>
  <c r="G216" i="1"/>
  <c r="L215" i="1"/>
  <c r="G215" i="1"/>
  <c r="L214" i="1"/>
  <c r="G214" i="1"/>
  <c r="L213" i="1"/>
  <c r="G213" i="1"/>
  <c r="L212" i="1"/>
  <c r="G212" i="1"/>
  <c r="L211" i="1"/>
  <c r="G211" i="1"/>
  <c r="L210" i="1"/>
  <c r="G210" i="1"/>
  <c r="L209" i="1"/>
  <c r="G209" i="1"/>
  <c r="L208" i="1"/>
  <c r="G208" i="1"/>
  <c r="L207" i="1"/>
  <c r="G207" i="1"/>
  <c r="L206" i="1"/>
  <c r="G206" i="1"/>
  <c r="L205" i="1"/>
  <c r="G205" i="1"/>
  <c r="L204" i="1"/>
  <c r="G204" i="1"/>
  <c r="L203" i="1"/>
  <c r="G203" i="1"/>
  <c r="L202" i="1"/>
  <c r="G202" i="1"/>
  <c r="L201" i="1"/>
  <c r="G201" i="1"/>
  <c r="L200" i="1"/>
  <c r="G200" i="1"/>
  <c r="L199" i="1"/>
  <c r="G199" i="1"/>
  <c r="L198" i="1"/>
  <c r="G198" i="1"/>
  <c r="L197" i="1"/>
  <c r="G197" i="1"/>
  <c r="L196" i="1"/>
  <c r="G196" i="1"/>
  <c r="L195" i="1"/>
  <c r="G195" i="1"/>
  <c r="L194" i="1"/>
  <c r="G194" i="1"/>
  <c r="L193" i="1"/>
  <c r="G193" i="1"/>
  <c r="L192" i="1"/>
  <c r="G192" i="1"/>
  <c r="L191" i="1"/>
  <c r="G191" i="1"/>
  <c r="L190" i="1"/>
  <c r="G190" i="1"/>
  <c r="L189" i="1"/>
  <c r="G189" i="1"/>
  <c r="L188" i="1"/>
  <c r="G188" i="1"/>
  <c r="L187" i="1"/>
  <c r="G187" i="1"/>
  <c r="L186" i="1"/>
  <c r="G186" i="1"/>
  <c r="L185" i="1"/>
  <c r="G185" i="1"/>
  <c r="L184" i="1"/>
  <c r="G184" i="1"/>
  <c r="L183" i="1"/>
  <c r="G183" i="1"/>
  <c r="L182" i="1"/>
  <c r="G182" i="1"/>
  <c r="L181" i="1"/>
  <c r="G181" i="1"/>
  <c r="L180" i="1"/>
  <c r="G180" i="1"/>
  <c r="L179" i="1"/>
  <c r="G179" i="1"/>
  <c r="L178" i="1"/>
  <c r="G178" i="1"/>
  <c r="L177" i="1"/>
  <c r="G177" i="1"/>
  <c r="L176" i="1"/>
  <c r="G176" i="1"/>
  <c r="L175" i="1"/>
  <c r="G175" i="1"/>
  <c r="L174" i="1"/>
  <c r="G174" i="1"/>
  <c r="L173" i="1"/>
  <c r="G173" i="1"/>
  <c r="L172" i="1"/>
  <c r="G172" i="1"/>
  <c r="L171" i="1"/>
  <c r="G171" i="1"/>
  <c r="L170" i="1"/>
  <c r="G170" i="1"/>
  <c r="L169" i="1"/>
  <c r="G169" i="1"/>
  <c r="L168" i="1"/>
  <c r="G168" i="1"/>
  <c r="L167" i="1"/>
  <c r="G167" i="1"/>
  <c r="L166" i="1"/>
  <c r="G166" i="1"/>
  <c r="L165" i="1"/>
  <c r="G165" i="1"/>
  <c r="L164" i="1"/>
  <c r="G164" i="1"/>
  <c r="L163" i="1"/>
  <c r="G163" i="1"/>
  <c r="L162" i="1"/>
  <c r="G162" i="1"/>
  <c r="L161" i="1"/>
  <c r="G161" i="1"/>
  <c r="L160" i="1"/>
  <c r="G160" i="1"/>
  <c r="L159" i="1"/>
  <c r="G159" i="1"/>
  <c r="L158" i="1"/>
  <c r="G158" i="1"/>
  <c r="L157" i="1"/>
  <c r="G157" i="1"/>
  <c r="L156" i="1"/>
  <c r="G156" i="1"/>
  <c r="L155" i="1"/>
  <c r="G155" i="1"/>
  <c r="L154" i="1"/>
  <c r="G154" i="1"/>
  <c r="L153" i="1"/>
  <c r="G153" i="1"/>
  <c r="L152" i="1"/>
  <c r="G152" i="1"/>
  <c r="L151" i="1"/>
  <c r="G151" i="1"/>
  <c r="L150" i="1"/>
  <c r="G150" i="1"/>
  <c r="L149" i="1"/>
  <c r="G149" i="1"/>
  <c r="L148" i="1"/>
  <c r="G148" i="1"/>
  <c r="L147" i="1"/>
  <c r="G147" i="1"/>
  <c r="L146" i="1"/>
  <c r="G146" i="1"/>
  <c r="L145" i="1"/>
  <c r="G145" i="1"/>
  <c r="L144" i="1"/>
  <c r="G144" i="1"/>
  <c r="L143" i="1"/>
  <c r="G143" i="1"/>
  <c r="L142" i="1"/>
  <c r="G142" i="1"/>
  <c r="L141" i="1"/>
  <c r="G141" i="1"/>
  <c r="L140" i="1"/>
  <c r="G140" i="1"/>
  <c r="L139" i="1"/>
  <c r="G139" i="1"/>
  <c r="L138" i="1"/>
  <c r="G138" i="1"/>
  <c r="L137" i="1"/>
  <c r="G137" i="1"/>
  <c r="L136" i="1"/>
  <c r="G136" i="1"/>
  <c r="L135" i="1"/>
  <c r="G135" i="1"/>
  <c r="L134" i="1"/>
  <c r="G134" i="1"/>
  <c r="L133" i="1"/>
  <c r="G133" i="1"/>
  <c r="L132" i="1"/>
  <c r="G132" i="1"/>
  <c r="L131" i="1"/>
  <c r="G131" i="1"/>
  <c r="L130" i="1"/>
  <c r="G130" i="1"/>
  <c r="L129" i="1"/>
  <c r="G129" i="1"/>
  <c r="L128" i="1"/>
  <c r="G128" i="1"/>
  <c r="L127" i="1"/>
  <c r="G127" i="1"/>
  <c r="L126" i="1"/>
  <c r="G126" i="1"/>
  <c r="L125" i="1"/>
  <c r="G125" i="1"/>
  <c r="L124" i="1"/>
  <c r="G124" i="1"/>
  <c r="L123" i="1"/>
  <c r="G123" i="1"/>
  <c r="L122" i="1"/>
  <c r="G122" i="1"/>
  <c r="L121" i="1"/>
  <c r="G121" i="1"/>
  <c r="L120" i="1"/>
  <c r="G120" i="1"/>
  <c r="L119" i="1"/>
  <c r="G119" i="1"/>
  <c r="L118" i="1"/>
  <c r="G118" i="1"/>
  <c r="L117" i="1"/>
  <c r="G117" i="1"/>
  <c r="L116" i="1"/>
  <c r="G116" i="1"/>
  <c r="L115" i="1"/>
  <c r="G115" i="1"/>
  <c r="L114" i="1"/>
  <c r="G114" i="1"/>
  <c r="L113" i="1"/>
  <c r="G113" i="1"/>
  <c r="L112" i="1"/>
  <c r="G112" i="1"/>
  <c r="L111" i="1"/>
  <c r="G111" i="1"/>
  <c r="L110" i="1"/>
  <c r="G110" i="1"/>
  <c r="L109" i="1"/>
  <c r="G109" i="1"/>
  <c r="L108" i="1"/>
  <c r="G108" i="1"/>
  <c r="L107" i="1"/>
  <c r="G107" i="1"/>
  <c r="L106" i="1"/>
  <c r="G106" i="1"/>
  <c r="L105" i="1"/>
  <c r="G105" i="1"/>
  <c r="L104" i="1"/>
  <c r="G104" i="1"/>
  <c r="L103" i="1"/>
  <c r="G103" i="1"/>
  <c r="L102" i="1"/>
  <c r="G102" i="1"/>
  <c r="L101" i="1"/>
  <c r="G101" i="1"/>
  <c r="L100" i="1"/>
  <c r="G100" i="1"/>
  <c r="L99" i="1"/>
  <c r="G99" i="1"/>
  <c r="L98" i="1"/>
  <c r="G98" i="1"/>
  <c r="L97" i="1"/>
  <c r="G97" i="1"/>
  <c r="L96" i="1"/>
  <c r="G96" i="1"/>
  <c r="L95" i="1"/>
  <c r="G95" i="1"/>
  <c r="L94" i="1"/>
  <c r="G94" i="1"/>
  <c r="L93" i="1"/>
  <c r="G93" i="1"/>
  <c r="L92" i="1"/>
  <c r="G92" i="1"/>
  <c r="L91" i="1"/>
  <c r="G91" i="1"/>
  <c r="L90" i="1"/>
  <c r="G90" i="1"/>
  <c r="L89" i="1"/>
  <c r="G89" i="1"/>
  <c r="L88" i="1"/>
  <c r="G88" i="1"/>
  <c r="L87" i="1"/>
  <c r="G87" i="1"/>
  <c r="L86" i="1"/>
  <c r="G86" i="1"/>
  <c r="L85" i="1"/>
  <c r="G85" i="1"/>
  <c r="L84" i="1"/>
  <c r="G84" i="1"/>
  <c r="L83" i="1"/>
  <c r="G83" i="1"/>
  <c r="L82" i="1"/>
  <c r="G82" i="1"/>
  <c r="L81" i="1"/>
  <c r="G81" i="1"/>
  <c r="L80" i="1"/>
  <c r="G80" i="1"/>
  <c r="L79" i="1"/>
  <c r="G79" i="1"/>
  <c r="L78" i="1"/>
  <c r="G78" i="1"/>
  <c r="L77" i="1"/>
  <c r="G77" i="1"/>
  <c r="L76" i="1"/>
  <c r="G76" i="1"/>
  <c r="L75" i="1"/>
  <c r="G75" i="1"/>
  <c r="L74" i="1"/>
  <c r="G74" i="1"/>
  <c r="L73" i="1"/>
  <c r="G73" i="1"/>
  <c r="L72" i="1"/>
  <c r="G72" i="1"/>
  <c r="L71" i="1"/>
  <c r="G71" i="1"/>
  <c r="L70" i="1"/>
  <c r="G70" i="1"/>
  <c r="L69" i="1"/>
  <c r="G69" i="1"/>
  <c r="L68" i="1"/>
  <c r="L67" i="1"/>
  <c r="G67" i="1"/>
  <c r="L66" i="1"/>
  <c r="G66" i="1"/>
  <c r="L65" i="1"/>
  <c r="G65" i="1"/>
  <c r="L64" i="1"/>
  <c r="G64" i="1"/>
  <c r="L63" i="1"/>
  <c r="G63" i="1"/>
  <c r="L62" i="1"/>
  <c r="G62" i="1"/>
  <c r="L61" i="1"/>
  <c r="G61" i="1"/>
  <c r="L60" i="1"/>
  <c r="G60" i="1"/>
  <c r="L59" i="1"/>
  <c r="G59" i="1"/>
  <c r="L58" i="1"/>
  <c r="G58" i="1"/>
  <c r="L57" i="1"/>
  <c r="G57" i="1"/>
  <c r="L56" i="1"/>
  <c r="G56" i="1"/>
  <c r="L55" i="1"/>
  <c r="G55" i="1"/>
  <c r="L54" i="1"/>
  <c r="G54" i="1"/>
  <c r="L53" i="1"/>
  <c r="G53" i="1"/>
  <c r="L52" i="1"/>
  <c r="G52" i="1"/>
  <c r="L51" i="1"/>
  <c r="G51" i="1"/>
  <c r="L50" i="1"/>
  <c r="G50" i="1"/>
  <c r="L49" i="1"/>
  <c r="G49" i="1"/>
  <c r="L48" i="1"/>
  <c r="G48" i="1"/>
  <c r="L47" i="1"/>
  <c r="G47" i="1"/>
  <c r="L46" i="1"/>
  <c r="G46" i="1"/>
  <c r="L45" i="1"/>
  <c r="G45" i="1"/>
  <c r="L44" i="1"/>
  <c r="G44" i="1"/>
  <c r="L43" i="1"/>
  <c r="G43" i="1"/>
  <c r="L42" i="1"/>
  <c r="G42" i="1"/>
  <c r="L41" i="1"/>
  <c r="G41" i="1"/>
  <c r="L40" i="1"/>
  <c r="G40" i="1"/>
  <c r="L39" i="1"/>
  <c r="G39" i="1"/>
  <c r="L38" i="1"/>
  <c r="G38" i="1"/>
  <c r="L37" i="1"/>
  <c r="G37" i="1"/>
  <c r="L36" i="1"/>
  <c r="G36" i="1"/>
  <c r="L35" i="1"/>
  <c r="G35" i="1"/>
  <c r="L34" i="1"/>
  <c r="G34" i="1"/>
  <c r="L33" i="1"/>
  <c r="G33" i="1"/>
  <c r="L32" i="1"/>
  <c r="G32" i="1"/>
  <c r="L31" i="1"/>
  <c r="G31" i="1"/>
  <c r="L30" i="1"/>
  <c r="G30" i="1"/>
  <c r="L29" i="1"/>
  <c r="G29" i="1"/>
  <c r="L28" i="1"/>
  <c r="G28" i="1"/>
  <c r="L27" i="1"/>
  <c r="G27" i="1"/>
  <c r="L26" i="1"/>
  <c r="G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L8" i="1"/>
  <c r="G8" i="1"/>
  <c r="L7" i="1"/>
  <c r="G7" i="1"/>
  <c r="L6" i="1"/>
  <c r="G6" i="1"/>
  <c r="L5" i="1"/>
  <c r="G5" i="1"/>
  <c r="L4" i="1"/>
  <c r="G4" i="1"/>
  <c r="L3" i="1"/>
  <c r="G3" i="1"/>
  <c r="L2" i="1"/>
  <c r="G2" i="1"/>
  <c r="R1" i="1" s="1"/>
  <c r="T1" i="1"/>
  <c r="P1" i="1"/>
  <c r="N1" i="1"/>
  <c r="B6" i="3" l="1"/>
  <c r="C6" i="3"/>
  <c r="H5" i="7"/>
</calcChain>
</file>

<file path=xl/sharedStrings.xml><?xml version="1.0" encoding="utf-8"?>
<sst xmlns="http://schemas.openxmlformats.org/spreadsheetml/2006/main" count="772" uniqueCount="392">
  <si>
    <t>Дата опалты</t>
  </si>
  <si>
    <t>Внесённая сумма</t>
  </si>
  <si>
    <t>Подписанные акты</t>
  </si>
  <si>
    <t>Сумма поступлений</t>
  </si>
  <si>
    <t>Сумма выставленная</t>
  </si>
  <si>
    <t>Предоплата</t>
  </si>
  <si>
    <t>Долг клиента</t>
  </si>
  <si>
    <t>Сумма долга</t>
  </si>
  <si>
    <t>Чистая прибыль</t>
  </si>
  <si>
    <t>Физ лица</t>
  </si>
  <si>
    <t>Физ дата</t>
  </si>
  <si>
    <t>дата оплаты</t>
  </si>
  <si>
    <t xml:space="preserve">Сумма </t>
  </si>
  <si>
    <t>долг</t>
  </si>
  <si>
    <t>сумма поступления</t>
  </si>
  <si>
    <t>Сумма договра</t>
  </si>
  <si>
    <t>Общие расходы</t>
  </si>
  <si>
    <t>№</t>
  </si>
  <si>
    <t>Прочие расходы</t>
  </si>
  <si>
    <t>Клиенты</t>
  </si>
  <si>
    <t>Расход на Фуру</t>
  </si>
  <si>
    <t>Расход авто город</t>
  </si>
  <si>
    <t>Сумма</t>
  </si>
  <si>
    <t>Дата счета</t>
  </si>
  <si>
    <t>Расход на склад</t>
  </si>
  <si>
    <t xml:space="preserve">Дельта Прибыль </t>
  </si>
  <si>
    <t>Затраты</t>
  </si>
  <si>
    <t>Оборот</t>
  </si>
  <si>
    <t>Общая сумма</t>
  </si>
  <si>
    <t>Общий долг</t>
  </si>
  <si>
    <t>Перевозчики</t>
  </si>
  <si>
    <t>НДС</t>
  </si>
  <si>
    <t xml:space="preserve">дата оплаты фуры </t>
  </si>
  <si>
    <t xml:space="preserve">дата оплаты расходов </t>
  </si>
  <si>
    <t xml:space="preserve">Оплаченные суммы фуры </t>
  </si>
  <si>
    <t>Оплаченные суммы пр. расходы</t>
  </si>
  <si>
    <t>Дата Перевозки</t>
  </si>
  <si>
    <t>/1</t>
  </si>
  <si>
    <t>71/3</t>
  </si>
  <si>
    <t>73/4</t>
  </si>
  <si>
    <t>76/5</t>
  </si>
  <si>
    <t>74/6</t>
  </si>
  <si>
    <t>87/7</t>
  </si>
  <si>
    <t>ООО ТК МВЛ</t>
  </si>
  <si>
    <t>Андрей</t>
  </si>
  <si>
    <t>109/8</t>
  </si>
  <si>
    <t>110/9</t>
  </si>
  <si>
    <t>111/10</t>
  </si>
  <si>
    <t>112/11</t>
  </si>
  <si>
    <t>113/12</t>
  </si>
  <si>
    <t>115/13</t>
  </si>
  <si>
    <t>117/14</t>
  </si>
  <si>
    <t>118/15</t>
  </si>
  <si>
    <t>119/16</t>
  </si>
  <si>
    <t>120/1</t>
  </si>
  <si>
    <t>121/2</t>
  </si>
  <si>
    <t>122/3</t>
  </si>
  <si>
    <t>123/4</t>
  </si>
  <si>
    <t>Комметраий</t>
  </si>
  <si>
    <t>ИП Наум</t>
  </si>
  <si>
    <t>ИП Завгородний</t>
  </si>
  <si>
    <t>Прикол, +25к на чай)</t>
  </si>
  <si>
    <t>по этому чсёту оплатил ООО ИНТРАНС 29.11.24, на ТК МВЛ</t>
  </si>
  <si>
    <t>И 13.12.24, ООО АРМАДА-ТРАНС 25к на мвл</t>
  </si>
  <si>
    <t>Дрочить Олю за оплату</t>
  </si>
  <si>
    <t>Выставить 16.12</t>
  </si>
  <si>
    <t>Штрафы</t>
  </si>
  <si>
    <t>%</t>
  </si>
  <si>
    <t>Сумма НДС</t>
  </si>
  <si>
    <t>9 4</t>
  </si>
  <si>
    <t>124/17</t>
  </si>
  <si>
    <t>125/18</t>
  </si>
  <si>
    <t>126/6</t>
  </si>
  <si>
    <t>127/19</t>
  </si>
  <si>
    <t>128/7</t>
  </si>
  <si>
    <t>129/8</t>
  </si>
  <si>
    <t>130/20</t>
  </si>
  <si>
    <t>131/13</t>
  </si>
  <si>
    <t>132/22</t>
  </si>
  <si>
    <t>133/23</t>
  </si>
  <si>
    <t>Чистый приход</t>
  </si>
  <si>
    <t>минус%</t>
  </si>
  <si>
    <t>Дельта прибыль заявки</t>
  </si>
  <si>
    <t>Менеджера</t>
  </si>
  <si>
    <t>Договор</t>
  </si>
  <si>
    <t>Зарплата</t>
  </si>
  <si>
    <t>Запралата за месяц</t>
  </si>
  <si>
    <t>Илья</t>
  </si>
  <si>
    <t>Настя</t>
  </si>
  <si>
    <t>Ещё</t>
  </si>
  <si>
    <t xml:space="preserve">И Ещё </t>
  </si>
  <si>
    <t xml:space="preserve">Всего </t>
  </si>
  <si>
    <t>Взял</t>
  </si>
  <si>
    <t>Остатки</t>
  </si>
  <si>
    <t>Аренда</t>
  </si>
  <si>
    <t>Сотрудники</t>
  </si>
  <si>
    <t>Сотовая связь</t>
  </si>
  <si>
    <t>Прибыль компании</t>
  </si>
  <si>
    <t>Оплаченные суммы пр. Расходы</t>
  </si>
  <si>
    <t>Остальные расходы</t>
  </si>
  <si>
    <t>Итог:</t>
  </si>
  <si>
    <t>Общее число расходов:</t>
  </si>
  <si>
    <t>Дельта прибыль:</t>
  </si>
  <si>
    <t>ЦРМ Система</t>
  </si>
  <si>
    <t>Женя</t>
  </si>
  <si>
    <t>Ильяс</t>
  </si>
  <si>
    <t>ИП Романова</t>
  </si>
  <si>
    <t>Налог</t>
  </si>
  <si>
    <t>Оплата</t>
  </si>
  <si>
    <t>За 1 перевозку</t>
  </si>
  <si>
    <t>За 2 перевозку</t>
  </si>
  <si>
    <t>Дата загрузки</t>
  </si>
  <si>
    <t>Дата выгрузки</t>
  </si>
  <si>
    <t>Водитель</t>
  </si>
  <si>
    <t>ЙЕЛЛОУ-ГРУПП</t>
  </si>
  <si>
    <t>15000 без</t>
  </si>
  <si>
    <t>Клиент ( dh-yg@bk.ru +79169759061 Данил)</t>
  </si>
  <si>
    <t>Клиент ( cb-pereezdov@mail.ru +79600162928 Максим)</t>
  </si>
  <si>
    <t>Ципилев К А</t>
  </si>
  <si>
    <t>фура 12</t>
  </si>
  <si>
    <t>фура 13</t>
  </si>
  <si>
    <t xml:space="preserve">10000 без </t>
  </si>
  <si>
    <t>Клиент (log13@parustk.ru +79291923135 Юлия)</t>
  </si>
  <si>
    <t>17000 ндс</t>
  </si>
  <si>
    <t>ПАРУС</t>
  </si>
  <si>
    <t>Бух-док-ттн-фото</t>
  </si>
  <si>
    <t>срок оплаты</t>
  </si>
  <si>
    <t>Гамилова</t>
  </si>
  <si>
    <t>8000 без</t>
  </si>
  <si>
    <t xml:space="preserve">Мой клиент </t>
  </si>
  <si>
    <t>9000 без</t>
  </si>
  <si>
    <t xml:space="preserve">без почты макс </t>
  </si>
  <si>
    <t>К10</t>
  </si>
  <si>
    <t>ООО ТЛК "ВенТранс"</t>
  </si>
  <si>
    <t>клиент ( ventrans@yandex.ru +79030934325)</t>
  </si>
  <si>
    <t>Сама привезла</t>
  </si>
  <si>
    <t xml:space="preserve">клиент ( anna-maria@motlog.ru +79200619188 Анна-Мария) </t>
  </si>
  <si>
    <t>Трнаспорт</t>
  </si>
  <si>
    <t>Фура 13</t>
  </si>
  <si>
    <t xml:space="preserve">ООО Вип груз </t>
  </si>
  <si>
    <t>Фура забирает</t>
  </si>
  <si>
    <t>Клиент ( ipatov.vladislav@bk.ru+7 993 533-40-64 Анна )</t>
  </si>
  <si>
    <t>Знаю ее</t>
  </si>
  <si>
    <t xml:space="preserve">8000 без </t>
  </si>
  <si>
    <t>Ип Роженков И.В</t>
  </si>
  <si>
    <t>фура забирает</t>
  </si>
  <si>
    <t>Клиент ( t079@yandex.ru ++7 920 056-73-56 Галина)</t>
  </si>
  <si>
    <t>фура</t>
  </si>
  <si>
    <t>ип Сизова Г.В</t>
  </si>
  <si>
    <t>Клиент (ipsizova19@mail.ru +7  (915)  7519339 Галина)</t>
  </si>
  <si>
    <t>Русдорзнак</t>
  </si>
  <si>
    <t>20000 без</t>
  </si>
  <si>
    <t>6500 без</t>
  </si>
  <si>
    <t>Фура 15</t>
  </si>
  <si>
    <t>фура 15</t>
  </si>
  <si>
    <t>Клиент ( logist@rusdorznak.ru +7 906 301-09-73 Галина)</t>
  </si>
  <si>
    <t>Экспресс-ст</t>
  </si>
  <si>
    <t>12000 без</t>
  </si>
  <si>
    <t>Клиент ( expressperm@bk.ru +7 912 881-00-16 Иван)</t>
  </si>
  <si>
    <t>НПК</t>
  </si>
  <si>
    <t>Клиент ( 5860456@npksm.ru+7 (953) 586-04-56 Иван</t>
  </si>
  <si>
    <t>21000 ндс</t>
  </si>
  <si>
    <t>СТД Развитие</t>
  </si>
  <si>
    <t>25000 ндс</t>
  </si>
  <si>
    <t>Клиент ( stdrazvitie@yandex.ru 7 (812)  9252660  Дмитрий</t>
  </si>
  <si>
    <t>ООО АВИКАР</t>
  </si>
  <si>
    <t>20000 ндс</t>
  </si>
  <si>
    <t>Клиент (logistavikar@mail.ru +7 965 603-25-54</t>
  </si>
  <si>
    <t>Костин</t>
  </si>
  <si>
    <t>Фура 16</t>
  </si>
  <si>
    <t>фура 16</t>
  </si>
  <si>
    <t>Клиент ( s.kulagina@dl24.su +79612429341)</t>
  </si>
  <si>
    <t>7 960 365-9599</t>
  </si>
  <si>
    <t>дл24</t>
  </si>
  <si>
    <t>13000 без</t>
  </si>
  <si>
    <t>Клиент (ukonstreem@yandex.ru +7 965 059-88-05 Влидислав )</t>
  </si>
  <si>
    <t>ООО Юкон Стрим</t>
  </si>
  <si>
    <t>ООО «ТЛК «АЗИМУТ»</t>
  </si>
  <si>
    <t>37000 НДС</t>
  </si>
  <si>
    <t>ФУРА 15</t>
  </si>
  <si>
    <t xml:space="preserve">Клиент (tkazimut777@yandex.ru 89010470005 Руслан) </t>
  </si>
  <si>
    <t>25000 без</t>
  </si>
  <si>
    <t>фура 470000</t>
  </si>
  <si>
    <t>Елисеев Роман Николаевич</t>
  </si>
  <si>
    <t>Клиент (domobil@yandex.ru  +7 965 723-37-77 Роман)</t>
  </si>
  <si>
    <t>Тутубалин Д.В</t>
  </si>
  <si>
    <t>ФУРА 16</t>
  </si>
  <si>
    <t>Клиент ( domobil@yandex.ru 7 960 096-96-80 Денис</t>
  </si>
  <si>
    <t>тэк Юником Карго</t>
  </si>
  <si>
    <t>8000 БЕЗ</t>
  </si>
  <si>
    <t>6000 без</t>
  </si>
  <si>
    <t>30000 ндс</t>
  </si>
  <si>
    <t>10000 ндс</t>
  </si>
  <si>
    <t>ИП Митяева Т.В</t>
  </si>
  <si>
    <t>20000 БЕЗ</t>
  </si>
  <si>
    <t>ФУРА 17</t>
  </si>
  <si>
    <t>Клиент ( 32ilya69@mail.ru +7 962 143-55-75 Илья</t>
  </si>
  <si>
    <t>Лидер Тракт</t>
  </si>
  <si>
    <t>фура 17</t>
  </si>
  <si>
    <t>Клиент (a.rozhkov@lider-truck.ru 79162188302)</t>
  </si>
  <si>
    <t>ИП Трошина О Е</t>
  </si>
  <si>
    <t>Клиент (e.korol@agrotrans.ooo 89267098114 екатерина)</t>
  </si>
  <si>
    <t>03.07,2026</t>
  </si>
  <si>
    <t>фура 470000 ндс</t>
  </si>
  <si>
    <t>08-09.07.2026</t>
  </si>
  <si>
    <t>ООО ТК "СИБИТЭК"</t>
  </si>
  <si>
    <t>12000 ндс</t>
  </si>
  <si>
    <t>фура 18</t>
  </si>
  <si>
    <t>Клиент (perevozzka138@yandex.ru +7 964 808-77-76 Ольга)</t>
  </si>
  <si>
    <t>7 926 357-86-09</t>
  </si>
  <si>
    <t>ООО ТД АртТекс</t>
  </si>
  <si>
    <t>5000 без</t>
  </si>
  <si>
    <t xml:space="preserve">Клиент (zua@art-tex37.ru +7 980 686-90-77 Юлья) </t>
  </si>
  <si>
    <t>7(916)-657-36-23</t>
  </si>
  <si>
    <t xml:space="preserve">Дельта </t>
  </si>
  <si>
    <t>19000 без</t>
  </si>
  <si>
    <t>Клиент(logistic@bkdelta.ru Дальмя в Максе )</t>
  </si>
  <si>
    <t>7 925 022-90-21</t>
  </si>
  <si>
    <t>ТЭК Глобал логистик Ямал</t>
  </si>
  <si>
    <t>сам привезет</t>
  </si>
  <si>
    <t>СТК СИРИУССТРОЙ</t>
  </si>
  <si>
    <t>8500 БЕЗ</t>
  </si>
  <si>
    <t>ФУРА 18</t>
  </si>
  <si>
    <t>Клиент( logist.2@bk.ruДанил+7  (932)  0505101)</t>
  </si>
  <si>
    <t>Клиент(logist@ir-mash.ru8-964-281-44-85 ОЛЬГА)</t>
  </si>
  <si>
    <t xml:space="preserve">Мой клиент константин </t>
  </si>
  <si>
    <t>195000 без</t>
  </si>
  <si>
    <t>35000  без</t>
  </si>
  <si>
    <t>клиент костя 89146384325</t>
  </si>
  <si>
    <t>7 908 300-30-35</t>
  </si>
  <si>
    <t xml:space="preserve">Взлет </t>
  </si>
  <si>
    <t>33000 без</t>
  </si>
  <si>
    <t>фура 21</t>
  </si>
  <si>
    <t>Клиент (vefremova@vztr.ru +7 911 180-43-80 ВИОЛЕТА )</t>
  </si>
  <si>
    <t>Без заявки</t>
  </si>
  <si>
    <t>Клиент ( ventrans@yandex.ru</t>
  </si>
  <si>
    <t>фура 22</t>
  </si>
  <si>
    <t>ИП Тутубалин Д.В</t>
  </si>
  <si>
    <t>8000 ндс</t>
  </si>
  <si>
    <t>7 962 969-00-88</t>
  </si>
  <si>
    <t>ИП Юрченко А.А</t>
  </si>
  <si>
    <t>9000 БЕЗ</t>
  </si>
  <si>
    <t>ФУРА 22</t>
  </si>
  <si>
    <t>Клиент ( tolokinstanislav@yandex.ru +7 988 483-47-50 Стас</t>
  </si>
  <si>
    <t>7 905 776-30-07</t>
  </si>
  <si>
    <t>ДЕЛПИ-КАРГО</t>
  </si>
  <si>
    <t>6000 БЕЗ</t>
  </si>
  <si>
    <t xml:space="preserve">КЛИЕНТ (nch@delpi-cargo.com +7 993 483-20-01 Николай) </t>
  </si>
  <si>
    <t>СПЕЦМАШИНЕРИ</t>
  </si>
  <si>
    <t>12000 БЕЗ</t>
  </si>
  <si>
    <t>Клиент (olgarusanova17@gmail.com +7 (905)  1092722)</t>
  </si>
  <si>
    <t>БалтВэдПрофи</t>
  </si>
  <si>
    <t>120000 без</t>
  </si>
  <si>
    <t xml:space="preserve">Клиент 89114566186 по айти </t>
  </si>
  <si>
    <t>ТЭК Автологист - 22</t>
  </si>
  <si>
    <t>15000 без с боц</t>
  </si>
  <si>
    <t>фура 24</t>
  </si>
  <si>
    <t>Клиент ( manager45@dl24.su Игорь 89685928874)</t>
  </si>
  <si>
    <t>клиент ( irleonova@vztr.ru ирина )</t>
  </si>
  <si>
    <t>16 000 ндс</t>
  </si>
  <si>
    <t>клиент через макс</t>
  </si>
  <si>
    <t>ДА ТРАНС МСК</t>
  </si>
  <si>
    <t>13 000 БЕЗ</t>
  </si>
  <si>
    <t>КЛИЕНТ ( 89648483658 ЮЛИЯ zhivova@datrans.ru)</t>
  </si>
  <si>
    <t xml:space="preserve"> Аверс-Авто М</t>
  </si>
  <si>
    <t>18900 ндс</t>
  </si>
  <si>
    <t>фура 27</t>
  </si>
  <si>
    <t>7 915 510-06-42</t>
  </si>
  <si>
    <t>Потапенко Е.Н</t>
  </si>
  <si>
    <t>14 000 БЕЗ</t>
  </si>
  <si>
    <t>ЛЕНА</t>
  </si>
  <si>
    <t>7 985 826-00-42</t>
  </si>
  <si>
    <t xml:space="preserve">Клиент ( evrotransporter@gmail.com 7 995 625-88-01 Евгений </t>
  </si>
  <si>
    <t>по приезду</t>
  </si>
  <si>
    <t>Фортуна</t>
  </si>
  <si>
    <t>Лена</t>
  </si>
  <si>
    <t>Клиент (ilia.ati@mail.ru 89622420244 Илья)</t>
  </si>
  <si>
    <t>Клиент ( dkulymov@yandex.ru+7 901 271-82-32 Дмитрий )</t>
  </si>
  <si>
    <t>7 925 548-57-35</t>
  </si>
  <si>
    <t>27000 ндс</t>
  </si>
  <si>
    <t>Клиент (7 931 102-38-59 Ирина )</t>
  </si>
  <si>
    <t>7 918 193-25-42</t>
  </si>
  <si>
    <t>кулымов д.с</t>
  </si>
  <si>
    <t>14 000 без</t>
  </si>
  <si>
    <t>лена</t>
  </si>
  <si>
    <t xml:space="preserve">клиент ( макс 89068063818 </t>
  </si>
  <si>
    <t xml:space="preserve">Клиент (s.lobanenko@unicomtk.ru 7 925 292-32-82 Станислав </t>
  </si>
  <si>
    <t>Мау</t>
  </si>
  <si>
    <t>17000 без</t>
  </si>
  <si>
    <t>Трошина О Е</t>
  </si>
  <si>
    <t>фура 28</t>
  </si>
  <si>
    <t>ИП Ципилев К.А</t>
  </si>
  <si>
    <t>клиент (cb-pereezdov@mail.ru +7 906 280 17 14)</t>
  </si>
  <si>
    <t>Люстоград</t>
  </si>
  <si>
    <t>СК ТЭК</t>
  </si>
  <si>
    <t>Фура 28</t>
  </si>
  <si>
    <t>Клиент ( info@sktek.ru Олег черет тг)</t>
  </si>
  <si>
    <t>Клиент ( domobil@yandex.ru+7 965 723 37 77 Роман )</t>
  </si>
  <si>
    <t xml:space="preserve">ООО Куллинан </t>
  </si>
  <si>
    <t xml:space="preserve">ООО Геотексинт </t>
  </si>
  <si>
    <t>фура 570000</t>
  </si>
  <si>
    <t xml:space="preserve"> </t>
  </si>
  <si>
    <t xml:space="preserve">Клиент (log1@geotexsint.ru+7 995 985-61-75 Анна 
Клиент( logistikagruzov@bk.ru +7 920 028-90-28 Мария
</t>
  </si>
  <si>
    <t>ООО Рейвел</t>
  </si>
  <si>
    <t>фура 520000</t>
  </si>
  <si>
    <t>фура 540 000</t>
  </si>
  <si>
    <t xml:space="preserve"> и костин клиент 305.000</t>
  </si>
  <si>
    <t>Друг дорог</t>
  </si>
  <si>
    <t>фура 29</t>
  </si>
  <si>
    <t>Клиент ( logist4@drugdorog.com 89916104169 Вадим</t>
  </si>
  <si>
    <t>7 977 967 70 72</t>
  </si>
  <si>
    <t>Тэк Карго</t>
  </si>
  <si>
    <t>Клиент (ati@agrotrans.ooo 7 926 709-81-14 Екатерина)</t>
  </si>
  <si>
    <t>37000 ндс</t>
  </si>
  <si>
    <t>20000 НДС</t>
  </si>
  <si>
    <t>Денис в Мах</t>
  </si>
  <si>
    <t>5000 БЕЗ</t>
  </si>
  <si>
    <t>ФУРА 29</t>
  </si>
  <si>
    <t>ESG Логистика</t>
  </si>
  <si>
    <t>13000 НДС</t>
  </si>
  <si>
    <t>Клиент (dispatcher03@esg-mos.ru 89856744592 Мария)</t>
  </si>
  <si>
    <t xml:space="preserve">Нижегородский Экспрес </t>
  </si>
  <si>
    <t>10000 без</t>
  </si>
  <si>
    <t>фура 30</t>
  </si>
  <si>
    <t>Клиент (logist60@ne52.ru +7 952 476-53-69 Марина)</t>
  </si>
  <si>
    <t>7 952 454 62 26</t>
  </si>
  <si>
    <t>Мой клиент в мах</t>
  </si>
  <si>
    <t>7000 без</t>
  </si>
  <si>
    <t>Хоть когда</t>
  </si>
  <si>
    <t>7 977 928 69 58</t>
  </si>
  <si>
    <t>ФУРА 30</t>
  </si>
  <si>
    <t>ФВ ЛОГ</t>
  </si>
  <si>
    <t>15000 БЕЗ</t>
  </si>
  <si>
    <t>Панюшкин С Н</t>
  </si>
  <si>
    <t xml:space="preserve">ФУРА </t>
  </si>
  <si>
    <t>Клиент (anna-maria@motlog.ru +7 920 061-91-88 АННА)</t>
  </si>
  <si>
    <t>ООО Транс-Эспресс</t>
  </si>
  <si>
    <t>Клиент (trans-express1@mail.ru Артем 89251824578</t>
  </si>
  <si>
    <t>145000 ндс</t>
  </si>
  <si>
    <t>Вид опл</t>
  </si>
  <si>
    <t xml:space="preserve"> нал</t>
  </si>
  <si>
    <t xml:space="preserve">без </t>
  </si>
  <si>
    <t xml:space="preserve"> ндс</t>
  </si>
  <si>
    <t xml:space="preserve"> без</t>
  </si>
  <si>
    <t xml:space="preserve"> НДС</t>
  </si>
  <si>
    <t xml:space="preserve"> БЕЗ</t>
  </si>
  <si>
    <t>600000  ндс</t>
  </si>
  <si>
    <t xml:space="preserve">МАХ 7 926 949 94 62 </t>
  </si>
  <si>
    <t>ИП Кулманбетов Р.Ф</t>
  </si>
  <si>
    <t>13000 БЕЗ</t>
  </si>
  <si>
    <t>ФУРА 34</t>
  </si>
  <si>
    <t>Клиент (stalimax@mail.ru 7 (904) 256 29 70 денис)</t>
  </si>
  <si>
    <t xml:space="preserve">Мой клиент без заявки </t>
  </si>
  <si>
    <t>нал</t>
  </si>
  <si>
    <t>12.500 ндс</t>
  </si>
  <si>
    <t>фура 34</t>
  </si>
  <si>
    <t>клиент ( МАХ Мыкола Поросюк)</t>
  </si>
  <si>
    <t>40000 ндс</t>
  </si>
  <si>
    <t>35000 без</t>
  </si>
  <si>
    <t>фура 35</t>
  </si>
  <si>
    <t>Клиент (+7 981 932 42 42 Иван без заявки макс )</t>
  </si>
  <si>
    <t>ндс</t>
  </si>
  <si>
    <t>18000 ндс</t>
  </si>
  <si>
    <t>(Клиент sib_camper@mail.ru+7 999 682 16 09 алена)</t>
  </si>
  <si>
    <t xml:space="preserve">Эверест </t>
  </si>
  <si>
    <t>Клиент ( Матвей +7 920 653 33 11 Надо сделать с ним заявку)</t>
  </si>
  <si>
    <t>Вектор</t>
  </si>
  <si>
    <t>у Лили</t>
  </si>
  <si>
    <t>ТК-ЗВЕЗДА</t>
  </si>
  <si>
    <t>НАЛ</t>
  </si>
  <si>
    <t>Клиент (tk-zvezda@bk.ru +7 991 514 98 66 Сергей )</t>
  </si>
  <si>
    <t>7 911 883 94 39</t>
  </si>
  <si>
    <t xml:space="preserve">ИП Шувалов. А.Ю </t>
  </si>
  <si>
    <t>10000 БЕЗ</t>
  </si>
  <si>
    <t>Клиент ( logist@nmkz.ru+7 918 565 27 77 полина )</t>
  </si>
  <si>
    <t>7 915 078 99 42</t>
  </si>
  <si>
    <t>ИП Вириче Ю А</t>
  </si>
  <si>
    <t>ФУРА 37</t>
  </si>
  <si>
    <t>КЛИЕНТ (+7 912 862 42 39 Юрий)</t>
  </si>
  <si>
    <t>7 906 060 66 51</t>
  </si>
  <si>
    <t>ООО НТК54</t>
  </si>
  <si>
    <t>18000 БЕЗ</t>
  </si>
  <si>
    <t>Клиент (ntk54-info@ntk54.ru +7 923 154 01 13 Егор)</t>
  </si>
  <si>
    <t>7 937 226 66 64</t>
  </si>
  <si>
    <t>ООО Наш Дом</t>
  </si>
  <si>
    <t>16000 без</t>
  </si>
  <si>
    <t>фура 38</t>
  </si>
  <si>
    <t>клиент (+7 924 710 83 58Ольга  Макс)</t>
  </si>
  <si>
    <t>У Тани</t>
  </si>
  <si>
    <t>Братья Экспедиторы</t>
  </si>
  <si>
    <t>22000 ндс</t>
  </si>
  <si>
    <t>клиент (+7 953 773 54 77 Елена в Мккс)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</si>
</sst>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#,##0.00\ &quot;₽&quot;"/>
    <numFmt numFmtId="166" formatCode="#,##0\ &quot;₽&quot;"/>
    <numFmt numFmtId="167" formatCode="_-* #,##0\ &quot;₽&quot;_-;\-* #,##0\ &quot;₽&quot;_-;_-* &quot;-&quot;??\ &quot;₽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6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sz val="36"/>
      <color theme="1"/>
      <name val="Times New Roman"/>
      <family val="1"/>
    </font>
    <font>
      <sz val="11"/>
      <color rgb="FFFF0000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6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3" fillId="10" borderId="4" xfId="0" applyFont="1" applyFill="1" applyBorder="1" applyAlignment="1" applyProtection="1">
      <alignment horizontal="center" vertical="center" wrapText="1"/>
      <protection locked="0"/>
    </xf>
    <xf numFmtId="0" fontId="3" fillId="11" borderId="4" xfId="0" applyFont="1" applyFill="1" applyBorder="1" applyAlignment="1" applyProtection="1">
      <alignment horizontal="center" vertical="center" wrapText="1"/>
      <protection locked="0"/>
    </xf>
    <xf numFmtId="0" fontId="3" fillId="7" borderId="5" xfId="0" applyFont="1" applyFill="1" applyBorder="1" applyAlignment="1">
      <alignment horizontal="center" vertical="top" wrapText="1"/>
    </xf>
    <xf numFmtId="165" fontId="3" fillId="7" borderId="4" xfId="0" applyNumberFormat="1" applyFont="1" applyFill="1" applyBorder="1" applyAlignment="1" applyProtection="1">
      <alignment horizontal="center" vertical="top" wrapText="1"/>
      <protection locked="0"/>
    </xf>
    <xf numFmtId="165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top" wrapText="1"/>
      <protection locked="0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14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165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14" fontId="4" fillId="7" borderId="1" xfId="0" applyNumberFormat="1" applyFont="1" applyFill="1" applyBorder="1" applyAlignment="1" applyProtection="1">
      <alignment horizontal="center" vertical="center"/>
      <protection locked="0"/>
    </xf>
    <xf numFmtId="165" fontId="4" fillId="9" borderId="1" xfId="0" applyNumberFormat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9" borderId="1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14" fontId="3" fillId="7" borderId="10" xfId="0" applyNumberFormat="1" applyFont="1" applyFill="1" applyBorder="1" applyAlignment="1" applyProtection="1">
      <alignment horizontal="center" vertical="top" wrapText="1"/>
      <protection locked="0"/>
    </xf>
    <xf numFmtId="14" fontId="4" fillId="6" borderId="2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165" fontId="4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165" fontId="4" fillId="0" borderId="13" xfId="0" applyNumberFormat="1" applyFont="1" applyBorder="1" applyAlignment="1" applyProtection="1">
      <alignment horizontal="center" vertical="center" wrapText="1"/>
      <protection locked="0"/>
    </xf>
    <xf numFmtId="165" fontId="4" fillId="9" borderId="14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14" fontId="3" fillId="7" borderId="4" xfId="0" applyNumberFormat="1" applyFont="1" applyFill="1" applyBorder="1" applyAlignment="1" applyProtection="1">
      <alignment horizontal="center" vertical="center"/>
      <protection locked="0"/>
    </xf>
    <xf numFmtId="165" fontId="3" fillId="7" borderId="4" xfId="0" applyNumberFormat="1" applyFont="1" applyFill="1" applyBorder="1" applyAlignment="1" applyProtection="1">
      <alignment horizontal="center" vertical="center" wrapText="1"/>
      <protection locked="0"/>
    </xf>
    <xf numFmtId="165" fontId="3" fillId="9" borderId="4" xfId="0" applyNumberFormat="1" applyFont="1" applyFill="1" applyBorder="1" applyAlignment="1">
      <alignment horizontal="center" vertical="center"/>
    </xf>
    <xf numFmtId="0" fontId="3" fillId="9" borderId="9" xfId="0" applyFont="1" applyFill="1" applyBorder="1" applyAlignment="1" applyProtection="1">
      <alignment horizontal="center" vertical="center"/>
      <protection locked="0"/>
    </xf>
    <xf numFmtId="165" fontId="3" fillId="9" borderId="15" xfId="0" applyNumberFormat="1" applyFont="1" applyFill="1" applyBorder="1" applyAlignment="1">
      <alignment horizontal="right" vertical="center"/>
    </xf>
    <xf numFmtId="0" fontId="3" fillId="11" borderId="16" xfId="0" applyFont="1" applyFill="1" applyBorder="1" applyAlignment="1" applyProtection="1">
      <alignment horizontal="center" vertical="center" wrapText="1"/>
      <protection locked="0"/>
    </xf>
    <xf numFmtId="165" fontId="3" fillId="11" borderId="17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/>
    <xf numFmtId="0" fontId="4" fillId="0" borderId="0" xfId="0" applyFont="1" applyProtection="1">
      <protection locked="0"/>
    </xf>
    <xf numFmtId="0" fontId="4" fillId="11" borderId="1" xfId="0" applyFont="1" applyFill="1" applyBorder="1" applyAlignment="1" applyProtection="1">
      <alignment horizontal="left" vertical="center" wrapText="1"/>
      <protection locked="0"/>
    </xf>
    <xf numFmtId="0" fontId="4" fillId="11" borderId="2" xfId="0" applyFont="1" applyFill="1" applyBorder="1" applyProtection="1">
      <protection locked="0"/>
    </xf>
    <xf numFmtId="0" fontId="4" fillId="7" borderId="1" xfId="0" applyFont="1" applyFill="1" applyBorder="1"/>
    <xf numFmtId="0" fontId="2" fillId="0" borderId="0" xfId="0" applyFont="1" applyAlignment="1">
      <alignment horizontal="center" vertical="center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14" fontId="4" fillId="7" borderId="14" xfId="0" applyNumberFormat="1" applyFont="1" applyFill="1" applyBorder="1" applyAlignment="1" applyProtection="1">
      <alignment horizontal="center" vertical="center"/>
      <protection locked="0"/>
    </xf>
    <xf numFmtId="165" fontId="4" fillId="7" borderId="14" xfId="0" applyNumberFormat="1" applyFont="1" applyFill="1" applyBorder="1" applyAlignment="1" applyProtection="1">
      <alignment horizontal="center" vertical="center"/>
      <protection locked="0"/>
    </xf>
    <xf numFmtId="165" fontId="4" fillId="7" borderId="1" xfId="0" applyNumberFormat="1" applyFont="1" applyFill="1" applyBorder="1" applyAlignment="1" applyProtection="1">
      <alignment horizontal="center" vertical="center"/>
      <protection locked="0"/>
    </xf>
    <xf numFmtId="14" fontId="3" fillId="11" borderId="4" xfId="0" applyNumberFormat="1" applyFont="1" applyFill="1" applyBorder="1" applyAlignment="1" applyProtection="1">
      <alignment horizontal="center" vertical="center" wrapText="1"/>
      <protection locked="0"/>
    </xf>
    <xf numFmtId="14" fontId="4" fillId="11" borderId="14" xfId="0" applyNumberFormat="1" applyFont="1" applyFill="1" applyBorder="1" applyAlignment="1" applyProtection="1">
      <alignment horizontal="center" vertical="center"/>
      <protection locked="0"/>
    </xf>
    <xf numFmtId="165" fontId="4" fillId="11" borderId="14" xfId="0" applyNumberFormat="1" applyFont="1" applyFill="1" applyBorder="1" applyAlignment="1" applyProtection="1">
      <alignment horizontal="center" vertical="center"/>
      <protection locked="0"/>
    </xf>
    <xf numFmtId="14" fontId="4" fillId="11" borderId="1" xfId="0" applyNumberFormat="1" applyFont="1" applyFill="1" applyBorder="1" applyAlignment="1" applyProtection="1">
      <alignment horizontal="center" vertical="center"/>
      <protection locked="0"/>
    </xf>
    <xf numFmtId="165" fontId="4" fillId="11" borderId="1" xfId="0" applyNumberFormat="1" applyFont="1" applyFill="1" applyBorder="1" applyAlignment="1" applyProtection="1">
      <alignment horizontal="center" vertical="center"/>
      <protection locked="0"/>
    </xf>
    <xf numFmtId="1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2" xfId="0" applyFont="1" applyFill="1" applyBorder="1" applyAlignment="1" applyProtection="1">
      <alignment horizontal="left"/>
      <protection locked="0"/>
    </xf>
    <xf numFmtId="165" fontId="3" fillId="11" borderId="4" xfId="0" applyNumberFormat="1" applyFont="1" applyFill="1" applyBorder="1" applyAlignment="1" applyProtection="1">
      <alignment horizontal="center" vertical="top" wrapText="1"/>
      <protection locked="0"/>
    </xf>
    <xf numFmtId="0" fontId="3" fillId="7" borderId="16" xfId="0" applyFont="1" applyFill="1" applyBorder="1" applyAlignment="1" applyProtection="1">
      <alignment horizontal="center" vertical="top" wrapText="1"/>
      <protection locked="0"/>
    </xf>
    <xf numFmtId="0" fontId="4" fillId="6" borderId="19" xfId="0" applyFont="1" applyFill="1" applyBorder="1" applyAlignment="1" applyProtection="1">
      <alignment horizontal="center" vertical="center" wrapTex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165" fontId="4" fillId="6" borderId="14" xfId="0" applyNumberFormat="1" applyFont="1" applyFill="1" applyBorder="1" applyAlignment="1" applyProtection="1">
      <alignment horizontal="center" vertical="center" wrapText="1"/>
      <protection locked="0"/>
    </xf>
    <xf numFmtId="165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3" xfId="0" applyNumberFormat="1" applyFont="1" applyFill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5" fillId="11" borderId="23" xfId="0" applyFont="1" applyFill="1" applyBorder="1" applyAlignment="1" applyProtection="1">
      <alignment horizontal="center" vertical="center" wrapText="1"/>
      <protection locked="0"/>
    </xf>
    <xf numFmtId="0" fontId="5" fillId="11" borderId="14" xfId="0" applyFont="1" applyFill="1" applyBorder="1" applyAlignment="1" applyProtection="1">
      <alignment horizontal="center" vertical="center" wrapText="1"/>
      <protection locked="0"/>
    </xf>
    <xf numFmtId="165" fontId="3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left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165" fontId="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12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5" fontId="4" fillId="0" borderId="1" xfId="0" applyNumberFormat="1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165" fontId="4" fillId="0" borderId="1" xfId="0" applyNumberFormat="1" applyFont="1" applyBorder="1" applyAlignment="1" applyProtection="1">
      <alignment vertical="top"/>
      <protection locked="0"/>
    </xf>
    <xf numFmtId="165" fontId="4" fillId="0" borderId="1" xfId="0" applyNumberFormat="1" applyFont="1" applyBorder="1" applyAlignment="1" applyProtection="1">
      <alignment horizontal="left" vertical="top"/>
      <protection locked="0"/>
    </xf>
    <xf numFmtId="0" fontId="4" fillId="0" borderId="1" xfId="0" applyFont="1" applyBorder="1" applyProtection="1">
      <protection locked="0"/>
    </xf>
    <xf numFmtId="165" fontId="4" fillId="0" borderId="14" xfId="0" applyNumberFormat="1" applyFont="1" applyBorder="1" applyAlignment="1" applyProtection="1">
      <alignment horizontal="center" vertical="top" wrapText="1"/>
      <protection locked="0"/>
    </xf>
    <xf numFmtId="165" fontId="4" fillId="0" borderId="14" xfId="0" applyNumberFormat="1" applyFont="1" applyBorder="1" applyAlignment="1" applyProtection="1">
      <alignment vertical="top"/>
      <protection locked="0"/>
    </xf>
    <xf numFmtId="165" fontId="4" fillId="0" borderId="14" xfId="0" applyNumberFormat="1" applyFont="1" applyBorder="1" applyAlignment="1" applyProtection="1">
      <alignment horizontal="left" vertical="top"/>
      <protection locked="0"/>
    </xf>
    <xf numFmtId="0" fontId="4" fillId="0" borderId="14" xfId="0" applyFont="1" applyBorder="1" applyProtection="1">
      <protection locked="0"/>
    </xf>
    <xf numFmtId="165" fontId="4" fillId="7" borderId="23" xfId="0" applyNumberFormat="1" applyFont="1" applyFill="1" applyBorder="1"/>
    <xf numFmtId="165" fontId="4" fillId="0" borderId="23" xfId="0" applyNumberFormat="1" applyFont="1" applyBorder="1" applyAlignment="1" applyProtection="1">
      <alignment horizontal="center" vertical="top" wrapText="1"/>
      <protection locked="0"/>
    </xf>
    <xf numFmtId="165" fontId="4" fillId="0" borderId="23" xfId="0" applyNumberFormat="1" applyFont="1" applyBorder="1" applyAlignment="1" applyProtection="1">
      <alignment vertical="top"/>
      <protection locked="0"/>
    </xf>
    <xf numFmtId="165" fontId="4" fillId="0" borderId="23" xfId="0" applyNumberFormat="1" applyFont="1" applyBorder="1" applyAlignment="1" applyProtection="1">
      <alignment horizontal="left" vertical="top"/>
      <protection locked="0"/>
    </xf>
    <xf numFmtId="0" fontId="4" fillId="0" borderId="23" xfId="0" applyFont="1" applyBorder="1" applyProtection="1">
      <protection locked="0"/>
    </xf>
    <xf numFmtId="165" fontId="4" fillId="0" borderId="22" xfId="0" applyNumberFormat="1" applyFont="1" applyBorder="1" applyAlignment="1" applyProtection="1">
      <alignment horizontal="center" vertical="top" wrapText="1"/>
      <protection locked="0"/>
    </xf>
    <xf numFmtId="165" fontId="4" fillId="0" borderId="22" xfId="0" applyNumberFormat="1" applyFont="1" applyBorder="1" applyAlignment="1" applyProtection="1">
      <alignment vertical="top"/>
      <protection locked="0"/>
    </xf>
    <xf numFmtId="165" fontId="4" fillId="0" borderId="22" xfId="0" applyNumberFormat="1" applyFont="1" applyBorder="1" applyAlignment="1" applyProtection="1">
      <alignment horizontal="left" vertical="top"/>
      <protection locked="0"/>
    </xf>
    <xf numFmtId="0" fontId="4" fillId="0" borderId="22" xfId="0" applyFont="1" applyBorder="1" applyProtection="1">
      <protection locked="0"/>
    </xf>
    <xf numFmtId="165" fontId="4" fillId="0" borderId="25" xfId="0" applyNumberFormat="1" applyFont="1" applyBorder="1" applyAlignment="1" applyProtection="1">
      <alignment horizontal="center" vertical="top" wrapText="1"/>
      <protection locked="0"/>
    </xf>
    <xf numFmtId="165" fontId="4" fillId="0" borderId="25" xfId="0" applyNumberFormat="1" applyFont="1" applyBorder="1" applyAlignment="1" applyProtection="1">
      <alignment vertical="top"/>
      <protection locked="0"/>
    </xf>
    <xf numFmtId="165" fontId="4" fillId="0" borderId="25" xfId="0" applyNumberFormat="1" applyFont="1" applyBorder="1" applyAlignment="1" applyProtection="1">
      <alignment horizontal="left" vertical="top"/>
      <protection locked="0"/>
    </xf>
    <xf numFmtId="0" fontId="4" fillId="0" borderId="25" xfId="0" applyFont="1" applyBorder="1" applyProtection="1">
      <protection locked="0"/>
    </xf>
    <xf numFmtId="165" fontId="4" fillId="11" borderId="22" xfId="0" applyNumberFormat="1" applyFont="1" applyFill="1" applyBorder="1" applyAlignment="1" applyProtection="1">
      <alignment horizontal="center" vertical="top" wrapText="1"/>
      <protection locked="0"/>
    </xf>
    <xf numFmtId="165" fontId="4" fillId="11" borderId="22" xfId="0" applyNumberFormat="1" applyFont="1" applyFill="1" applyBorder="1" applyAlignment="1" applyProtection="1">
      <alignment vertical="top"/>
      <protection locked="0"/>
    </xf>
    <xf numFmtId="165" fontId="4" fillId="11" borderId="22" xfId="0" applyNumberFormat="1" applyFont="1" applyFill="1" applyBorder="1" applyAlignment="1" applyProtection="1">
      <alignment horizontal="left" vertical="top"/>
      <protection locked="0"/>
    </xf>
    <xf numFmtId="165" fontId="4" fillId="0" borderId="22" xfId="0" applyNumberFormat="1" applyFont="1" applyBorder="1" applyAlignment="1" applyProtection="1">
      <alignment horizontal="left" vertical="top" wrapText="1"/>
      <protection locked="0"/>
    </xf>
    <xf numFmtId="0" fontId="4" fillId="0" borderId="22" xfId="0" applyFont="1" applyBorder="1" applyAlignment="1" applyProtection="1">
      <alignment horizontal="left" vertical="top" wrapText="1"/>
      <protection locked="0"/>
    </xf>
    <xf numFmtId="166" fontId="3" fillId="3" borderId="8" xfId="0" applyNumberFormat="1" applyFont="1" applyFill="1" applyBorder="1" applyAlignment="1">
      <alignment horizontal="right" vertical="center" wrapText="1"/>
    </xf>
    <xf numFmtId="167" fontId="3" fillId="3" borderId="12" xfId="0" applyNumberFormat="1" applyFont="1" applyFill="1" applyBorder="1" applyAlignment="1">
      <alignment vertical="center" wrapText="1"/>
    </xf>
    <xf numFmtId="166" fontId="3" fillId="2" borderId="12" xfId="1" applyNumberFormat="1" applyFont="1" applyFill="1" applyBorder="1" applyAlignment="1" applyProtection="1">
      <alignment horizontal="center" vertical="center" wrapText="1"/>
    </xf>
    <xf numFmtId="165" fontId="4" fillId="0" borderId="1" xfId="0" applyNumberFormat="1" applyFont="1" applyBorder="1" applyAlignment="1" applyProtection="1">
      <alignment vertical="top" wrapText="1"/>
      <protection locked="0"/>
    </xf>
    <xf numFmtId="0" fontId="4" fillId="6" borderId="14" xfId="0" applyFont="1" applyFill="1" applyBorder="1" applyAlignment="1" applyProtection="1">
      <alignment horizontal="center" vertical="center" wrapText="1"/>
      <protection locked="0"/>
    </xf>
    <xf numFmtId="0" fontId="3" fillId="7" borderId="4" xfId="0" applyFont="1" applyFill="1" applyBorder="1" applyAlignment="1" applyProtection="1">
      <alignment horizontal="center" vertical="top" wrapText="1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0" fontId="3" fillId="7" borderId="6" xfId="0" applyFont="1" applyFill="1" applyBorder="1" applyAlignment="1" applyProtection="1">
      <alignment horizontal="center" vertical="center" wrapText="1"/>
      <protection locked="0"/>
    </xf>
    <xf numFmtId="0" fontId="4" fillId="6" borderId="21" xfId="0" applyFont="1" applyFill="1" applyBorder="1" applyAlignment="1" applyProtection="1">
      <alignment horizontal="center" vertical="center" wrapText="1"/>
      <protection locked="0"/>
    </xf>
    <xf numFmtId="0" fontId="4" fillId="6" borderId="18" xfId="0" applyFont="1" applyFill="1" applyBorder="1" applyAlignment="1" applyProtection="1">
      <alignment horizontal="center" vertical="center" wrapText="1"/>
      <protection locked="0"/>
    </xf>
    <xf numFmtId="0" fontId="4" fillId="14" borderId="18" xfId="0" applyFont="1" applyFill="1" applyBorder="1" applyAlignment="1" applyProtection="1">
      <alignment horizontal="center" vertical="center" wrapText="1"/>
      <protection locked="0"/>
    </xf>
    <xf numFmtId="0" fontId="6" fillId="14" borderId="18" xfId="0" applyFont="1" applyFill="1" applyBorder="1" applyAlignment="1" applyProtection="1">
      <alignment horizontal="center" vertical="center" wrapText="1"/>
      <protection locked="0"/>
    </xf>
    <xf numFmtId="0" fontId="5" fillId="14" borderId="18" xfId="0" applyFont="1" applyFill="1" applyBorder="1" applyAlignment="1" applyProtection="1">
      <alignment horizontal="center" vertical="center" wrapText="1"/>
      <protection locked="0"/>
    </xf>
    <xf numFmtId="166" fontId="3" fillId="7" borderId="4" xfId="0" applyNumberFormat="1" applyFont="1" applyFill="1" applyBorder="1" applyAlignment="1" applyProtection="1">
      <alignment horizontal="center" vertical="center" wrapText="1"/>
      <protection locked="0"/>
    </xf>
    <xf numFmtId="166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66" fontId="3" fillId="2" borderId="20" xfId="1" applyNumberFormat="1" applyFont="1" applyFill="1" applyBorder="1" applyAlignment="1" applyProtection="1">
      <alignment horizontal="center" vertical="center" wrapText="1"/>
    </xf>
    <xf numFmtId="43" fontId="4" fillId="7" borderId="23" xfId="2" applyFont="1" applyFill="1" applyBorder="1" applyAlignment="1" applyProtection="1">
      <alignment horizontal="center" vertical="center"/>
    </xf>
    <xf numFmtId="43" fontId="3" fillId="7" borderId="1" xfId="2" applyFont="1" applyFill="1" applyBorder="1" applyAlignment="1">
      <alignment horizontal="center" vertical="center" wrapText="1"/>
    </xf>
    <xf numFmtId="43" fontId="4" fillId="7" borderId="1" xfId="2" applyFont="1" applyFill="1" applyBorder="1" applyAlignment="1" applyProtection="1">
      <alignment horizontal="center" vertical="center"/>
    </xf>
    <xf numFmtId="165" fontId="3" fillId="5" borderId="1" xfId="0" applyNumberFormat="1" applyFont="1" applyFill="1" applyBorder="1" applyAlignment="1">
      <alignment vertical="center"/>
    </xf>
    <xf numFmtId="0" fontId="4" fillId="5" borderId="23" xfId="0" applyFont="1" applyFill="1" applyBorder="1" applyAlignment="1" applyProtection="1">
      <alignment horizontal="center" vertical="center"/>
      <protection locked="0"/>
    </xf>
    <xf numFmtId="0" fontId="4" fillId="5" borderId="14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5" borderId="22" xfId="0" applyFont="1" applyFill="1" applyBorder="1" applyAlignment="1" applyProtection="1">
      <alignment horizontal="center" vertical="center"/>
      <protection locked="0"/>
    </xf>
    <xf numFmtId="0" fontId="4" fillId="5" borderId="25" xfId="0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 applyProtection="1">
      <alignment horizontal="center" vertical="center" wrapText="1"/>
      <protection locked="0"/>
    </xf>
    <xf numFmtId="0" fontId="3" fillId="11" borderId="1" xfId="0" applyFont="1" applyFill="1" applyBorder="1" applyAlignment="1" applyProtection="1">
      <alignment horizontal="center" vertical="center" wrapText="1"/>
      <protection locked="0"/>
    </xf>
    <xf numFmtId="0" fontId="4" fillId="10" borderId="23" xfId="0" applyFont="1" applyFill="1" applyBorder="1" applyAlignment="1" applyProtection="1">
      <alignment horizontal="center" vertical="center"/>
      <protection locked="0"/>
    </xf>
    <xf numFmtId="0" fontId="7" fillId="11" borderId="23" xfId="0" applyFont="1" applyFill="1" applyBorder="1" applyProtection="1">
      <protection locked="0"/>
    </xf>
    <xf numFmtId="0" fontId="4" fillId="11" borderId="23" xfId="0" applyFont="1" applyFill="1" applyBorder="1" applyAlignment="1" applyProtection="1">
      <alignment horizontal="center"/>
      <protection locked="0"/>
    </xf>
    <xf numFmtId="0" fontId="4" fillId="11" borderId="23" xfId="0" applyFont="1" applyFill="1" applyBorder="1" applyAlignment="1" applyProtection="1">
      <alignment horizontal="center" vertical="center"/>
      <protection locked="0"/>
    </xf>
    <xf numFmtId="0" fontId="7" fillId="12" borderId="23" xfId="0" applyFont="1" applyFill="1" applyBorder="1" applyAlignment="1" applyProtection="1">
      <alignment horizontal="left" vertical="center"/>
      <protection locked="0"/>
    </xf>
    <xf numFmtId="0" fontId="4" fillId="12" borderId="23" xfId="0" applyFont="1" applyFill="1" applyBorder="1" applyAlignment="1" applyProtection="1">
      <alignment horizontal="center" vertical="center"/>
      <protection locked="0"/>
    </xf>
    <xf numFmtId="0" fontId="4" fillId="10" borderId="14" xfId="0" applyFont="1" applyFill="1" applyBorder="1" applyAlignment="1" applyProtection="1">
      <alignment horizontal="center" vertical="center"/>
      <protection locked="0"/>
    </xf>
    <xf numFmtId="0" fontId="7" fillId="11" borderId="14" xfId="0" applyFont="1" applyFill="1" applyBorder="1" applyProtection="1">
      <protection locked="0"/>
    </xf>
    <xf numFmtId="0" fontId="4" fillId="11" borderId="14" xfId="0" applyFont="1" applyFill="1" applyBorder="1" applyAlignment="1" applyProtection="1">
      <alignment horizontal="center"/>
      <protection locked="0"/>
    </xf>
    <xf numFmtId="0" fontId="4" fillId="11" borderId="14" xfId="0" applyFont="1" applyFill="1" applyBorder="1" applyAlignment="1" applyProtection="1">
      <alignment horizontal="center" vertical="center"/>
      <protection locked="0"/>
    </xf>
    <xf numFmtId="0" fontId="7" fillId="12" borderId="14" xfId="0" applyFont="1" applyFill="1" applyBorder="1" applyAlignment="1" applyProtection="1">
      <alignment horizontal="left" vertical="center"/>
      <protection locked="0"/>
    </xf>
    <xf numFmtId="0" fontId="4" fillId="12" borderId="14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Protection="1">
      <protection locked="0"/>
    </xf>
    <xf numFmtId="0" fontId="4" fillId="11" borderId="1" xfId="0" applyFont="1" applyFill="1" applyBorder="1" applyAlignment="1" applyProtection="1">
      <alignment horizont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7" fillId="12" borderId="1" xfId="0" applyFont="1" applyFill="1" applyBorder="1" applyAlignment="1" applyProtection="1">
      <alignment horizontal="left" vertical="center"/>
      <protection locked="0"/>
    </xf>
    <xf numFmtId="0" fontId="4" fillId="12" borderId="1" xfId="0" applyFont="1" applyFill="1" applyBorder="1" applyAlignment="1" applyProtection="1">
      <alignment horizontal="center" vertical="center"/>
      <protection locked="0"/>
    </xf>
    <xf numFmtId="0" fontId="4" fillId="10" borderId="22" xfId="0" applyFont="1" applyFill="1" applyBorder="1" applyAlignment="1" applyProtection="1">
      <alignment horizontal="center" vertical="center"/>
      <protection locked="0"/>
    </xf>
    <xf numFmtId="0" fontId="7" fillId="11" borderId="22" xfId="0" applyFont="1" applyFill="1" applyBorder="1" applyProtection="1">
      <protection locked="0"/>
    </xf>
    <xf numFmtId="0" fontId="4" fillId="11" borderId="22" xfId="0" applyFont="1" applyFill="1" applyBorder="1" applyAlignment="1" applyProtection="1">
      <alignment horizontal="center"/>
      <protection locked="0"/>
    </xf>
    <xf numFmtId="0" fontId="4" fillId="11" borderId="22" xfId="0" applyFont="1" applyFill="1" applyBorder="1" applyAlignment="1" applyProtection="1">
      <alignment horizontal="center" vertical="center"/>
      <protection locked="0"/>
    </xf>
    <xf numFmtId="0" fontId="7" fillId="12" borderId="22" xfId="0" applyFont="1" applyFill="1" applyBorder="1" applyAlignment="1" applyProtection="1">
      <alignment horizontal="left" vertical="center"/>
      <protection locked="0"/>
    </xf>
    <xf numFmtId="0" fontId="4" fillId="12" borderId="22" xfId="0" applyFont="1" applyFill="1" applyBorder="1" applyAlignment="1" applyProtection="1">
      <alignment horizontal="center" vertical="center"/>
      <protection locked="0"/>
    </xf>
    <xf numFmtId="0" fontId="5" fillId="11" borderId="14" xfId="0" applyFont="1" applyFill="1" applyBorder="1" applyAlignment="1" applyProtection="1">
      <alignment horizontal="center" vertical="center"/>
      <protection locked="0"/>
    </xf>
    <xf numFmtId="0" fontId="8" fillId="12" borderId="14" xfId="0" applyFont="1" applyFill="1" applyBorder="1" applyAlignment="1" applyProtection="1">
      <alignment horizontal="left" vertical="center"/>
      <protection locked="0"/>
    </xf>
    <xf numFmtId="0" fontId="5" fillId="11" borderId="23" xfId="0" applyFont="1" applyFill="1" applyBorder="1" applyAlignment="1" applyProtection="1">
      <alignment horizontal="center" vertical="center"/>
      <protection locked="0"/>
    </xf>
    <xf numFmtId="0" fontId="8" fillId="12" borderId="23" xfId="0" applyFont="1" applyFill="1" applyBorder="1" applyAlignment="1" applyProtection="1">
      <alignment horizontal="left" vertical="center"/>
      <protection locked="0"/>
    </xf>
    <xf numFmtId="0" fontId="7" fillId="11" borderId="14" xfId="0" applyFont="1" applyFill="1" applyBorder="1" applyAlignment="1" applyProtection="1">
      <alignment horizontal="left" vertical="center" wrapText="1"/>
      <protection locked="0"/>
    </xf>
    <xf numFmtId="0" fontId="8" fillId="12" borderId="14" xfId="0" applyFont="1" applyFill="1" applyBorder="1" applyAlignment="1" applyProtection="1">
      <alignment horizontal="left" vertical="center" wrapText="1"/>
      <protection locked="0"/>
    </xf>
    <xf numFmtId="0" fontId="7" fillId="11" borderId="1" xfId="0" applyFont="1" applyFill="1" applyBorder="1" applyAlignment="1" applyProtection="1">
      <alignment horizontal="left" vertical="center" wrapText="1"/>
      <protection locked="0"/>
    </xf>
    <xf numFmtId="0" fontId="7" fillId="11" borderId="23" xfId="0" applyFont="1" applyFill="1" applyBorder="1" applyAlignment="1" applyProtection="1">
      <alignment horizontal="left" vertical="center" wrapText="1"/>
      <protection locked="0"/>
    </xf>
    <xf numFmtId="0" fontId="8" fillId="12" borderId="23" xfId="0" applyFont="1" applyFill="1" applyBorder="1" applyAlignment="1" applyProtection="1">
      <alignment horizontal="left" vertical="center" wrapText="1"/>
      <protection locked="0"/>
    </xf>
    <xf numFmtId="0" fontId="8" fillId="12" borderId="24" xfId="0" applyFont="1" applyFill="1" applyBorder="1" applyAlignment="1" applyProtection="1">
      <alignment horizontal="left" vertical="center" wrapText="1"/>
      <protection locked="0"/>
    </xf>
    <xf numFmtId="0" fontId="8" fillId="12" borderId="25" xfId="0" applyFont="1" applyFill="1" applyBorder="1" applyAlignment="1" applyProtection="1">
      <alignment horizontal="left" vertical="center" wrapText="1"/>
      <protection locked="0"/>
    </xf>
    <xf numFmtId="0" fontId="4" fillId="11" borderId="1" xfId="0" applyFont="1" applyFill="1" applyBorder="1" applyAlignment="1" applyProtection="1">
      <alignment horizontal="center" vertical="center" wrapText="1"/>
      <protection locked="0"/>
    </xf>
    <xf numFmtId="0" fontId="8" fillId="12" borderId="1" xfId="0" applyFont="1" applyFill="1" applyBorder="1" applyAlignment="1" applyProtection="1">
      <alignment horizontal="left" vertical="center" wrapText="1"/>
      <protection locked="0"/>
    </xf>
    <xf numFmtId="0" fontId="4" fillId="11" borderId="22" xfId="0" applyFont="1" applyFill="1" applyBorder="1" applyProtection="1">
      <protection locked="0"/>
    </xf>
    <xf numFmtId="0" fontId="5" fillId="11" borderId="22" xfId="0" applyFont="1" applyFill="1" applyBorder="1" applyAlignment="1" applyProtection="1">
      <alignment horizontal="center"/>
      <protection locked="0"/>
    </xf>
    <xf numFmtId="0" fontId="5" fillId="11" borderId="22" xfId="0" applyFont="1" applyFill="1" applyBorder="1" applyAlignment="1" applyProtection="1">
      <alignment horizontal="center" vertical="center"/>
      <protection locked="0"/>
    </xf>
    <xf numFmtId="0" fontId="8" fillId="12" borderId="22" xfId="0" applyFont="1" applyFill="1" applyBorder="1" applyAlignment="1" applyProtection="1">
      <alignment horizontal="left" vertical="center"/>
      <protection locked="0"/>
    </xf>
    <xf numFmtId="0" fontId="4" fillId="11" borderId="14" xfId="0" applyFont="1" applyFill="1" applyBorder="1" applyAlignment="1" applyProtection="1">
      <alignment horizontal="left" vertical="center" wrapText="1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8" fillId="12" borderId="1" xfId="0" applyFont="1" applyFill="1" applyBorder="1" applyAlignment="1" applyProtection="1">
      <alignment horizontal="left" vertical="center"/>
      <protection locked="0"/>
    </xf>
    <xf numFmtId="0" fontId="5" fillId="11" borderId="23" xfId="0" applyFont="1" applyFill="1" applyBorder="1" applyAlignment="1" applyProtection="1">
      <alignment horizontal="center"/>
      <protection locked="0"/>
    </xf>
    <xf numFmtId="0" fontId="5" fillId="12" borderId="22" xfId="0" applyFont="1" applyFill="1" applyBorder="1" applyAlignment="1" applyProtection="1">
      <alignment horizontal="left" vertical="center"/>
      <protection locked="0"/>
    </xf>
    <xf numFmtId="0" fontId="4" fillId="11" borderId="14" xfId="0" applyFont="1" applyFill="1" applyBorder="1" applyProtection="1">
      <protection locked="0"/>
    </xf>
    <xf numFmtId="0" fontId="4" fillId="11" borderId="23" xfId="0" applyFont="1" applyFill="1" applyBorder="1" applyProtection="1">
      <protection locked="0"/>
    </xf>
    <xf numFmtId="0" fontId="4" fillId="12" borderId="14" xfId="0" applyFont="1" applyFill="1" applyBorder="1" applyAlignment="1" applyProtection="1">
      <alignment horizontal="left" vertical="center"/>
      <protection locked="0"/>
    </xf>
    <xf numFmtId="0" fontId="4" fillId="12" borderId="23" xfId="0" applyFont="1" applyFill="1" applyBorder="1" applyAlignment="1" applyProtection="1">
      <alignment horizontal="left" vertical="center"/>
      <protection locked="0"/>
    </xf>
    <xf numFmtId="0" fontId="4" fillId="12" borderId="22" xfId="0" applyFont="1" applyFill="1" applyBorder="1" applyAlignment="1" applyProtection="1">
      <alignment horizontal="left" vertical="center"/>
      <protection locked="0"/>
    </xf>
    <xf numFmtId="0" fontId="4" fillId="12" borderId="1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Protection="1">
      <protection locked="0"/>
    </xf>
    <xf numFmtId="0" fontId="4" fillId="12" borderId="14" xfId="0" applyFont="1" applyFill="1" applyBorder="1" applyAlignment="1" applyProtection="1">
      <alignment horizontal="center"/>
      <protection locked="0"/>
    </xf>
    <xf numFmtId="0" fontId="4" fillId="12" borderId="1" xfId="0" applyFont="1" applyFill="1" applyBorder="1" applyAlignment="1" applyProtection="1">
      <alignment horizontal="center"/>
      <protection locked="0"/>
    </xf>
    <xf numFmtId="0" fontId="4" fillId="12" borderId="23" xfId="0" applyFont="1" applyFill="1" applyBorder="1" applyAlignment="1" applyProtection="1">
      <alignment horizontal="center"/>
      <protection locked="0"/>
    </xf>
    <xf numFmtId="0" fontId="4" fillId="12" borderId="22" xfId="0" applyFont="1" applyFill="1" applyBorder="1" applyAlignment="1" applyProtection="1">
      <alignment horizontal="center"/>
      <protection locked="0"/>
    </xf>
    <xf numFmtId="0" fontId="5" fillId="12" borderId="23" xfId="0" applyFont="1" applyFill="1" applyBorder="1" applyAlignment="1" applyProtection="1">
      <alignment horizontal="left" vertical="center"/>
      <protection locked="0"/>
    </xf>
    <xf numFmtId="0" fontId="4" fillId="10" borderId="25" xfId="0" applyFont="1" applyFill="1" applyBorder="1" applyAlignment="1" applyProtection="1">
      <alignment horizontal="center" vertical="center"/>
      <protection locked="0"/>
    </xf>
    <xf numFmtId="0" fontId="4" fillId="11" borderId="25" xfId="0" applyFont="1" applyFill="1" applyBorder="1" applyProtection="1">
      <protection locked="0"/>
    </xf>
    <xf numFmtId="0" fontId="4" fillId="11" borderId="25" xfId="0" applyFont="1" applyFill="1" applyBorder="1" applyAlignment="1" applyProtection="1">
      <alignment horizontal="center"/>
      <protection locked="0"/>
    </xf>
    <xf numFmtId="0" fontId="4" fillId="11" borderId="25" xfId="0" applyFont="1" applyFill="1" applyBorder="1" applyAlignment="1" applyProtection="1">
      <alignment horizontal="center" vertical="center"/>
      <protection locked="0"/>
    </xf>
    <xf numFmtId="0" fontId="4" fillId="12" borderId="25" xfId="0" applyFont="1" applyFill="1" applyBorder="1" applyAlignment="1" applyProtection="1">
      <alignment horizontal="left" vertical="center"/>
      <protection locked="0"/>
    </xf>
    <xf numFmtId="0" fontId="4" fillId="12" borderId="25" xfId="0" applyFont="1" applyFill="1" applyBorder="1" applyAlignment="1" applyProtection="1">
      <alignment horizontal="center" vertical="center"/>
      <protection locked="0"/>
    </xf>
    <xf numFmtId="0" fontId="7" fillId="12" borderId="25" xfId="0" applyFont="1" applyFill="1" applyBorder="1" applyAlignment="1" applyProtection="1">
      <alignment horizontal="left" vertical="center"/>
      <protection locked="0"/>
    </xf>
    <xf numFmtId="0" fontId="7" fillId="11" borderId="22" xfId="0" applyFont="1" applyFill="1" applyBorder="1" applyAlignment="1" applyProtection="1">
      <alignment vertical="center"/>
      <protection locked="0"/>
    </xf>
    <xf numFmtId="0" fontId="4" fillId="11" borderId="23" xfId="0" applyFont="1" applyFill="1" applyBorder="1" applyAlignment="1" applyProtection="1">
      <alignment horizontal="left" vertical="center" wrapText="1"/>
      <protection locked="0"/>
    </xf>
    <xf numFmtId="0" fontId="7" fillId="11" borderId="25" xfId="0" applyFont="1" applyFill="1" applyBorder="1" applyProtection="1">
      <protection locked="0"/>
    </xf>
    <xf numFmtId="0" fontId="4" fillId="11" borderId="25" xfId="0" applyFont="1" applyFill="1" applyBorder="1" applyAlignment="1" applyProtection="1">
      <alignment horizontal="left" vertical="center" wrapText="1"/>
      <protection locked="0"/>
    </xf>
    <xf numFmtId="0" fontId="4" fillId="12" borderId="22" xfId="0" applyFont="1" applyFill="1" applyBorder="1" applyAlignment="1" applyProtection="1">
      <alignment horizontal="left" vertical="top" wrapText="1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164" fontId="4" fillId="0" borderId="23" xfId="0" applyNumberFormat="1" applyFont="1" applyBorder="1" applyAlignment="1" applyProtection="1">
      <alignment horizontal="left" vertical="top"/>
      <protection locked="0"/>
    </xf>
    <xf numFmtId="0" fontId="0" fillId="0" borderId="1" xfId="0" applyBorder="1"/>
    <xf numFmtId="165" fontId="2" fillId="0" borderId="0" xfId="0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0" fillId="0" borderId="1" xfId="0" applyFont="1" applyBorder="1" applyAlignment="1">
      <alignment horizontal="center" vertical="center"/>
    </xf>
    <xf numFmtId="14" fontId="4" fillId="11" borderId="23" xfId="0" applyNumberFormat="1" applyFont="1" applyFill="1" applyBorder="1" applyAlignment="1" applyProtection="1">
      <alignment horizontal="center"/>
      <protection locked="0"/>
    </xf>
    <xf numFmtId="14" fontId="4" fillId="11" borderId="14" xfId="0" applyNumberFormat="1" applyFont="1" applyFill="1" applyBorder="1" applyAlignment="1" applyProtection="1">
      <alignment horizontal="center"/>
      <protection locked="0"/>
    </xf>
    <xf numFmtId="14" fontId="4" fillId="11" borderId="1" xfId="0" applyNumberFormat="1" applyFont="1" applyFill="1" applyBorder="1" applyAlignment="1" applyProtection="1">
      <alignment horizontal="center"/>
      <protection locked="0"/>
    </xf>
    <xf numFmtId="14" fontId="4" fillId="11" borderId="22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 vertical="center" wrapText="1"/>
      <protection locked="0"/>
    </xf>
    <xf numFmtId="14" fontId="5" fillId="11" borderId="23" xfId="0" applyNumberFormat="1" applyFont="1" applyFill="1" applyBorder="1" applyAlignment="1" applyProtection="1">
      <alignment horizontal="center" vertical="center" wrapText="1"/>
      <protection locked="0"/>
    </xf>
    <xf numFmtId="14" fontId="5" fillId="11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11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11" borderId="22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1" borderId="1" xfId="0" applyNumberFormat="1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right"/>
      <protection locked="0"/>
    </xf>
    <xf numFmtId="0" fontId="4" fillId="4" borderId="1" xfId="0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3" fontId="4" fillId="4" borderId="1" xfId="0" applyNumberFormat="1" applyFont="1" applyFill="1" applyBorder="1" applyProtection="1">
      <protection locked="0"/>
    </xf>
    <xf numFmtId="14" fontId="4" fillId="4" borderId="1" xfId="0" applyNumberFormat="1" applyFont="1" applyFill="1" applyBorder="1" applyAlignment="1" applyProtection="1">
      <alignment horizontal="right"/>
      <protection locked="0"/>
    </xf>
    <xf numFmtId="14" fontId="4" fillId="4" borderId="1" xfId="0" applyNumberFormat="1" applyFont="1" applyFill="1" applyBorder="1" applyProtection="1">
      <protection locked="0"/>
    </xf>
    <xf numFmtId="3" fontId="4" fillId="4" borderId="1" xfId="0" applyNumberFormat="1" applyFont="1" applyFill="1" applyBorder="1" applyAlignment="1" applyProtection="1">
      <alignment horizontal="right"/>
      <protection locked="0"/>
    </xf>
    <xf numFmtId="0" fontId="5" fillId="4" borderId="1" xfId="0" applyFont="1" applyFill="1" applyBorder="1" applyAlignment="1" applyProtection="1">
      <alignment horizontal="right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left"/>
      <protection locked="0"/>
    </xf>
    <xf numFmtId="0" fontId="0" fillId="4" borderId="0" xfId="0" applyFill="1"/>
    <xf numFmtId="14" fontId="4" fillId="4" borderId="1" xfId="0" applyNumberFormat="1" applyFont="1" applyFill="1" applyBorder="1" applyAlignment="1" applyProtection="1">
      <alignment horizontal="left"/>
      <protection locked="0"/>
    </xf>
    <xf numFmtId="0" fontId="4" fillId="15" borderId="1" xfId="0" applyFont="1" applyFill="1" applyBorder="1" applyAlignment="1" applyProtection="1">
      <alignment horizontal="right"/>
      <protection locked="0"/>
    </xf>
    <xf numFmtId="3" fontId="4" fillId="15" borderId="1" xfId="0" applyNumberFormat="1" applyFont="1" applyFill="1" applyBorder="1" applyAlignment="1" applyProtection="1">
      <alignment horizontal="right"/>
      <protection locked="0"/>
    </xf>
    <xf numFmtId="3" fontId="4" fillId="0" borderId="1" xfId="0" applyNumberFormat="1" applyFont="1" applyBorder="1" applyProtection="1">
      <protection locked="0"/>
    </xf>
    <xf numFmtId="0" fontId="5" fillId="15" borderId="1" xfId="0" applyFont="1" applyFill="1" applyBorder="1" applyAlignment="1" applyProtection="1">
      <alignment horizontal="right"/>
      <protection locked="0"/>
    </xf>
    <xf numFmtId="0" fontId="4" fillId="15" borderId="0" xfId="0" applyFont="1" applyFill="1" applyAlignment="1" applyProtection="1">
      <alignment horizontal="right"/>
      <protection locked="0"/>
    </xf>
    <xf numFmtId="0" fontId="13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4" fillId="15" borderId="0" xfId="0" applyFont="1" applyFill="1" applyBorder="1" applyAlignment="1" applyProtection="1">
      <alignment horizontal="right"/>
      <protection locked="0"/>
    </xf>
    <xf numFmtId="0" fontId="4" fillId="15" borderId="1" xfId="0" applyFont="1" applyFill="1" applyBorder="1" applyProtection="1">
      <protection locked="0"/>
    </xf>
    <xf numFmtId="16" fontId="4" fillId="4" borderId="1" xfId="0" applyNumberFormat="1" applyFont="1" applyFill="1" applyBorder="1" applyProtection="1">
      <protection locked="0"/>
    </xf>
    <xf numFmtId="0" fontId="4" fillId="15" borderId="1" xfId="0" applyFont="1" applyFill="1" applyBorder="1" applyAlignment="1" applyProtection="1">
      <alignment horizontal="left"/>
      <protection locked="0"/>
    </xf>
    <xf numFmtId="166" fontId="3" fillId="0" borderId="9" xfId="0" applyNumberFormat="1" applyFont="1" applyBorder="1" applyAlignment="1" applyProtection="1">
      <alignment horizontal="center" vertical="top" wrapText="1"/>
      <protection locked="0"/>
    </xf>
    <xf numFmtId="0" fontId="3" fillId="0" borderId="9" xfId="0" applyFont="1" applyBorder="1" applyAlignment="1" applyProtection="1">
      <alignment horizontal="center" vertical="top" wrapText="1"/>
      <protection locked="0"/>
    </xf>
    <xf numFmtId="165" fontId="4" fillId="0" borderId="1" xfId="0" applyNumberFormat="1" applyFont="1" applyBorder="1" applyAlignment="1" applyProtection="1">
      <alignment horizontal="right" vertical="top"/>
      <protection locked="0"/>
    </xf>
    <xf numFmtId="165" fontId="4" fillId="0" borderId="1" xfId="0" applyNumberFormat="1" applyFont="1" applyBorder="1" applyAlignment="1" applyProtection="1">
      <alignment horizontal="left" vertical="top"/>
      <protection locked="0"/>
    </xf>
    <xf numFmtId="0" fontId="5" fillId="13" borderId="14" xfId="0" applyFont="1" applyFill="1" applyBorder="1" applyAlignment="1" applyProtection="1">
      <alignment horizontal="center"/>
      <protection locked="0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4" borderId="19" xfId="0" applyFont="1" applyFill="1" applyBorder="1" applyAlignment="1" applyProtection="1">
      <alignment horizontal="center"/>
      <protection locked="0"/>
    </xf>
    <xf numFmtId="0" fontId="4" fillId="4" borderId="26" xfId="0" applyFont="1" applyFill="1" applyBorder="1" applyAlignment="1" applyProtection="1">
      <alignment horizontal="center"/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4" borderId="27" xfId="0" applyFont="1" applyFill="1" applyBorder="1" applyAlignment="1" applyProtection="1">
      <alignment horizontal="center"/>
      <protection locked="0"/>
    </xf>
    <xf numFmtId="0" fontId="4" fillId="4" borderId="14" xfId="0" applyFont="1" applyFill="1" applyBorder="1" applyAlignment="1" applyProtection="1">
      <alignment horizontal="center"/>
      <protection locked="0"/>
    </xf>
    <xf numFmtId="14" fontId="12" fillId="0" borderId="1" xfId="0" applyNumberFormat="1" applyFont="1" applyBorder="1" applyAlignment="1">
      <alignment horizontal="center" vertical="center"/>
    </xf>
  </cellXfs>
  <cellStyles count="3">
    <cellStyle name="Денежный" xfId="1" builtinId="4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2"/>
  <sheetViews>
    <sheetView zoomScale="85" zoomScaleNormal="85" workbookViewId="0">
      <pane ySplit="1" topLeftCell="A4" activePane="bottomLeft" state="frozen"/>
      <selection pane="bottomLeft" activeCell="B4" sqref="B4"/>
    </sheetView>
  </sheetViews>
  <sheetFormatPr defaultColWidth="8.88671875" defaultRowHeight="13.8" x14ac:dyDescent="0.3"/>
  <cols>
    <col min="1" max="1" width="6.6640625" style="12" customWidth="1"/>
    <col min="2" max="2" width="34.88671875" style="43" customWidth="1"/>
    <col min="3" max="3" width="11.44140625" style="15" customWidth="1"/>
    <col min="4" max="4" width="17.88671875" style="25" customWidth="1"/>
    <col min="5" max="5" width="11.88671875" style="24" customWidth="1"/>
    <col min="6" max="6" width="13.6640625" style="7" customWidth="1"/>
    <col min="7" max="7" width="13.6640625" style="27" customWidth="1"/>
    <col min="8" max="8" width="11.88671875" style="24" customWidth="1"/>
    <col min="9" max="9" width="13.6640625" style="7" customWidth="1"/>
    <col min="10" max="10" width="16.33203125" style="61" customWidth="1"/>
    <col min="11" max="11" width="6.33203125" style="119" customWidth="1"/>
    <col min="12" max="12" width="18.109375" style="124" customWidth="1"/>
    <col min="13" max="13" width="14.44140625" style="8" bestFit="1" customWidth="1"/>
    <col min="14" max="16" width="23.88671875" style="8" customWidth="1"/>
    <col min="17" max="17" width="17.6640625" style="8" customWidth="1"/>
    <col min="18" max="18" width="18" style="8" customWidth="1"/>
    <col min="19" max="19" width="15.6640625" style="8" bestFit="1" customWidth="1"/>
    <col min="20" max="20" width="16.33203125" style="8" customWidth="1"/>
    <col min="21" max="21" width="20.109375" style="67" customWidth="1"/>
    <col min="22" max="16384" width="8.88671875" style="8"/>
  </cols>
  <sheetData>
    <row r="1" spans="1:21" s="11" customFormat="1" ht="47.4" thickBot="1" x14ac:dyDescent="0.35">
      <c r="A1" s="3" t="s">
        <v>17</v>
      </c>
      <c r="B1" s="4" t="s">
        <v>19</v>
      </c>
      <c r="C1" s="13" t="s">
        <v>23</v>
      </c>
      <c r="D1" s="14" t="s">
        <v>15</v>
      </c>
      <c r="E1" s="23" t="s">
        <v>0</v>
      </c>
      <c r="F1" s="35" t="s">
        <v>5</v>
      </c>
      <c r="G1" s="5" t="s">
        <v>6</v>
      </c>
      <c r="H1" s="23" t="s">
        <v>0</v>
      </c>
      <c r="I1" s="6" t="s">
        <v>1</v>
      </c>
      <c r="J1" s="60" t="s">
        <v>2</v>
      </c>
      <c r="K1" s="117" t="s">
        <v>31</v>
      </c>
      <c r="L1" s="123" t="s">
        <v>22</v>
      </c>
      <c r="M1" s="62" t="s">
        <v>3</v>
      </c>
      <c r="N1" s="112">
        <f>SUM(F:F,I:I)</f>
        <v>0</v>
      </c>
      <c r="O1" s="125" t="s">
        <v>80</v>
      </c>
      <c r="P1" s="125" t="e">
        <f>SUM(L:L)</f>
        <v>#DIV/0!</v>
      </c>
      <c r="Q1" s="28" t="s">
        <v>7</v>
      </c>
      <c r="R1" s="111">
        <f>SUM(G:G)</f>
        <v>0</v>
      </c>
      <c r="S1" s="29" t="s">
        <v>4</v>
      </c>
      <c r="T1" s="110">
        <f>SUM(D:D)</f>
        <v>0</v>
      </c>
      <c r="U1" s="10" t="s">
        <v>58</v>
      </c>
    </row>
    <row r="2" spans="1:21" x14ac:dyDescent="0.3">
      <c r="A2" s="12">
        <v>1</v>
      </c>
      <c r="G2" s="26">
        <f t="shared" ref="G2:G33" si="0">D2-F2-I2</f>
        <v>0</v>
      </c>
      <c r="K2" s="118">
        <v>1.2</v>
      </c>
      <c r="L2" s="114">
        <f t="shared" ref="L2:L65" si="1">D2/K2</f>
        <v>0</v>
      </c>
      <c r="N2" s="31"/>
      <c r="O2" s="9"/>
      <c r="P2" s="9"/>
      <c r="Q2" s="30"/>
    </row>
    <row r="3" spans="1:21" x14ac:dyDescent="0.3">
      <c r="A3" s="12">
        <v>2</v>
      </c>
      <c r="G3" s="26">
        <f t="shared" si="0"/>
        <v>0</v>
      </c>
      <c r="K3" s="119">
        <v>1.2</v>
      </c>
      <c r="L3" s="114">
        <f t="shared" si="1"/>
        <v>0</v>
      </c>
      <c r="N3" s="9"/>
      <c r="O3" s="9"/>
      <c r="P3" s="9"/>
    </row>
    <row r="4" spans="1:21" x14ac:dyDescent="0.3">
      <c r="A4" s="12">
        <v>3</v>
      </c>
      <c r="G4" s="26">
        <f t="shared" si="0"/>
        <v>0</v>
      </c>
      <c r="K4" s="119">
        <v>1.2</v>
      </c>
      <c r="L4" s="114">
        <f t="shared" si="1"/>
        <v>0</v>
      </c>
    </row>
    <row r="5" spans="1:21" x14ac:dyDescent="0.3">
      <c r="A5" s="12">
        <v>4</v>
      </c>
      <c r="C5" s="56"/>
      <c r="D5" s="57"/>
      <c r="G5" s="26">
        <f t="shared" si="0"/>
        <v>0</v>
      </c>
      <c r="K5" s="119">
        <v>1.2</v>
      </c>
      <c r="L5" s="114">
        <f t="shared" si="1"/>
        <v>0</v>
      </c>
    </row>
    <row r="6" spans="1:21" x14ac:dyDescent="0.3">
      <c r="A6" s="12">
        <v>5</v>
      </c>
      <c r="C6" s="56"/>
      <c r="D6" s="57"/>
      <c r="G6" s="26">
        <f t="shared" si="0"/>
        <v>0</v>
      </c>
      <c r="K6" s="119">
        <v>1.2</v>
      </c>
      <c r="L6" s="114">
        <f t="shared" si="1"/>
        <v>0</v>
      </c>
    </row>
    <row r="7" spans="1:21" x14ac:dyDescent="0.3">
      <c r="A7" s="12">
        <v>6</v>
      </c>
      <c r="C7" s="56"/>
      <c r="D7" s="57"/>
      <c r="G7" s="26">
        <f t="shared" si="0"/>
        <v>0</v>
      </c>
      <c r="K7" s="119">
        <v>1.2</v>
      </c>
      <c r="L7" s="114">
        <f t="shared" si="1"/>
        <v>0</v>
      </c>
    </row>
    <row r="8" spans="1:21" x14ac:dyDescent="0.3">
      <c r="A8" s="12">
        <v>7</v>
      </c>
      <c r="C8" s="56"/>
      <c r="D8" s="57"/>
      <c r="G8" s="26">
        <f t="shared" si="0"/>
        <v>0</v>
      </c>
      <c r="K8" s="119">
        <v>1.2</v>
      </c>
      <c r="L8" s="114">
        <f t="shared" si="1"/>
        <v>0</v>
      </c>
      <c r="U8" s="68"/>
    </row>
    <row r="9" spans="1:21" x14ac:dyDescent="0.3">
      <c r="A9" s="12">
        <v>8</v>
      </c>
      <c r="C9" s="56"/>
      <c r="D9" s="57"/>
      <c r="G9" s="26">
        <f t="shared" si="0"/>
        <v>0</v>
      </c>
      <c r="K9" s="119">
        <v>1.2</v>
      </c>
      <c r="L9" s="114">
        <f t="shared" si="1"/>
        <v>0</v>
      </c>
      <c r="U9" s="68"/>
    </row>
    <row r="10" spans="1:21" x14ac:dyDescent="0.3">
      <c r="A10" s="12">
        <v>9</v>
      </c>
      <c r="C10" s="56"/>
      <c r="D10" s="57"/>
      <c r="G10" s="26">
        <f t="shared" si="0"/>
        <v>0</v>
      </c>
      <c r="K10" s="119">
        <v>1.2</v>
      </c>
      <c r="L10" s="114">
        <f t="shared" si="1"/>
        <v>0</v>
      </c>
      <c r="U10" s="68"/>
    </row>
    <row r="11" spans="1:21" x14ac:dyDescent="0.3">
      <c r="A11" s="12">
        <v>10</v>
      </c>
      <c r="C11" s="56"/>
      <c r="D11" s="57"/>
      <c r="G11" s="26">
        <f t="shared" si="0"/>
        <v>0</v>
      </c>
      <c r="K11" s="119">
        <v>1.2</v>
      </c>
      <c r="L11" s="114">
        <f t="shared" si="1"/>
        <v>0</v>
      </c>
      <c r="U11" s="68"/>
    </row>
    <row r="12" spans="1:21" x14ac:dyDescent="0.3">
      <c r="A12" s="12">
        <v>11</v>
      </c>
      <c r="C12" s="56"/>
      <c r="D12" s="57"/>
      <c r="G12" s="26">
        <f t="shared" si="0"/>
        <v>0</v>
      </c>
      <c r="K12" s="119">
        <v>1.2</v>
      </c>
      <c r="L12" s="114">
        <f t="shared" si="1"/>
        <v>0</v>
      </c>
      <c r="U12" s="68"/>
    </row>
    <row r="13" spans="1:21" x14ac:dyDescent="0.3">
      <c r="A13" s="12">
        <v>12</v>
      </c>
      <c r="C13" s="56"/>
      <c r="D13" s="57"/>
      <c r="G13" s="26">
        <f t="shared" si="0"/>
        <v>0</v>
      </c>
      <c r="K13" s="119">
        <v>1.2</v>
      </c>
      <c r="L13" s="114">
        <f t="shared" si="1"/>
        <v>0</v>
      </c>
      <c r="U13" s="68"/>
    </row>
    <row r="14" spans="1:21" x14ac:dyDescent="0.3">
      <c r="A14" s="12">
        <v>13</v>
      </c>
      <c r="C14" s="56"/>
      <c r="D14" s="57"/>
      <c r="G14" s="26">
        <f t="shared" si="0"/>
        <v>0</v>
      </c>
      <c r="K14" s="119">
        <v>1.2</v>
      </c>
      <c r="L14" s="114">
        <f t="shared" si="1"/>
        <v>0</v>
      </c>
    </row>
    <row r="15" spans="1:21" x14ac:dyDescent="0.3">
      <c r="A15" s="12">
        <v>14</v>
      </c>
      <c r="C15" s="56"/>
      <c r="D15" s="57"/>
      <c r="G15" s="26">
        <f t="shared" si="0"/>
        <v>0</v>
      </c>
      <c r="K15" s="119">
        <v>1.2</v>
      </c>
      <c r="L15" s="114">
        <f t="shared" si="1"/>
        <v>0</v>
      </c>
    </row>
    <row r="16" spans="1:21" x14ac:dyDescent="0.3">
      <c r="A16" s="12">
        <v>15</v>
      </c>
      <c r="C16" s="56"/>
      <c r="D16" s="57"/>
      <c r="G16" s="26">
        <f t="shared" si="0"/>
        <v>0</v>
      </c>
      <c r="K16" s="119">
        <v>1.2</v>
      </c>
      <c r="L16" s="114">
        <f t="shared" si="1"/>
        <v>0</v>
      </c>
    </row>
    <row r="17" spans="1:12" x14ac:dyDescent="0.3">
      <c r="A17" s="12">
        <v>16</v>
      </c>
      <c r="C17" s="56"/>
      <c r="D17" s="57"/>
      <c r="G17" s="26">
        <f t="shared" si="0"/>
        <v>0</v>
      </c>
      <c r="K17" s="119">
        <v>1.2</v>
      </c>
      <c r="L17" s="114">
        <f t="shared" si="1"/>
        <v>0</v>
      </c>
    </row>
    <row r="18" spans="1:12" x14ac:dyDescent="0.25">
      <c r="A18" s="12">
        <v>17</v>
      </c>
      <c r="B18" s="58"/>
      <c r="C18" s="56"/>
      <c r="D18" s="57"/>
      <c r="G18" s="26">
        <f t="shared" si="0"/>
        <v>0</v>
      </c>
      <c r="K18" s="119">
        <v>1.2</v>
      </c>
      <c r="L18" s="114">
        <f t="shared" si="1"/>
        <v>0</v>
      </c>
    </row>
    <row r="19" spans="1:12" x14ac:dyDescent="0.3">
      <c r="A19" s="12">
        <v>18</v>
      </c>
      <c r="C19" s="56"/>
      <c r="D19" s="57"/>
      <c r="G19" s="26">
        <f t="shared" si="0"/>
        <v>0</v>
      </c>
      <c r="K19" s="119">
        <v>1.2</v>
      </c>
      <c r="L19" s="114">
        <f t="shared" si="1"/>
        <v>0</v>
      </c>
    </row>
    <row r="20" spans="1:12" x14ac:dyDescent="0.3">
      <c r="A20" s="12">
        <v>19</v>
      </c>
      <c r="C20" s="56"/>
      <c r="D20" s="57"/>
      <c r="G20" s="26">
        <f t="shared" si="0"/>
        <v>0</v>
      </c>
      <c r="K20" s="119">
        <v>1.2</v>
      </c>
      <c r="L20" s="114">
        <f t="shared" si="1"/>
        <v>0</v>
      </c>
    </row>
    <row r="21" spans="1:12" x14ac:dyDescent="0.3">
      <c r="A21" s="12">
        <v>20</v>
      </c>
      <c r="C21" s="56"/>
      <c r="D21" s="57"/>
      <c r="G21" s="26">
        <f t="shared" si="0"/>
        <v>0</v>
      </c>
      <c r="K21" s="119">
        <v>1.2</v>
      </c>
      <c r="L21" s="114">
        <f t="shared" si="1"/>
        <v>0</v>
      </c>
    </row>
    <row r="22" spans="1:12" x14ac:dyDescent="0.25">
      <c r="A22" s="12">
        <v>21</v>
      </c>
      <c r="B22" s="58"/>
      <c r="G22" s="26">
        <f t="shared" si="0"/>
        <v>0</v>
      </c>
      <c r="K22" s="119">
        <v>1.2</v>
      </c>
      <c r="L22" s="114">
        <f t="shared" si="1"/>
        <v>0</v>
      </c>
    </row>
    <row r="23" spans="1:12" x14ac:dyDescent="0.25">
      <c r="A23" s="12">
        <v>22</v>
      </c>
      <c r="B23" s="58"/>
      <c r="G23" s="26">
        <f t="shared" si="0"/>
        <v>0</v>
      </c>
      <c r="K23" s="119">
        <v>1.2</v>
      </c>
      <c r="L23" s="114">
        <f t="shared" si="1"/>
        <v>0</v>
      </c>
    </row>
    <row r="24" spans="1:12" x14ac:dyDescent="0.25">
      <c r="A24" s="12">
        <v>23</v>
      </c>
      <c r="B24" s="58"/>
      <c r="G24" s="26">
        <f t="shared" si="0"/>
        <v>0</v>
      </c>
      <c r="K24" s="119">
        <v>1.2</v>
      </c>
      <c r="L24" s="114">
        <f t="shared" si="1"/>
        <v>0</v>
      </c>
    </row>
    <row r="25" spans="1:12" x14ac:dyDescent="0.3">
      <c r="A25" s="12">
        <v>24</v>
      </c>
      <c r="G25" s="26">
        <f t="shared" si="0"/>
        <v>0</v>
      </c>
      <c r="K25" s="119">
        <v>1.2</v>
      </c>
      <c r="L25" s="114">
        <f t="shared" si="1"/>
        <v>0</v>
      </c>
    </row>
    <row r="26" spans="1:12" x14ac:dyDescent="0.3">
      <c r="A26" s="12">
        <v>25</v>
      </c>
      <c r="G26" s="26">
        <f t="shared" si="0"/>
        <v>0</v>
      </c>
      <c r="K26" s="119">
        <v>1.2</v>
      </c>
      <c r="L26" s="114">
        <f t="shared" si="1"/>
        <v>0</v>
      </c>
    </row>
    <row r="27" spans="1:12" x14ac:dyDescent="0.3">
      <c r="A27" s="12">
        <v>26</v>
      </c>
      <c r="G27" s="26">
        <f t="shared" si="0"/>
        <v>0</v>
      </c>
      <c r="K27" s="119">
        <v>1.2</v>
      </c>
      <c r="L27" s="114">
        <f t="shared" si="1"/>
        <v>0</v>
      </c>
    </row>
    <row r="28" spans="1:12" x14ac:dyDescent="0.3">
      <c r="A28" s="12">
        <v>27</v>
      </c>
      <c r="G28" s="26">
        <f t="shared" si="0"/>
        <v>0</v>
      </c>
      <c r="K28" s="119">
        <v>1.2</v>
      </c>
      <c r="L28" s="114">
        <f t="shared" si="1"/>
        <v>0</v>
      </c>
    </row>
    <row r="29" spans="1:12" x14ac:dyDescent="0.3">
      <c r="A29" s="12">
        <v>28</v>
      </c>
      <c r="G29" s="26">
        <f t="shared" si="0"/>
        <v>0</v>
      </c>
      <c r="K29" s="119">
        <v>1.2</v>
      </c>
      <c r="L29" s="114">
        <f t="shared" si="1"/>
        <v>0</v>
      </c>
    </row>
    <row r="30" spans="1:12" x14ac:dyDescent="0.3">
      <c r="A30" s="12">
        <v>29</v>
      </c>
      <c r="G30" s="26">
        <f t="shared" si="0"/>
        <v>0</v>
      </c>
      <c r="L30" s="114" t="e">
        <f t="shared" si="1"/>
        <v>#DIV/0!</v>
      </c>
    </row>
    <row r="31" spans="1:12" x14ac:dyDescent="0.3">
      <c r="A31" s="12">
        <v>30</v>
      </c>
      <c r="G31" s="26">
        <f t="shared" si="0"/>
        <v>0</v>
      </c>
      <c r="L31" s="114" t="e">
        <f t="shared" si="1"/>
        <v>#DIV/0!</v>
      </c>
    </row>
    <row r="32" spans="1:12" x14ac:dyDescent="0.3">
      <c r="A32" s="12">
        <v>31</v>
      </c>
      <c r="G32" s="26">
        <f t="shared" si="0"/>
        <v>0</v>
      </c>
      <c r="L32" s="114" t="e">
        <f t="shared" si="1"/>
        <v>#DIV/0!</v>
      </c>
    </row>
    <row r="33" spans="1:12" x14ac:dyDescent="0.3">
      <c r="A33" s="12">
        <v>32</v>
      </c>
      <c r="G33" s="26">
        <f t="shared" si="0"/>
        <v>0</v>
      </c>
      <c r="L33" s="114" t="e">
        <f t="shared" si="1"/>
        <v>#DIV/0!</v>
      </c>
    </row>
    <row r="34" spans="1:12" x14ac:dyDescent="0.3">
      <c r="A34" s="12">
        <v>33</v>
      </c>
      <c r="G34" s="26">
        <f t="shared" ref="G34:G65" si="2">D34-F34-I34</f>
        <v>0</v>
      </c>
      <c r="L34" s="114" t="e">
        <f t="shared" si="1"/>
        <v>#DIV/0!</v>
      </c>
    </row>
    <row r="35" spans="1:12" x14ac:dyDescent="0.3">
      <c r="A35" s="12">
        <v>34</v>
      </c>
      <c r="G35" s="26">
        <f t="shared" si="2"/>
        <v>0</v>
      </c>
      <c r="K35" s="120"/>
      <c r="L35" s="114" t="e">
        <f t="shared" si="1"/>
        <v>#DIV/0!</v>
      </c>
    </row>
    <row r="36" spans="1:12" x14ac:dyDescent="0.3">
      <c r="A36" s="12">
        <v>35</v>
      </c>
      <c r="G36" s="26">
        <f t="shared" si="2"/>
        <v>0</v>
      </c>
      <c r="K36" s="120"/>
      <c r="L36" s="114" t="e">
        <f t="shared" si="1"/>
        <v>#DIV/0!</v>
      </c>
    </row>
    <row r="37" spans="1:12" x14ac:dyDescent="0.3">
      <c r="A37" s="12">
        <v>36</v>
      </c>
      <c r="G37" s="26">
        <f t="shared" si="2"/>
        <v>0</v>
      </c>
      <c r="K37" s="120"/>
      <c r="L37" s="114" t="e">
        <f t="shared" si="1"/>
        <v>#DIV/0!</v>
      </c>
    </row>
    <row r="38" spans="1:12" x14ac:dyDescent="0.3">
      <c r="A38" s="12">
        <v>37</v>
      </c>
      <c r="G38" s="26">
        <f t="shared" si="2"/>
        <v>0</v>
      </c>
      <c r="K38" s="120"/>
      <c r="L38" s="114" t="e">
        <f t="shared" si="1"/>
        <v>#DIV/0!</v>
      </c>
    </row>
    <row r="39" spans="1:12" x14ac:dyDescent="0.3">
      <c r="A39" s="12">
        <v>38</v>
      </c>
      <c r="G39" s="26">
        <f t="shared" si="2"/>
        <v>0</v>
      </c>
      <c r="K39" s="121"/>
      <c r="L39" s="114" t="e">
        <f t="shared" si="1"/>
        <v>#DIV/0!</v>
      </c>
    </row>
    <row r="40" spans="1:12" x14ac:dyDescent="0.3">
      <c r="A40" s="12">
        <v>39</v>
      </c>
      <c r="G40" s="26">
        <f t="shared" si="2"/>
        <v>0</v>
      </c>
      <c r="K40" s="120"/>
      <c r="L40" s="114" t="e">
        <f t="shared" si="1"/>
        <v>#DIV/0!</v>
      </c>
    </row>
    <row r="41" spans="1:12" x14ac:dyDescent="0.3">
      <c r="A41" s="12">
        <v>40</v>
      </c>
      <c r="G41" s="26">
        <f t="shared" si="2"/>
        <v>0</v>
      </c>
      <c r="K41" s="120"/>
      <c r="L41" s="114" t="e">
        <f t="shared" si="1"/>
        <v>#DIV/0!</v>
      </c>
    </row>
    <row r="42" spans="1:12" x14ac:dyDescent="0.3">
      <c r="A42" s="12">
        <v>41</v>
      </c>
      <c r="G42" s="26">
        <f t="shared" si="2"/>
        <v>0</v>
      </c>
      <c r="K42" s="120"/>
      <c r="L42" s="114" t="e">
        <f t="shared" si="1"/>
        <v>#DIV/0!</v>
      </c>
    </row>
    <row r="43" spans="1:12" x14ac:dyDescent="0.3">
      <c r="A43" s="12">
        <v>42</v>
      </c>
      <c r="G43" s="26">
        <f t="shared" si="2"/>
        <v>0</v>
      </c>
      <c r="K43" s="120"/>
      <c r="L43" s="114" t="e">
        <f t="shared" si="1"/>
        <v>#DIV/0!</v>
      </c>
    </row>
    <row r="44" spans="1:12" x14ac:dyDescent="0.3">
      <c r="A44" s="12">
        <v>43</v>
      </c>
      <c r="G44" s="26">
        <f t="shared" si="2"/>
        <v>0</v>
      </c>
      <c r="K44" s="120"/>
      <c r="L44" s="114" t="e">
        <f t="shared" si="1"/>
        <v>#DIV/0!</v>
      </c>
    </row>
    <row r="45" spans="1:12" x14ac:dyDescent="0.3">
      <c r="A45" s="12">
        <v>44</v>
      </c>
      <c r="G45" s="26">
        <f t="shared" si="2"/>
        <v>0</v>
      </c>
      <c r="K45" s="120"/>
      <c r="L45" s="114" t="e">
        <f t="shared" si="1"/>
        <v>#DIV/0!</v>
      </c>
    </row>
    <row r="46" spans="1:12" x14ac:dyDescent="0.3">
      <c r="A46" s="12">
        <v>45</v>
      </c>
      <c r="G46" s="26">
        <f t="shared" si="2"/>
        <v>0</v>
      </c>
      <c r="K46" s="120"/>
      <c r="L46" s="114" t="e">
        <f t="shared" si="1"/>
        <v>#DIV/0!</v>
      </c>
    </row>
    <row r="47" spans="1:12" x14ac:dyDescent="0.3">
      <c r="A47" s="12">
        <v>46</v>
      </c>
      <c r="G47" s="26">
        <f t="shared" si="2"/>
        <v>0</v>
      </c>
      <c r="K47" s="120"/>
      <c r="L47" s="114" t="e">
        <f t="shared" si="1"/>
        <v>#DIV/0!</v>
      </c>
    </row>
    <row r="48" spans="1:12" x14ac:dyDescent="0.3">
      <c r="A48" s="12">
        <v>47</v>
      </c>
      <c r="G48" s="26">
        <f t="shared" si="2"/>
        <v>0</v>
      </c>
      <c r="K48" s="120"/>
      <c r="L48" s="114" t="e">
        <f t="shared" si="1"/>
        <v>#DIV/0!</v>
      </c>
    </row>
    <row r="49" spans="1:12" x14ac:dyDescent="0.3">
      <c r="A49" s="12">
        <v>48</v>
      </c>
      <c r="G49" s="26">
        <f t="shared" si="2"/>
        <v>0</v>
      </c>
      <c r="K49" s="120"/>
      <c r="L49" s="114" t="e">
        <f t="shared" si="1"/>
        <v>#DIV/0!</v>
      </c>
    </row>
    <row r="50" spans="1:12" x14ac:dyDescent="0.3">
      <c r="A50" s="12">
        <v>49</v>
      </c>
      <c r="G50" s="26">
        <f t="shared" si="2"/>
        <v>0</v>
      </c>
      <c r="K50" s="120"/>
      <c r="L50" s="114" t="e">
        <f t="shared" si="1"/>
        <v>#DIV/0!</v>
      </c>
    </row>
    <row r="51" spans="1:12" x14ac:dyDescent="0.3">
      <c r="A51" s="12">
        <v>50</v>
      </c>
      <c r="G51" s="26">
        <f t="shared" si="2"/>
        <v>0</v>
      </c>
      <c r="K51" s="120"/>
      <c r="L51" s="114" t="e">
        <f t="shared" si="1"/>
        <v>#DIV/0!</v>
      </c>
    </row>
    <row r="52" spans="1:12" x14ac:dyDescent="0.3">
      <c r="A52" s="12">
        <v>51</v>
      </c>
      <c r="G52" s="26">
        <f t="shared" si="2"/>
        <v>0</v>
      </c>
      <c r="K52" s="120"/>
      <c r="L52" s="114" t="e">
        <f t="shared" si="1"/>
        <v>#DIV/0!</v>
      </c>
    </row>
    <row r="53" spans="1:12" x14ac:dyDescent="0.3">
      <c r="A53" s="12">
        <v>52</v>
      </c>
      <c r="G53" s="26">
        <f t="shared" si="2"/>
        <v>0</v>
      </c>
      <c r="K53" s="120"/>
      <c r="L53" s="114" t="e">
        <f t="shared" si="1"/>
        <v>#DIV/0!</v>
      </c>
    </row>
    <row r="54" spans="1:12" x14ac:dyDescent="0.3">
      <c r="A54" s="12">
        <v>53</v>
      </c>
      <c r="G54" s="26">
        <f t="shared" si="2"/>
        <v>0</v>
      </c>
      <c r="K54" s="120"/>
      <c r="L54" s="114" t="e">
        <f t="shared" si="1"/>
        <v>#DIV/0!</v>
      </c>
    </row>
    <row r="55" spans="1:12" x14ac:dyDescent="0.25">
      <c r="A55" s="12">
        <v>54</v>
      </c>
      <c r="B55" s="44"/>
      <c r="G55" s="26">
        <f t="shared" si="2"/>
        <v>0</v>
      </c>
      <c r="K55" s="120"/>
      <c r="L55" s="114" t="e">
        <f t="shared" si="1"/>
        <v>#DIV/0!</v>
      </c>
    </row>
    <row r="56" spans="1:12" x14ac:dyDescent="0.25">
      <c r="A56" s="12">
        <v>55</v>
      </c>
      <c r="B56" s="44"/>
      <c r="G56" s="26">
        <f t="shared" si="2"/>
        <v>0</v>
      </c>
      <c r="K56" s="120"/>
      <c r="L56" s="114" t="e">
        <f t="shared" si="1"/>
        <v>#DIV/0!</v>
      </c>
    </row>
    <row r="57" spans="1:12" x14ac:dyDescent="0.25">
      <c r="A57" s="12">
        <v>56</v>
      </c>
      <c r="B57" s="44"/>
      <c r="G57" s="26">
        <f t="shared" si="2"/>
        <v>0</v>
      </c>
      <c r="K57" s="120"/>
      <c r="L57" s="114" t="e">
        <f t="shared" si="1"/>
        <v>#DIV/0!</v>
      </c>
    </row>
    <row r="58" spans="1:12" x14ac:dyDescent="0.25">
      <c r="A58" s="12">
        <v>57</v>
      </c>
      <c r="B58" s="44"/>
      <c r="G58" s="26">
        <f t="shared" si="2"/>
        <v>0</v>
      </c>
      <c r="K58" s="120"/>
      <c r="L58" s="114" t="e">
        <f t="shared" si="1"/>
        <v>#DIV/0!</v>
      </c>
    </row>
    <row r="59" spans="1:12" x14ac:dyDescent="0.25">
      <c r="A59" s="12">
        <v>58</v>
      </c>
      <c r="B59" s="44"/>
      <c r="G59" s="26">
        <f t="shared" si="2"/>
        <v>0</v>
      </c>
      <c r="K59" s="120"/>
      <c r="L59" s="114" t="e">
        <f t="shared" si="1"/>
        <v>#DIV/0!</v>
      </c>
    </row>
    <row r="60" spans="1:12" x14ac:dyDescent="0.3">
      <c r="A60" s="12">
        <v>59</v>
      </c>
      <c r="G60" s="26">
        <f t="shared" si="2"/>
        <v>0</v>
      </c>
      <c r="K60" s="120"/>
      <c r="L60" s="114" t="e">
        <f t="shared" si="1"/>
        <v>#DIV/0!</v>
      </c>
    </row>
    <row r="61" spans="1:12" x14ac:dyDescent="0.3">
      <c r="A61" s="12">
        <v>60</v>
      </c>
      <c r="G61" s="26">
        <f t="shared" si="2"/>
        <v>0</v>
      </c>
      <c r="K61" s="121"/>
      <c r="L61" s="114" t="e">
        <f t="shared" si="1"/>
        <v>#DIV/0!</v>
      </c>
    </row>
    <row r="62" spans="1:12" x14ac:dyDescent="0.3">
      <c r="A62" s="12">
        <v>61</v>
      </c>
      <c r="G62" s="26">
        <f t="shared" si="2"/>
        <v>0</v>
      </c>
      <c r="K62" s="120"/>
      <c r="L62" s="114" t="e">
        <f t="shared" si="1"/>
        <v>#DIV/0!</v>
      </c>
    </row>
    <row r="63" spans="1:12" x14ac:dyDescent="0.3">
      <c r="A63" s="12">
        <v>62</v>
      </c>
      <c r="G63" s="26">
        <f t="shared" si="2"/>
        <v>0</v>
      </c>
      <c r="K63" s="120"/>
      <c r="L63" s="114" t="e">
        <f t="shared" si="1"/>
        <v>#DIV/0!</v>
      </c>
    </row>
    <row r="64" spans="1:12" x14ac:dyDescent="0.3">
      <c r="A64" s="12">
        <v>63</v>
      </c>
      <c r="G64" s="26">
        <f t="shared" si="2"/>
        <v>0</v>
      </c>
      <c r="K64" s="122"/>
      <c r="L64" s="114" t="e">
        <f t="shared" si="1"/>
        <v>#DIV/0!</v>
      </c>
    </row>
    <row r="65" spans="1:12" x14ac:dyDescent="0.3">
      <c r="A65" s="12" t="s">
        <v>37</v>
      </c>
      <c r="G65" s="26">
        <f t="shared" si="2"/>
        <v>0</v>
      </c>
      <c r="K65" s="121"/>
      <c r="L65" s="114" t="e">
        <f t="shared" si="1"/>
        <v>#DIV/0!</v>
      </c>
    </row>
    <row r="66" spans="1:12" x14ac:dyDescent="0.3">
      <c r="A66" s="12">
        <v>64</v>
      </c>
      <c r="G66" s="26">
        <f t="shared" ref="G66:G67" si="3">D66-F66-I66</f>
        <v>0</v>
      </c>
      <c r="K66" s="120"/>
      <c r="L66" s="114" t="e">
        <f t="shared" ref="L66:L129" si="4">D66/K66</f>
        <v>#DIV/0!</v>
      </c>
    </row>
    <row r="67" spans="1:12" x14ac:dyDescent="0.25">
      <c r="A67" s="12">
        <v>65</v>
      </c>
      <c r="B67" s="44"/>
      <c r="G67" s="26">
        <f t="shared" si="3"/>
        <v>0</v>
      </c>
      <c r="K67" s="120"/>
      <c r="L67" s="114" t="e">
        <f t="shared" si="4"/>
        <v>#DIV/0!</v>
      </c>
    </row>
    <row r="68" spans="1:12" x14ac:dyDescent="0.3">
      <c r="A68" s="12">
        <v>66</v>
      </c>
      <c r="G68" s="26">
        <v>0</v>
      </c>
      <c r="K68" s="120"/>
      <c r="L68" s="114" t="e">
        <f t="shared" si="4"/>
        <v>#DIV/0!</v>
      </c>
    </row>
    <row r="69" spans="1:12" x14ac:dyDescent="0.3">
      <c r="A69" s="12">
        <v>67</v>
      </c>
      <c r="G69" s="26">
        <f t="shared" ref="G69:G132" si="5">D69-F69-I69</f>
        <v>0</v>
      </c>
      <c r="K69" s="120"/>
      <c r="L69" s="114" t="e">
        <f t="shared" si="4"/>
        <v>#DIV/0!</v>
      </c>
    </row>
    <row r="70" spans="1:12" x14ac:dyDescent="0.25">
      <c r="A70" s="12">
        <v>68</v>
      </c>
      <c r="B70" s="44"/>
      <c r="G70" s="26">
        <f t="shared" si="5"/>
        <v>0</v>
      </c>
      <c r="K70" s="120"/>
      <c r="L70" s="114" t="e">
        <f t="shared" si="4"/>
        <v>#DIV/0!</v>
      </c>
    </row>
    <row r="71" spans="1:12" x14ac:dyDescent="0.25">
      <c r="A71" s="12">
        <v>69</v>
      </c>
      <c r="B71" s="44"/>
      <c r="G71" s="26">
        <f t="shared" si="5"/>
        <v>0</v>
      </c>
      <c r="K71" s="120"/>
      <c r="L71" s="114" t="e">
        <f t="shared" si="4"/>
        <v>#DIV/0!</v>
      </c>
    </row>
    <row r="72" spans="1:12" x14ac:dyDescent="0.25">
      <c r="A72" s="12">
        <v>70</v>
      </c>
      <c r="B72" s="44"/>
      <c r="G72" s="26">
        <f t="shared" si="5"/>
        <v>0</v>
      </c>
      <c r="K72" s="120"/>
      <c r="L72" s="114" t="e">
        <f t="shared" si="4"/>
        <v>#DIV/0!</v>
      </c>
    </row>
    <row r="73" spans="1:12" x14ac:dyDescent="0.3">
      <c r="A73" s="12" t="s">
        <v>38</v>
      </c>
      <c r="G73" s="26">
        <f t="shared" si="5"/>
        <v>0</v>
      </c>
      <c r="K73" s="121"/>
      <c r="L73" s="114" t="e">
        <f t="shared" si="4"/>
        <v>#DIV/0!</v>
      </c>
    </row>
    <row r="74" spans="1:12" x14ac:dyDescent="0.3">
      <c r="A74" s="12">
        <v>72</v>
      </c>
      <c r="G74" s="26">
        <f t="shared" si="5"/>
        <v>0</v>
      </c>
      <c r="K74" s="120"/>
      <c r="L74" s="114" t="e">
        <f t="shared" si="4"/>
        <v>#DIV/0!</v>
      </c>
    </row>
    <row r="75" spans="1:12" x14ac:dyDescent="0.25">
      <c r="A75" s="12" t="s">
        <v>39</v>
      </c>
      <c r="B75" s="44"/>
      <c r="G75" s="26">
        <f t="shared" si="5"/>
        <v>0</v>
      </c>
      <c r="K75" s="121"/>
      <c r="L75" s="114" t="e">
        <f t="shared" si="4"/>
        <v>#DIV/0!</v>
      </c>
    </row>
    <row r="76" spans="1:12" x14ac:dyDescent="0.25">
      <c r="A76" s="12" t="s">
        <v>41</v>
      </c>
      <c r="B76" s="44"/>
      <c r="G76" s="26">
        <f t="shared" si="5"/>
        <v>0</v>
      </c>
      <c r="K76" s="121"/>
      <c r="L76" s="114" t="e">
        <f t="shared" si="4"/>
        <v>#DIV/0!</v>
      </c>
    </row>
    <row r="77" spans="1:12" x14ac:dyDescent="0.25">
      <c r="A77" s="12">
        <v>75</v>
      </c>
      <c r="B77" s="44"/>
      <c r="G77" s="26">
        <f t="shared" si="5"/>
        <v>0</v>
      </c>
      <c r="K77" s="120"/>
      <c r="L77" s="114" t="e">
        <f t="shared" si="4"/>
        <v>#DIV/0!</v>
      </c>
    </row>
    <row r="78" spans="1:12" x14ac:dyDescent="0.25">
      <c r="A78" s="12" t="s">
        <v>40</v>
      </c>
      <c r="B78" s="44"/>
      <c r="G78" s="26">
        <f t="shared" si="5"/>
        <v>0</v>
      </c>
      <c r="K78" s="121"/>
      <c r="L78" s="114" t="e">
        <f t="shared" si="4"/>
        <v>#DIV/0!</v>
      </c>
    </row>
    <row r="79" spans="1:12" x14ac:dyDescent="0.25">
      <c r="A79" s="12">
        <v>77</v>
      </c>
      <c r="B79" s="44"/>
      <c r="G79" s="26">
        <f t="shared" si="5"/>
        <v>0</v>
      </c>
      <c r="K79" s="120"/>
      <c r="L79" s="114" t="e">
        <f t="shared" si="4"/>
        <v>#DIV/0!</v>
      </c>
    </row>
    <row r="80" spans="1:12" x14ac:dyDescent="0.25">
      <c r="A80" s="12">
        <v>78</v>
      </c>
      <c r="B80" s="44"/>
      <c r="D80" s="65"/>
      <c r="G80" s="26">
        <f t="shared" si="5"/>
        <v>0</v>
      </c>
      <c r="K80" s="120"/>
      <c r="L80" s="114" t="e">
        <f t="shared" si="4"/>
        <v>#DIV/0!</v>
      </c>
    </row>
    <row r="81" spans="1:12" x14ac:dyDescent="0.25">
      <c r="A81" s="12">
        <v>79</v>
      </c>
      <c r="B81" s="44"/>
      <c r="D81" s="65"/>
      <c r="G81" s="26">
        <f t="shared" si="5"/>
        <v>0</v>
      </c>
      <c r="K81" s="120"/>
      <c r="L81" s="114" t="e">
        <f t="shared" si="4"/>
        <v>#DIV/0!</v>
      </c>
    </row>
    <row r="82" spans="1:12" x14ac:dyDescent="0.25">
      <c r="A82" s="12">
        <v>80</v>
      </c>
      <c r="B82" s="44"/>
      <c r="D82" s="65"/>
      <c r="G82" s="26">
        <f t="shared" si="5"/>
        <v>0</v>
      </c>
      <c r="K82" s="120"/>
      <c r="L82" s="114" t="e">
        <f t="shared" si="4"/>
        <v>#DIV/0!</v>
      </c>
    </row>
    <row r="83" spans="1:12" x14ac:dyDescent="0.25">
      <c r="A83" s="12">
        <v>81</v>
      </c>
      <c r="B83" s="44"/>
      <c r="D83" s="65"/>
      <c r="G83" s="26">
        <f t="shared" si="5"/>
        <v>0</v>
      </c>
      <c r="K83" s="120"/>
      <c r="L83" s="114" t="e">
        <f t="shared" si="4"/>
        <v>#DIV/0!</v>
      </c>
    </row>
    <row r="84" spans="1:12" x14ac:dyDescent="0.25">
      <c r="A84" s="12">
        <v>82</v>
      </c>
      <c r="B84" s="44"/>
      <c r="G84" s="26">
        <f t="shared" si="5"/>
        <v>0</v>
      </c>
      <c r="L84" s="114" t="e">
        <f t="shared" si="4"/>
        <v>#DIV/0!</v>
      </c>
    </row>
    <row r="85" spans="1:12" x14ac:dyDescent="0.25">
      <c r="A85" s="12">
        <v>83</v>
      </c>
      <c r="B85" s="44"/>
      <c r="G85" s="26">
        <f t="shared" si="5"/>
        <v>0</v>
      </c>
      <c r="L85" s="114" t="e">
        <f t="shared" si="4"/>
        <v>#DIV/0!</v>
      </c>
    </row>
    <row r="86" spans="1:12" x14ac:dyDescent="0.25">
      <c r="A86" s="12">
        <v>84</v>
      </c>
      <c r="B86" s="44"/>
      <c r="G86" s="26">
        <f t="shared" si="5"/>
        <v>0</v>
      </c>
      <c r="L86" s="114" t="e">
        <f t="shared" si="4"/>
        <v>#DIV/0!</v>
      </c>
    </row>
    <row r="87" spans="1:12" x14ac:dyDescent="0.25">
      <c r="A87" s="12">
        <v>85</v>
      </c>
      <c r="B87" s="44"/>
      <c r="G87" s="26">
        <f t="shared" si="5"/>
        <v>0</v>
      </c>
      <c r="L87" s="114" t="e">
        <f t="shared" si="4"/>
        <v>#DIV/0!</v>
      </c>
    </row>
    <row r="88" spans="1:12" x14ac:dyDescent="0.3">
      <c r="A88" s="12">
        <v>86</v>
      </c>
      <c r="G88" s="26">
        <f t="shared" si="5"/>
        <v>0</v>
      </c>
      <c r="L88" s="114" t="e">
        <f t="shared" si="4"/>
        <v>#DIV/0!</v>
      </c>
    </row>
    <row r="89" spans="1:12" x14ac:dyDescent="0.3">
      <c r="A89" s="12" t="s">
        <v>42</v>
      </c>
      <c r="G89" s="26">
        <f t="shared" si="5"/>
        <v>0</v>
      </c>
      <c r="K89" s="121"/>
      <c r="L89" s="114" t="e">
        <f t="shared" si="4"/>
        <v>#DIV/0!</v>
      </c>
    </row>
    <row r="90" spans="1:12" x14ac:dyDescent="0.3">
      <c r="A90" s="12">
        <v>88</v>
      </c>
      <c r="G90" s="26">
        <f t="shared" si="5"/>
        <v>0</v>
      </c>
      <c r="L90" s="114" t="e">
        <f t="shared" si="4"/>
        <v>#DIV/0!</v>
      </c>
    </row>
    <row r="91" spans="1:12" x14ac:dyDescent="0.3">
      <c r="A91" s="12">
        <v>89</v>
      </c>
      <c r="G91" s="26">
        <f t="shared" si="5"/>
        <v>0</v>
      </c>
      <c r="L91" s="114" t="e">
        <f t="shared" si="4"/>
        <v>#DIV/0!</v>
      </c>
    </row>
    <row r="92" spans="1:12" x14ac:dyDescent="0.3">
      <c r="A92" s="12">
        <v>90</v>
      </c>
      <c r="G92" s="26">
        <f t="shared" si="5"/>
        <v>0</v>
      </c>
      <c r="L92" s="114" t="e">
        <f t="shared" si="4"/>
        <v>#DIV/0!</v>
      </c>
    </row>
    <row r="93" spans="1:12" x14ac:dyDescent="0.3">
      <c r="A93" s="12">
        <v>91</v>
      </c>
      <c r="G93" s="26">
        <f t="shared" si="5"/>
        <v>0</v>
      </c>
      <c r="L93" s="114" t="e">
        <f t="shared" si="4"/>
        <v>#DIV/0!</v>
      </c>
    </row>
    <row r="94" spans="1:12" x14ac:dyDescent="0.3">
      <c r="A94" s="12">
        <v>92</v>
      </c>
      <c r="G94" s="26">
        <f t="shared" si="5"/>
        <v>0</v>
      </c>
      <c r="L94" s="114" t="e">
        <f t="shared" si="4"/>
        <v>#DIV/0!</v>
      </c>
    </row>
    <row r="95" spans="1:12" x14ac:dyDescent="0.3">
      <c r="A95" s="12">
        <v>93</v>
      </c>
      <c r="G95" s="26">
        <f t="shared" si="5"/>
        <v>0</v>
      </c>
      <c r="L95" s="114" t="e">
        <f t="shared" si="4"/>
        <v>#DIV/0!</v>
      </c>
    </row>
    <row r="96" spans="1:12" x14ac:dyDescent="0.3">
      <c r="A96" s="12">
        <v>94</v>
      </c>
      <c r="G96" s="26">
        <f t="shared" si="5"/>
        <v>0</v>
      </c>
      <c r="L96" s="114" t="e">
        <f t="shared" si="4"/>
        <v>#DIV/0!</v>
      </c>
    </row>
    <row r="97" spans="1:12" x14ac:dyDescent="0.3">
      <c r="A97" s="12">
        <v>95</v>
      </c>
      <c r="G97" s="26">
        <f t="shared" si="5"/>
        <v>0</v>
      </c>
      <c r="L97" s="114" t="e">
        <f t="shared" si="4"/>
        <v>#DIV/0!</v>
      </c>
    </row>
    <row r="98" spans="1:12" x14ac:dyDescent="0.3">
      <c r="A98" s="12">
        <v>96</v>
      </c>
      <c r="G98" s="26">
        <f t="shared" si="5"/>
        <v>0</v>
      </c>
      <c r="L98" s="114" t="e">
        <f t="shared" si="4"/>
        <v>#DIV/0!</v>
      </c>
    </row>
    <row r="99" spans="1:12" x14ac:dyDescent="0.3">
      <c r="A99" s="12">
        <v>97</v>
      </c>
      <c r="G99" s="26">
        <f t="shared" si="5"/>
        <v>0</v>
      </c>
      <c r="K99" s="120"/>
      <c r="L99" s="114" t="e">
        <f t="shared" si="4"/>
        <v>#DIV/0!</v>
      </c>
    </row>
    <row r="100" spans="1:12" x14ac:dyDescent="0.3">
      <c r="A100" s="12">
        <v>98</v>
      </c>
      <c r="G100" s="26">
        <f t="shared" si="5"/>
        <v>0</v>
      </c>
      <c r="K100" s="120"/>
      <c r="L100" s="114" t="e">
        <f t="shared" si="4"/>
        <v>#DIV/0!</v>
      </c>
    </row>
    <row r="101" spans="1:12" x14ac:dyDescent="0.3">
      <c r="A101" s="12">
        <v>99</v>
      </c>
      <c r="G101" s="26">
        <f t="shared" si="5"/>
        <v>0</v>
      </c>
      <c r="K101" s="120"/>
      <c r="L101" s="114" t="e">
        <f t="shared" si="4"/>
        <v>#DIV/0!</v>
      </c>
    </row>
    <row r="102" spans="1:12" x14ac:dyDescent="0.3">
      <c r="A102" s="12">
        <v>100</v>
      </c>
      <c r="G102" s="26">
        <f t="shared" si="5"/>
        <v>0</v>
      </c>
      <c r="K102" s="120"/>
      <c r="L102" s="114" t="e">
        <f t="shared" si="4"/>
        <v>#DIV/0!</v>
      </c>
    </row>
    <row r="103" spans="1:12" x14ac:dyDescent="0.3">
      <c r="A103" s="12">
        <v>101</v>
      </c>
      <c r="G103" s="26">
        <f t="shared" si="5"/>
        <v>0</v>
      </c>
      <c r="K103" s="120"/>
      <c r="L103" s="114" t="e">
        <f t="shared" si="4"/>
        <v>#DIV/0!</v>
      </c>
    </row>
    <row r="104" spans="1:12" x14ac:dyDescent="0.3">
      <c r="A104" s="12">
        <v>102</v>
      </c>
      <c r="G104" s="26">
        <f t="shared" si="5"/>
        <v>0</v>
      </c>
      <c r="K104" s="120"/>
      <c r="L104" s="114" t="e">
        <f t="shared" si="4"/>
        <v>#DIV/0!</v>
      </c>
    </row>
    <row r="105" spans="1:12" x14ac:dyDescent="0.3">
      <c r="A105" s="12">
        <v>103</v>
      </c>
      <c r="G105" s="26">
        <f t="shared" si="5"/>
        <v>0</v>
      </c>
      <c r="K105" s="120"/>
      <c r="L105" s="114" t="e">
        <f t="shared" si="4"/>
        <v>#DIV/0!</v>
      </c>
    </row>
    <row r="106" spans="1:12" x14ac:dyDescent="0.3">
      <c r="A106" s="12">
        <v>104</v>
      </c>
      <c r="G106" s="26">
        <f t="shared" si="5"/>
        <v>0</v>
      </c>
      <c r="K106" s="120"/>
      <c r="L106" s="114" t="e">
        <f t="shared" si="4"/>
        <v>#DIV/0!</v>
      </c>
    </row>
    <row r="107" spans="1:12" x14ac:dyDescent="0.3">
      <c r="A107" s="12">
        <v>105</v>
      </c>
      <c r="G107" s="26">
        <f t="shared" si="5"/>
        <v>0</v>
      </c>
      <c r="K107" s="120"/>
      <c r="L107" s="114" t="e">
        <f t="shared" si="4"/>
        <v>#DIV/0!</v>
      </c>
    </row>
    <row r="108" spans="1:12" x14ac:dyDescent="0.3">
      <c r="A108" s="12">
        <v>106</v>
      </c>
      <c r="G108" s="26">
        <f t="shared" si="5"/>
        <v>0</v>
      </c>
      <c r="K108" s="120"/>
      <c r="L108" s="114" t="e">
        <f t="shared" si="4"/>
        <v>#DIV/0!</v>
      </c>
    </row>
    <row r="109" spans="1:12" x14ac:dyDescent="0.3">
      <c r="A109" s="12">
        <v>107</v>
      </c>
      <c r="G109" s="26">
        <f t="shared" si="5"/>
        <v>0</v>
      </c>
      <c r="K109" s="120"/>
      <c r="L109" s="114" t="e">
        <f t="shared" si="4"/>
        <v>#DIV/0!</v>
      </c>
    </row>
    <row r="110" spans="1:12" x14ac:dyDescent="0.3">
      <c r="A110" s="12">
        <v>108</v>
      </c>
      <c r="G110" s="26">
        <f t="shared" si="5"/>
        <v>0</v>
      </c>
      <c r="K110" s="120"/>
      <c r="L110" s="114" t="e">
        <f t="shared" si="4"/>
        <v>#DIV/0!</v>
      </c>
    </row>
    <row r="111" spans="1:12" x14ac:dyDescent="0.3">
      <c r="A111" s="12" t="s">
        <v>45</v>
      </c>
      <c r="G111" s="26">
        <f t="shared" si="5"/>
        <v>0</v>
      </c>
      <c r="K111" s="121"/>
      <c r="L111" s="114" t="e">
        <f t="shared" si="4"/>
        <v>#DIV/0!</v>
      </c>
    </row>
    <row r="112" spans="1:12" x14ac:dyDescent="0.3">
      <c r="A112" s="12" t="s">
        <v>46</v>
      </c>
      <c r="G112" s="26">
        <f t="shared" si="5"/>
        <v>0</v>
      </c>
      <c r="K112" s="121"/>
      <c r="L112" s="114" t="e">
        <f t="shared" si="4"/>
        <v>#DIV/0!</v>
      </c>
    </row>
    <row r="113" spans="1:21" x14ac:dyDescent="0.3">
      <c r="A113" s="12" t="s">
        <v>47</v>
      </c>
      <c r="G113" s="26">
        <f t="shared" si="5"/>
        <v>0</v>
      </c>
      <c r="K113" s="121"/>
      <c r="L113" s="114" t="e">
        <f t="shared" si="4"/>
        <v>#DIV/0!</v>
      </c>
    </row>
    <row r="114" spans="1:21" x14ac:dyDescent="0.3">
      <c r="A114" s="12" t="s">
        <v>48</v>
      </c>
      <c r="G114" s="26">
        <f t="shared" si="5"/>
        <v>0</v>
      </c>
      <c r="K114" s="121"/>
      <c r="L114" s="114" t="e">
        <f t="shared" si="4"/>
        <v>#DIV/0!</v>
      </c>
    </row>
    <row r="115" spans="1:21" x14ac:dyDescent="0.3">
      <c r="A115" s="12" t="s">
        <v>49</v>
      </c>
      <c r="G115" s="26">
        <f t="shared" si="5"/>
        <v>0</v>
      </c>
      <c r="K115" s="121"/>
      <c r="L115" s="114" t="e">
        <f t="shared" si="4"/>
        <v>#DIV/0!</v>
      </c>
    </row>
    <row r="116" spans="1:21" ht="14.4" customHeight="1" x14ac:dyDescent="0.3">
      <c r="A116" s="12">
        <v>114</v>
      </c>
      <c r="G116" s="26">
        <f t="shared" si="5"/>
        <v>0</v>
      </c>
      <c r="K116" s="120"/>
      <c r="L116" s="114" t="e">
        <f t="shared" si="4"/>
        <v>#DIV/0!</v>
      </c>
    </row>
    <row r="117" spans="1:21" x14ac:dyDescent="0.3">
      <c r="A117" s="12" t="s">
        <v>50</v>
      </c>
      <c r="G117" s="26">
        <f t="shared" si="5"/>
        <v>0</v>
      </c>
      <c r="K117" s="121"/>
      <c r="L117" s="114" t="e">
        <f t="shared" si="4"/>
        <v>#DIV/0!</v>
      </c>
    </row>
    <row r="118" spans="1:21" x14ac:dyDescent="0.3">
      <c r="A118" s="12">
        <v>116</v>
      </c>
      <c r="G118" s="26">
        <f t="shared" si="5"/>
        <v>0</v>
      </c>
      <c r="K118" s="120"/>
      <c r="L118" s="114" t="e">
        <f t="shared" si="4"/>
        <v>#DIV/0!</v>
      </c>
    </row>
    <row r="119" spans="1:21" x14ac:dyDescent="0.3">
      <c r="A119" s="12" t="s">
        <v>51</v>
      </c>
      <c r="G119" s="26">
        <f t="shared" si="5"/>
        <v>0</v>
      </c>
      <c r="K119" s="121"/>
      <c r="L119" s="114" t="e">
        <f t="shared" si="4"/>
        <v>#DIV/0!</v>
      </c>
    </row>
    <row r="120" spans="1:21" ht="14.4" customHeight="1" x14ac:dyDescent="0.3">
      <c r="A120" s="12" t="s">
        <v>52</v>
      </c>
      <c r="G120" s="26">
        <f t="shared" si="5"/>
        <v>0</v>
      </c>
      <c r="K120" s="121"/>
      <c r="L120" s="114" t="e">
        <f t="shared" si="4"/>
        <v>#DIV/0!</v>
      </c>
      <c r="Q120" s="8" t="s">
        <v>63</v>
      </c>
    </row>
    <row r="121" spans="1:21" x14ac:dyDescent="0.3">
      <c r="A121" s="12" t="s">
        <v>53</v>
      </c>
      <c r="G121" s="26">
        <f t="shared" si="5"/>
        <v>0</v>
      </c>
      <c r="K121" s="121"/>
      <c r="L121" s="114" t="e">
        <f t="shared" si="4"/>
        <v>#DIV/0!</v>
      </c>
    </row>
    <row r="122" spans="1:21" x14ac:dyDescent="0.3">
      <c r="A122" s="12" t="s">
        <v>54</v>
      </c>
      <c r="G122" s="26">
        <f t="shared" si="5"/>
        <v>0</v>
      </c>
      <c r="K122" s="120"/>
      <c r="L122" s="114" t="e">
        <f t="shared" si="4"/>
        <v>#DIV/0!</v>
      </c>
      <c r="U122" s="66"/>
    </row>
    <row r="123" spans="1:21" x14ac:dyDescent="0.3">
      <c r="A123" s="12" t="s">
        <v>55</v>
      </c>
      <c r="G123" s="26">
        <f t="shared" si="5"/>
        <v>0</v>
      </c>
      <c r="K123" s="120"/>
      <c r="L123" s="114" t="e">
        <f t="shared" si="4"/>
        <v>#DIV/0!</v>
      </c>
      <c r="U123" s="66"/>
    </row>
    <row r="124" spans="1:21" ht="14.4" customHeight="1" x14ac:dyDescent="0.3">
      <c r="A124" s="12" t="s">
        <v>56</v>
      </c>
      <c r="G124" s="26">
        <f t="shared" si="5"/>
        <v>0</v>
      </c>
      <c r="K124" s="120"/>
      <c r="L124" s="114" t="e">
        <f t="shared" si="4"/>
        <v>#DIV/0!</v>
      </c>
      <c r="U124" s="66"/>
    </row>
    <row r="125" spans="1:21" x14ac:dyDescent="0.3">
      <c r="A125" s="12" t="s">
        <v>57</v>
      </c>
      <c r="G125" s="26">
        <f t="shared" si="5"/>
        <v>0</v>
      </c>
      <c r="K125" s="120"/>
      <c r="L125" s="114" t="e">
        <f t="shared" si="4"/>
        <v>#DIV/0!</v>
      </c>
      <c r="U125" s="66"/>
    </row>
    <row r="126" spans="1:21" x14ac:dyDescent="0.3">
      <c r="A126" s="12" t="s">
        <v>70</v>
      </c>
      <c r="G126" s="26">
        <f t="shared" si="5"/>
        <v>0</v>
      </c>
      <c r="K126" s="121"/>
      <c r="L126" s="114" t="e">
        <f t="shared" si="4"/>
        <v>#DIV/0!</v>
      </c>
    </row>
    <row r="127" spans="1:21" x14ac:dyDescent="0.3">
      <c r="A127" s="12" t="s">
        <v>71</v>
      </c>
      <c r="G127" s="26">
        <f t="shared" si="5"/>
        <v>0</v>
      </c>
      <c r="K127" s="121"/>
      <c r="L127" s="114" t="e">
        <f t="shared" si="4"/>
        <v>#DIV/0!</v>
      </c>
    </row>
    <row r="128" spans="1:21" x14ac:dyDescent="0.3">
      <c r="A128" s="12" t="s">
        <v>72</v>
      </c>
      <c r="G128" s="26">
        <f t="shared" si="5"/>
        <v>0</v>
      </c>
      <c r="K128" s="120"/>
      <c r="L128" s="114" t="e">
        <f t="shared" si="4"/>
        <v>#DIV/0!</v>
      </c>
      <c r="U128" s="66"/>
    </row>
    <row r="129" spans="1:12" x14ac:dyDescent="0.3">
      <c r="A129" s="12" t="s">
        <v>73</v>
      </c>
      <c r="G129" s="26">
        <f t="shared" si="5"/>
        <v>0</v>
      </c>
      <c r="K129" s="120"/>
      <c r="L129" s="114" t="e">
        <f t="shared" si="4"/>
        <v>#DIV/0!</v>
      </c>
    </row>
    <row r="130" spans="1:12" x14ac:dyDescent="0.3">
      <c r="A130" s="12" t="s">
        <v>74</v>
      </c>
      <c r="G130" s="26">
        <f t="shared" si="5"/>
        <v>0</v>
      </c>
      <c r="K130" s="120"/>
      <c r="L130" s="114" t="e">
        <f t="shared" ref="L130:L193" si="6">D130/K130</f>
        <v>#DIV/0!</v>
      </c>
    </row>
    <row r="131" spans="1:12" x14ac:dyDescent="0.3">
      <c r="A131" s="12" t="s">
        <v>75</v>
      </c>
      <c r="G131" s="26">
        <f t="shared" si="5"/>
        <v>0</v>
      </c>
      <c r="K131" s="120"/>
      <c r="L131" s="114" t="e">
        <f t="shared" si="6"/>
        <v>#DIV/0!</v>
      </c>
    </row>
    <row r="132" spans="1:12" x14ac:dyDescent="0.3">
      <c r="A132" s="12" t="s">
        <v>76</v>
      </c>
      <c r="G132" s="26">
        <f t="shared" si="5"/>
        <v>0</v>
      </c>
      <c r="K132" s="120"/>
      <c r="L132" s="114" t="e">
        <f t="shared" si="6"/>
        <v>#DIV/0!</v>
      </c>
    </row>
    <row r="133" spans="1:12" x14ac:dyDescent="0.3">
      <c r="A133" s="12" t="s">
        <v>77</v>
      </c>
      <c r="G133" s="26">
        <f t="shared" ref="G133:G196" si="7">D133-F133-I133</f>
        <v>0</v>
      </c>
      <c r="K133" s="120"/>
      <c r="L133" s="114" t="e">
        <f t="shared" si="6"/>
        <v>#DIV/0!</v>
      </c>
    </row>
    <row r="134" spans="1:12" x14ac:dyDescent="0.3">
      <c r="A134" s="12" t="s">
        <v>78</v>
      </c>
      <c r="G134" s="26">
        <f t="shared" si="7"/>
        <v>0</v>
      </c>
      <c r="K134" s="120"/>
      <c r="L134" s="114" t="e">
        <f t="shared" si="6"/>
        <v>#DIV/0!</v>
      </c>
    </row>
    <row r="135" spans="1:12" x14ac:dyDescent="0.3">
      <c r="A135" s="12" t="s">
        <v>79</v>
      </c>
      <c r="G135" s="26">
        <f t="shared" si="7"/>
        <v>0</v>
      </c>
      <c r="K135" s="120"/>
      <c r="L135" s="114" t="e">
        <f t="shared" si="6"/>
        <v>#DIV/0!</v>
      </c>
    </row>
    <row r="136" spans="1:12" x14ac:dyDescent="0.3">
      <c r="A136" s="12">
        <v>134</v>
      </c>
      <c r="G136" s="26">
        <f t="shared" si="7"/>
        <v>0</v>
      </c>
      <c r="K136" s="120"/>
      <c r="L136" s="114" t="e">
        <f t="shared" si="6"/>
        <v>#DIV/0!</v>
      </c>
    </row>
    <row r="137" spans="1:12" x14ac:dyDescent="0.3">
      <c r="A137" s="12">
        <v>135</v>
      </c>
      <c r="G137" s="26">
        <f t="shared" si="7"/>
        <v>0</v>
      </c>
      <c r="K137" s="120"/>
      <c r="L137" s="114" t="e">
        <f t="shared" si="6"/>
        <v>#DIV/0!</v>
      </c>
    </row>
    <row r="138" spans="1:12" x14ac:dyDescent="0.3">
      <c r="A138" s="12">
        <v>136</v>
      </c>
      <c r="G138" s="26">
        <f t="shared" si="7"/>
        <v>0</v>
      </c>
      <c r="K138" s="120"/>
      <c r="L138" s="114" t="e">
        <f t="shared" si="6"/>
        <v>#DIV/0!</v>
      </c>
    </row>
    <row r="139" spans="1:12" x14ac:dyDescent="0.3">
      <c r="A139" s="12">
        <v>137</v>
      </c>
      <c r="G139" s="26">
        <f t="shared" si="7"/>
        <v>0</v>
      </c>
      <c r="K139" s="120"/>
      <c r="L139" s="114" t="e">
        <f t="shared" si="6"/>
        <v>#DIV/0!</v>
      </c>
    </row>
    <row r="140" spans="1:12" x14ac:dyDescent="0.3">
      <c r="A140" s="12">
        <v>138</v>
      </c>
      <c r="G140" s="26">
        <f t="shared" si="7"/>
        <v>0</v>
      </c>
      <c r="K140" s="120"/>
      <c r="L140" s="114" t="e">
        <f t="shared" si="6"/>
        <v>#DIV/0!</v>
      </c>
    </row>
    <row r="141" spans="1:12" x14ac:dyDescent="0.3">
      <c r="A141" s="12">
        <v>139</v>
      </c>
      <c r="G141" s="26">
        <f t="shared" si="7"/>
        <v>0</v>
      </c>
      <c r="K141" s="120"/>
      <c r="L141" s="114" t="e">
        <f t="shared" si="6"/>
        <v>#DIV/0!</v>
      </c>
    </row>
    <row r="142" spans="1:12" x14ac:dyDescent="0.3">
      <c r="A142" s="12">
        <v>140</v>
      </c>
      <c r="G142" s="26">
        <f t="shared" si="7"/>
        <v>0</v>
      </c>
      <c r="K142" s="120"/>
      <c r="L142" s="114" t="e">
        <f t="shared" si="6"/>
        <v>#DIV/0!</v>
      </c>
    </row>
    <row r="143" spans="1:12" x14ac:dyDescent="0.3">
      <c r="A143" s="12">
        <v>141</v>
      </c>
      <c r="G143" s="26">
        <f t="shared" si="7"/>
        <v>0</v>
      </c>
      <c r="K143" s="120"/>
      <c r="L143" s="114" t="e">
        <f t="shared" si="6"/>
        <v>#DIV/0!</v>
      </c>
    </row>
    <row r="144" spans="1:12" x14ac:dyDescent="0.3">
      <c r="A144" s="12">
        <v>142</v>
      </c>
      <c r="G144" s="26">
        <f t="shared" si="7"/>
        <v>0</v>
      </c>
      <c r="K144" s="120"/>
      <c r="L144" s="114" t="e">
        <f t="shared" si="6"/>
        <v>#DIV/0!</v>
      </c>
    </row>
    <row r="145" spans="1:12" x14ac:dyDescent="0.3">
      <c r="A145" s="12">
        <v>143</v>
      </c>
      <c r="G145" s="26">
        <f t="shared" si="7"/>
        <v>0</v>
      </c>
      <c r="K145" s="120"/>
      <c r="L145" s="114" t="e">
        <f t="shared" si="6"/>
        <v>#DIV/0!</v>
      </c>
    </row>
    <row r="146" spans="1:12" x14ac:dyDescent="0.3">
      <c r="A146" s="12">
        <v>144</v>
      </c>
      <c r="G146" s="26">
        <f t="shared" si="7"/>
        <v>0</v>
      </c>
      <c r="K146" s="120"/>
      <c r="L146" s="114" t="e">
        <f t="shared" si="6"/>
        <v>#DIV/0!</v>
      </c>
    </row>
    <row r="147" spans="1:12" x14ac:dyDescent="0.3">
      <c r="A147" s="12">
        <v>145</v>
      </c>
      <c r="G147" s="26">
        <f t="shared" si="7"/>
        <v>0</v>
      </c>
      <c r="K147" s="120"/>
      <c r="L147" s="114" t="e">
        <f t="shared" si="6"/>
        <v>#DIV/0!</v>
      </c>
    </row>
    <row r="148" spans="1:12" x14ac:dyDescent="0.3">
      <c r="A148" s="12">
        <v>146</v>
      </c>
      <c r="G148" s="26">
        <f t="shared" si="7"/>
        <v>0</v>
      </c>
      <c r="K148" s="120"/>
      <c r="L148" s="114" t="e">
        <f t="shared" si="6"/>
        <v>#DIV/0!</v>
      </c>
    </row>
    <row r="149" spans="1:12" x14ac:dyDescent="0.3">
      <c r="A149" s="12">
        <v>147</v>
      </c>
      <c r="G149" s="26">
        <f t="shared" si="7"/>
        <v>0</v>
      </c>
      <c r="K149" s="120"/>
      <c r="L149" s="114" t="e">
        <f t="shared" si="6"/>
        <v>#DIV/0!</v>
      </c>
    </row>
    <row r="150" spans="1:12" x14ac:dyDescent="0.3">
      <c r="A150" s="12">
        <v>148</v>
      </c>
      <c r="G150" s="26">
        <f t="shared" si="7"/>
        <v>0</v>
      </c>
      <c r="K150" s="120"/>
      <c r="L150" s="114" t="e">
        <f t="shared" si="6"/>
        <v>#DIV/0!</v>
      </c>
    </row>
    <row r="151" spans="1:12" x14ac:dyDescent="0.3">
      <c r="A151" s="12">
        <v>149</v>
      </c>
      <c r="G151" s="26">
        <f t="shared" si="7"/>
        <v>0</v>
      </c>
      <c r="K151" s="120"/>
      <c r="L151" s="114" t="e">
        <f t="shared" si="6"/>
        <v>#DIV/0!</v>
      </c>
    </row>
    <row r="152" spans="1:12" x14ac:dyDescent="0.3">
      <c r="A152" s="12">
        <v>150</v>
      </c>
      <c r="G152" s="26">
        <f t="shared" si="7"/>
        <v>0</v>
      </c>
      <c r="K152" s="120"/>
      <c r="L152" s="114" t="e">
        <f t="shared" si="6"/>
        <v>#DIV/0!</v>
      </c>
    </row>
    <row r="153" spans="1:12" x14ac:dyDescent="0.3">
      <c r="A153" s="12">
        <v>151</v>
      </c>
      <c r="G153" s="26">
        <f t="shared" si="7"/>
        <v>0</v>
      </c>
      <c r="K153" s="120"/>
      <c r="L153" s="114" t="e">
        <f t="shared" si="6"/>
        <v>#DIV/0!</v>
      </c>
    </row>
    <row r="154" spans="1:12" x14ac:dyDescent="0.3">
      <c r="A154" s="12">
        <v>152</v>
      </c>
      <c r="G154" s="26">
        <f t="shared" si="7"/>
        <v>0</v>
      </c>
      <c r="K154" s="120"/>
      <c r="L154" s="114" t="e">
        <f t="shared" si="6"/>
        <v>#DIV/0!</v>
      </c>
    </row>
    <row r="155" spans="1:12" x14ac:dyDescent="0.3">
      <c r="A155" s="12">
        <v>153</v>
      </c>
      <c r="G155" s="26">
        <f t="shared" si="7"/>
        <v>0</v>
      </c>
      <c r="K155" s="120"/>
      <c r="L155" s="114" t="e">
        <f t="shared" si="6"/>
        <v>#DIV/0!</v>
      </c>
    </row>
    <row r="156" spans="1:12" x14ac:dyDescent="0.3">
      <c r="A156" s="12">
        <v>154</v>
      </c>
      <c r="G156" s="26">
        <f t="shared" si="7"/>
        <v>0</v>
      </c>
      <c r="K156" s="120"/>
      <c r="L156" s="114" t="e">
        <f t="shared" si="6"/>
        <v>#DIV/0!</v>
      </c>
    </row>
    <row r="157" spans="1:12" x14ac:dyDescent="0.3">
      <c r="A157" s="12">
        <v>155</v>
      </c>
      <c r="G157" s="26">
        <f t="shared" si="7"/>
        <v>0</v>
      </c>
      <c r="K157" s="120"/>
      <c r="L157" s="114" t="e">
        <f t="shared" si="6"/>
        <v>#DIV/0!</v>
      </c>
    </row>
    <row r="158" spans="1:12" x14ac:dyDescent="0.3">
      <c r="A158" s="12">
        <v>156</v>
      </c>
      <c r="G158" s="26">
        <f t="shared" si="7"/>
        <v>0</v>
      </c>
      <c r="K158" s="120"/>
      <c r="L158" s="114" t="e">
        <f t="shared" si="6"/>
        <v>#DIV/0!</v>
      </c>
    </row>
    <row r="159" spans="1:12" x14ac:dyDescent="0.3">
      <c r="A159" s="12">
        <v>157</v>
      </c>
      <c r="G159" s="26">
        <f t="shared" si="7"/>
        <v>0</v>
      </c>
      <c r="K159" s="120"/>
      <c r="L159" s="114" t="e">
        <f t="shared" si="6"/>
        <v>#DIV/0!</v>
      </c>
    </row>
    <row r="160" spans="1:12" x14ac:dyDescent="0.3">
      <c r="A160" s="12">
        <v>158</v>
      </c>
      <c r="G160" s="26">
        <f t="shared" si="7"/>
        <v>0</v>
      </c>
      <c r="K160" s="120"/>
      <c r="L160" s="114" t="e">
        <f t="shared" si="6"/>
        <v>#DIV/0!</v>
      </c>
    </row>
    <row r="161" spans="1:12" x14ac:dyDescent="0.3">
      <c r="A161" s="12">
        <v>159</v>
      </c>
      <c r="G161" s="26">
        <f t="shared" si="7"/>
        <v>0</v>
      </c>
      <c r="K161" s="120"/>
      <c r="L161" s="114" t="e">
        <f t="shared" si="6"/>
        <v>#DIV/0!</v>
      </c>
    </row>
    <row r="162" spans="1:12" x14ac:dyDescent="0.3">
      <c r="A162" s="12">
        <v>160</v>
      </c>
      <c r="G162" s="26">
        <f t="shared" si="7"/>
        <v>0</v>
      </c>
      <c r="K162" s="120"/>
      <c r="L162" s="114" t="e">
        <f t="shared" si="6"/>
        <v>#DIV/0!</v>
      </c>
    </row>
    <row r="163" spans="1:12" x14ac:dyDescent="0.3">
      <c r="A163" s="12">
        <v>161</v>
      </c>
      <c r="G163" s="26">
        <f t="shared" si="7"/>
        <v>0</v>
      </c>
      <c r="K163" s="120"/>
      <c r="L163" s="114" t="e">
        <f t="shared" si="6"/>
        <v>#DIV/0!</v>
      </c>
    </row>
    <row r="164" spans="1:12" x14ac:dyDescent="0.3">
      <c r="A164" s="12">
        <v>162</v>
      </c>
      <c r="G164" s="26">
        <f t="shared" si="7"/>
        <v>0</v>
      </c>
      <c r="K164" s="120"/>
      <c r="L164" s="114" t="e">
        <f t="shared" si="6"/>
        <v>#DIV/0!</v>
      </c>
    </row>
    <row r="165" spans="1:12" x14ac:dyDescent="0.3">
      <c r="A165" s="12">
        <v>163</v>
      </c>
      <c r="G165" s="26">
        <f t="shared" si="7"/>
        <v>0</v>
      </c>
      <c r="K165" s="120"/>
      <c r="L165" s="114" t="e">
        <f t="shared" si="6"/>
        <v>#DIV/0!</v>
      </c>
    </row>
    <row r="166" spans="1:12" x14ac:dyDescent="0.3">
      <c r="A166" s="12">
        <v>164</v>
      </c>
      <c r="G166" s="26">
        <f t="shared" si="7"/>
        <v>0</v>
      </c>
      <c r="K166" s="120"/>
      <c r="L166" s="114" t="e">
        <f t="shared" si="6"/>
        <v>#DIV/0!</v>
      </c>
    </row>
    <row r="167" spans="1:12" x14ac:dyDescent="0.3">
      <c r="A167" s="12">
        <v>165</v>
      </c>
      <c r="G167" s="26">
        <f t="shared" si="7"/>
        <v>0</v>
      </c>
      <c r="K167" s="120"/>
      <c r="L167" s="114" t="e">
        <f t="shared" si="6"/>
        <v>#DIV/0!</v>
      </c>
    </row>
    <row r="168" spans="1:12" x14ac:dyDescent="0.3">
      <c r="A168" s="12">
        <v>166</v>
      </c>
      <c r="G168" s="26">
        <f t="shared" si="7"/>
        <v>0</v>
      </c>
      <c r="K168" s="120"/>
      <c r="L168" s="114" t="e">
        <f t="shared" si="6"/>
        <v>#DIV/0!</v>
      </c>
    </row>
    <row r="169" spans="1:12" x14ac:dyDescent="0.3">
      <c r="A169" s="12">
        <v>167</v>
      </c>
      <c r="G169" s="26">
        <f t="shared" si="7"/>
        <v>0</v>
      </c>
      <c r="K169" s="120"/>
      <c r="L169" s="114" t="e">
        <f t="shared" si="6"/>
        <v>#DIV/0!</v>
      </c>
    </row>
    <row r="170" spans="1:12" x14ac:dyDescent="0.3">
      <c r="A170" s="12">
        <v>168</v>
      </c>
      <c r="G170" s="26">
        <f t="shared" si="7"/>
        <v>0</v>
      </c>
      <c r="K170" s="120"/>
      <c r="L170" s="114" t="e">
        <f t="shared" si="6"/>
        <v>#DIV/0!</v>
      </c>
    </row>
    <row r="171" spans="1:12" x14ac:dyDescent="0.3">
      <c r="A171" s="12">
        <v>169</v>
      </c>
      <c r="G171" s="26">
        <f t="shared" si="7"/>
        <v>0</v>
      </c>
      <c r="K171" s="120"/>
      <c r="L171" s="114" t="e">
        <f t="shared" si="6"/>
        <v>#DIV/0!</v>
      </c>
    </row>
    <row r="172" spans="1:12" x14ac:dyDescent="0.3">
      <c r="A172" s="12">
        <v>170</v>
      </c>
      <c r="G172" s="26">
        <f t="shared" si="7"/>
        <v>0</v>
      </c>
      <c r="K172" s="120"/>
      <c r="L172" s="114" t="e">
        <f t="shared" si="6"/>
        <v>#DIV/0!</v>
      </c>
    </row>
    <row r="173" spans="1:12" x14ac:dyDescent="0.3">
      <c r="A173" s="12">
        <v>171</v>
      </c>
      <c r="G173" s="26">
        <f t="shared" si="7"/>
        <v>0</v>
      </c>
      <c r="K173" s="120"/>
      <c r="L173" s="114" t="e">
        <f t="shared" si="6"/>
        <v>#DIV/0!</v>
      </c>
    </row>
    <row r="174" spans="1:12" x14ac:dyDescent="0.3">
      <c r="A174" s="12">
        <v>172</v>
      </c>
      <c r="G174" s="26">
        <f t="shared" si="7"/>
        <v>0</v>
      </c>
      <c r="K174" s="120"/>
      <c r="L174" s="114" t="e">
        <f t="shared" si="6"/>
        <v>#DIV/0!</v>
      </c>
    </row>
    <row r="175" spans="1:12" x14ac:dyDescent="0.3">
      <c r="A175" s="12">
        <v>173</v>
      </c>
      <c r="G175" s="26">
        <f t="shared" si="7"/>
        <v>0</v>
      </c>
      <c r="K175" s="120"/>
      <c r="L175" s="114" t="e">
        <f t="shared" si="6"/>
        <v>#DIV/0!</v>
      </c>
    </row>
    <row r="176" spans="1:12" x14ac:dyDescent="0.3">
      <c r="A176" s="12">
        <v>174</v>
      </c>
      <c r="G176" s="26">
        <f t="shared" si="7"/>
        <v>0</v>
      </c>
      <c r="K176" s="120"/>
      <c r="L176" s="114" t="e">
        <f t="shared" si="6"/>
        <v>#DIV/0!</v>
      </c>
    </row>
    <row r="177" spans="1:12" x14ac:dyDescent="0.3">
      <c r="A177" s="12">
        <v>175</v>
      </c>
      <c r="G177" s="26">
        <f t="shared" si="7"/>
        <v>0</v>
      </c>
      <c r="K177" s="120"/>
      <c r="L177" s="114" t="e">
        <f t="shared" si="6"/>
        <v>#DIV/0!</v>
      </c>
    </row>
    <row r="178" spans="1:12" x14ac:dyDescent="0.3">
      <c r="A178" s="12">
        <v>176</v>
      </c>
      <c r="G178" s="26">
        <f t="shared" si="7"/>
        <v>0</v>
      </c>
      <c r="K178" s="120"/>
      <c r="L178" s="114" t="e">
        <f t="shared" si="6"/>
        <v>#DIV/0!</v>
      </c>
    </row>
    <row r="179" spans="1:12" x14ac:dyDescent="0.3">
      <c r="A179" s="12">
        <v>177</v>
      </c>
      <c r="G179" s="26">
        <f t="shared" si="7"/>
        <v>0</v>
      </c>
      <c r="K179" s="120"/>
      <c r="L179" s="114" t="e">
        <f t="shared" si="6"/>
        <v>#DIV/0!</v>
      </c>
    </row>
    <row r="180" spans="1:12" x14ac:dyDescent="0.3">
      <c r="A180" s="12">
        <v>178</v>
      </c>
      <c r="G180" s="26">
        <f t="shared" si="7"/>
        <v>0</v>
      </c>
      <c r="K180" s="120"/>
      <c r="L180" s="114" t="e">
        <f t="shared" si="6"/>
        <v>#DIV/0!</v>
      </c>
    </row>
    <row r="181" spans="1:12" x14ac:dyDescent="0.3">
      <c r="A181" s="12">
        <v>179</v>
      </c>
      <c r="G181" s="26">
        <f t="shared" si="7"/>
        <v>0</v>
      </c>
      <c r="K181" s="120"/>
      <c r="L181" s="114" t="e">
        <f t="shared" si="6"/>
        <v>#DIV/0!</v>
      </c>
    </row>
    <row r="182" spans="1:12" x14ac:dyDescent="0.3">
      <c r="A182" s="12">
        <v>180</v>
      </c>
      <c r="G182" s="26">
        <f t="shared" si="7"/>
        <v>0</v>
      </c>
      <c r="K182" s="120"/>
      <c r="L182" s="114" t="e">
        <f t="shared" si="6"/>
        <v>#DIV/0!</v>
      </c>
    </row>
    <row r="183" spans="1:12" x14ac:dyDescent="0.3">
      <c r="A183" s="12">
        <v>181</v>
      </c>
      <c r="G183" s="26">
        <f t="shared" si="7"/>
        <v>0</v>
      </c>
      <c r="K183" s="120"/>
      <c r="L183" s="114" t="e">
        <f t="shared" si="6"/>
        <v>#DIV/0!</v>
      </c>
    </row>
    <row r="184" spans="1:12" x14ac:dyDescent="0.3">
      <c r="A184" s="12">
        <v>182</v>
      </c>
      <c r="G184" s="26">
        <f t="shared" si="7"/>
        <v>0</v>
      </c>
      <c r="K184" s="120"/>
      <c r="L184" s="114" t="e">
        <f t="shared" si="6"/>
        <v>#DIV/0!</v>
      </c>
    </row>
    <row r="185" spans="1:12" x14ac:dyDescent="0.3">
      <c r="A185" s="12">
        <v>183</v>
      </c>
      <c r="G185" s="26">
        <f t="shared" si="7"/>
        <v>0</v>
      </c>
      <c r="K185" s="120"/>
      <c r="L185" s="114" t="e">
        <f t="shared" si="6"/>
        <v>#DIV/0!</v>
      </c>
    </row>
    <row r="186" spans="1:12" x14ac:dyDescent="0.3">
      <c r="A186" s="12">
        <v>184</v>
      </c>
      <c r="G186" s="26">
        <f t="shared" si="7"/>
        <v>0</v>
      </c>
      <c r="K186" s="120"/>
      <c r="L186" s="114" t="e">
        <f t="shared" si="6"/>
        <v>#DIV/0!</v>
      </c>
    </row>
    <row r="187" spans="1:12" x14ac:dyDescent="0.3">
      <c r="A187" s="12">
        <v>185</v>
      </c>
      <c r="G187" s="26">
        <f t="shared" si="7"/>
        <v>0</v>
      </c>
      <c r="K187" s="120"/>
      <c r="L187" s="114" t="e">
        <f t="shared" si="6"/>
        <v>#DIV/0!</v>
      </c>
    </row>
    <row r="188" spans="1:12" x14ac:dyDescent="0.3">
      <c r="A188" s="12">
        <v>186</v>
      </c>
      <c r="G188" s="26">
        <f t="shared" si="7"/>
        <v>0</v>
      </c>
      <c r="K188" s="120"/>
      <c r="L188" s="114" t="e">
        <f t="shared" si="6"/>
        <v>#DIV/0!</v>
      </c>
    </row>
    <row r="189" spans="1:12" x14ac:dyDescent="0.3">
      <c r="A189" s="12">
        <v>187</v>
      </c>
      <c r="G189" s="26">
        <f t="shared" si="7"/>
        <v>0</v>
      </c>
      <c r="K189" s="120"/>
      <c r="L189" s="114" t="e">
        <f t="shared" si="6"/>
        <v>#DIV/0!</v>
      </c>
    </row>
    <row r="190" spans="1:12" x14ac:dyDescent="0.3">
      <c r="A190" s="12">
        <v>188</v>
      </c>
      <c r="G190" s="26">
        <f t="shared" si="7"/>
        <v>0</v>
      </c>
      <c r="K190" s="120"/>
      <c r="L190" s="114" t="e">
        <f t="shared" si="6"/>
        <v>#DIV/0!</v>
      </c>
    </row>
    <row r="191" spans="1:12" x14ac:dyDescent="0.3">
      <c r="A191" s="12">
        <v>189</v>
      </c>
      <c r="G191" s="26">
        <f t="shared" si="7"/>
        <v>0</v>
      </c>
      <c r="K191" s="120"/>
      <c r="L191" s="114" t="e">
        <f t="shared" si="6"/>
        <v>#DIV/0!</v>
      </c>
    </row>
    <row r="192" spans="1:12" x14ac:dyDescent="0.3">
      <c r="A192" s="12">
        <v>190</v>
      </c>
      <c r="G192" s="26">
        <f t="shared" si="7"/>
        <v>0</v>
      </c>
      <c r="K192" s="120"/>
      <c r="L192" s="114" t="e">
        <f t="shared" si="6"/>
        <v>#DIV/0!</v>
      </c>
    </row>
    <row r="193" spans="1:12" x14ac:dyDescent="0.3">
      <c r="A193" s="12">
        <v>191</v>
      </c>
      <c r="G193" s="26">
        <f t="shared" si="7"/>
        <v>0</v>
      </c>
      <c r="K193" s="120"/>
      <c r="L193" s="114" t="e">
        <f t="shared" si="6"/>
        <v>#DIV/0!</v>
      </c>
    </row>
    <row r="194" spans="1:12" x14ac:dyDescent="0.3">
      <c r="A194" s="12">
        <v>192</v>
      </c>
      <c r="G194" s="26">
        <f t="shared" si="7"/>
        <v>0</v>
      </c>
      <c r="K194" s="120"/>
      <c r="L194" s="114" t="e">
        <f t="shared" ref="L194:L257" si="8">D194/K194</f>
        <v>#DIV/0!</v>
      </c>
    </row>
    <row r="195" spans="1:12" x14ac:dyDescent="0.3">
      <c r="A195" s="12">
        <v>193</v>
      </c>
      <c r="G195" s="26">
        <f t="shared" si="7"/>
        <v>0</v>
      </c>
      <c r="K195" s="120"/>
      <c r="L195" s="114" t="e">
        <f t="shared" si="8"/>
        <v>#DIV/0!</v>
      </c>
    </row>
    <row r="196" spans="1:12" x14ac:dyDescent="0.3">
      <c r="A196" s="12">
        <v>194</v>
      </c>
      <c r="G196" s="26">
        <f t="shared" si="7"/>
        <v>0</v>
      </c>
      <c r="K196" s="120"/>
      <c r="L196" s="114" t="e">
        <f t="shared" si="8"/>
        <v>#DIV/0!</v>
      </c>
    </row>
    <row r="197" spans="1:12" x14ac:dyDescent="0.3">
      <c r="A197" s="12">
        <v>195</v>
      </c>
      <c r="G197" s="26">
        <f t="shared" ref="G197:G260" si="9">D197-F197-I197</f>
        <v>0</v>
      </c>
      <c r="K197" s="120"/>
      <c r="L197" s="114" t="e">
        <f t="shared" si="8"/>
        <v>#DIV/0!</v>
      </c>
    </row>
    <row r="198" spans="1:12" x14ac:dyDescent="0.3">
      <c r="A198" s="12">
        <v>196</v>
      </c>
      <c r="G198" s="26">
        <f t="shared" si="9"/>
        <v>0</v>
      </c>
      <c r="K198" s="120"/>
      <c r="L198" s="114" t="e">
        <f t="shared" si="8"/>
        <v>#DIV/0!</v>
      </c>
    </row>
    <row r="199" spans="1:12" x14ac:dyDescent="0.3">
      <c r="A199" s="12">
        <v>197</v>
      </c>
      <c r="G199" s="26">
        <f t="shared" si="9"/>
        <v>0</v>
      </c>
      <c r="K199" s="120"/>
      <c r="L199" s="114" t="e">
        <f t="shared" si="8"/>
        <v>#DIV/0!</v>
      </c>
    </row>
    <row r="200" spans="1:12" x14ac:dyDescent="0.3">
      <c r="A200" s="12">
        <v>198</v>
      </c>
      <c r="G200" s="26">
        <f t="shared" si="9"/>
        <v>0</v>
      </c>
      <c r="K200" s="120"/>
      <c r="L200" s="114" t="e">
        <f t="shared" si="8"/>
        <v>#DIV/0!</v>
      </c>
    </row>
    <row r="201" spans="1:12" x14ac:dyDescent="0.3">
      <c r="A201" s="12">
        <v>199</v>
      </c>
      <c r="G201" s="26">
        <f t="shared" si="9"/>
        <v>0</v>
      </c>
      <c r="K201" s="120"/>
      <c r="L201" s="114" t="e">
        <f t="shared" si="8"/>
        <v>#DIV/0!</v>
      </c>
    </row>
    <row r="202" spans="1:12" x14ac:dyDescent="0.3">
      <c r="A202" s="12">
        <v>200</v>
      </c>
      <c r="G202" s="26">
        <f t="shared" si="9"/>
        <v>0</v>
      </c>
      <c r="K202" s="120"/>
      <c r="L202" s="114" t="e">
        <f t="shared" si="8"/>
        <v>#DIV/0!</v>
      </c>
    </row>
    <row r="203" spans="1:12" x14ac:dyDescent="0.3">
      <c r="A203" s="12">
        <v>201</v>
      </c>
      <c r="G203" s="26">
        <f t="shared" si="9"/>
        <v>0</v>
      </c>
      <c r="K203" s="120"/>
      <c r="L203" s="114" t="e">
        <f t="shared" si="8"/>
        <v>#DIV/0!</v>
      </c>
    </row>
    <row r="204" spans="1:12" x14ac:dyDescent="0.3">
      <c r="A204" s="12">
        <v>202</v>
      </c>
      <c r="G204" s="26">
        <f t="shared" si="9"/>
        <v>0</v>
      </c>
      <c r="K204" s="120"/>
      <c r="L204" s="114" t="e">
        <f t="shared" si="8"/>
        <v>#DIV/0!</v>
      </c>
    </row>
    <row r="205" spans="1:12" x14ac:dyDescent="0.3">
      <c r="A205" s="12">
        <v>203</v>
      </c>
      <c r="G205" s="26">
        <f t="shared" si="9"/>
        <v>0</v>
      </c>
      <c r="K205" s="120"/>
      <c r="L205" s="114" t="e">
        <f t="shared" si="8"/>
        <v>#DIV/0!</v>
      </c>
    </row>
    <row r="206" spans="1:12" x14ac:dyDescent="0.3">
      <c r="A206" s="12">
        <v>204</v>
      </c>
      <c r="G206" s="26">
        <f t="shared" si="9"/>
        <v>0</v>
      </c>
      <c r="K206" s="120"/>
      <c r="L206" s="114" t="e">
        <f t="shared" si="8"/>
        <v>#DIV/0!</v>
      </c>
    </row>
    <row r="207" spans="1:12" x14ac:dyDescent="0.3">
      <c r="A207" s="12">
        <v>205</v>
      </c>
      <c r="G207" s="26">
        <f t="shared" si="9"/>
        <v>0</v>
      </c>
      <c r="K207" s="120"/>
      <c r="L207" s="114" t="e">
        <f t="shared" si="8"/>
        <v>#DIV/0!</v>
      </c>
    </row>
    <row r="208" spans="1:12" x14ac:dyDescent="0.3">
      <c r="A208" s="12">
        <v>206</v>
      </c>
      <c r="G208" s="26">
        <f t="shared" si="9"/>
        <v>0</v>
      </c>
      <c r="K208" s="120"/>
      <c r="L208" s="114" t="e">
        <f t="shared" si="8"/>
        <v>#DIV/0!</v>
      </c>
    </row>
    <row r="209" spans="1:12" x14ac:dyDescent="0.3">
      <c r="A209" s="12">
        <v>207</v>
      </c>
      <c r="G209" s="26">
        <f t="shared" si="9"/>
        <v>0</v>
      </c>
      <c r="K209" s="120"/>
      <c r="L209" s="114" t="e">
        <f t="shared" si="8"/>
        <v>#DIV/0!</v>
      </c>
    </row>
    <row r="210" spans="1:12" x14ac:dyDescent="0.3">
      <c r="A210" s="12">
        <v>208</v>
      </c>
      <c r="G210" s="26">
        <f t="shared" si="9"/>
        <v>0</v>
      </c>
      <c r="K210" s="120"/>
      <c r="L210" s="114" t="e">
        <f t="shared" si="8"/>
        <v>#DIV/0!</v>
      </c>
    </row>
    <row r="211" spans="1:12" x14ac:dyDescent="0.3">
      <c r="A211" s="12">
        <v>209</v>
      </c>
      <c r="G211" s="26">
        <f t="shared" si="9"/>
        <v>0</v>
      </c>
      <c r="K211" s="120"/>
      <c r="L211" s="114" t="e">
        <f t="shared" si="8"/>
        <v>#DIV/0!</v>
      </c>
    </row>
    <row r="212" spans="1:12" x14ac:dyDescent="0.3">
      <c r="A212" s="12">
        <v>210</v>
      </c>
      <c r="G212" s="26">
        <f t="shared" si="9"/>
        <v>0</v>
      </c>
      <c r="K212" s="120"/>
      <c r="L212" s="114" t="e">
        <f t="shared" si="8"/>
        <v>#DIV/0!</v>
      </c>
    </row>
    <row r="213" spans="1:12" x14ac:dyDescent="0.3">
      <c r="A213" s="12">
        <v>211</v>
      </c>
      <c r="G213" s="26">
        <f t="shared" si="9"/>
        <v>0</v>
      </c>
      <c r="K213" s="120"/>
      <c r="L213" s="114" t="e">
        <f t="shared" si="8"/>
        <v>#DIV/0!</v>
      </c>
    </row>
    <row r="214" spans="1:12" x14ac:dyDescent="0.3">
      <c r="A214" s="12">
        <v>212</v>
      </c>
      <c r="G214" s="26">
        <f t="shared" si="9"/>
        <v>0</v>
      </c>
      <c r="K214" s="120"/>
      <c r="L214" s="114" t="e">
        <f t="shared" si="8"/>
        <v>#DIV/0!</v>
      </c>
    </row>
    <row r="215" spans="1:12" x14ac:dyDescent="0.3">
      <c r="A215" s="12">
        <v>213</v>
      </c>
      <c r="G215" s="26">
        <f t="shared" si="9"/>
        <v>0</v>
      </c>
      <c r="K215" s="120"/>
      <c r="L215" s="114" t="e">
        <f t="shared" si="8"/>
        <v>#DIV/0!</v>
      </c>
    </row>
    <row r="216" spans="1:12" x14ac:dyDescent="0.3">
      <c r="A216" s="12">
        <v>214</v>
      </c>
      <c r="G216" s="26">
        <f t="shared" si="9"/>
        <v>0</v>
      </c>
      <c r="K216" s="120"/>
      <c r="L216" s="114" t="e">
        <f t="shared" si="8"/>
        <v>#DIV/0!</v>
      </c>
    </row>
    <row r="217" spans="1:12" x14ac:dyDescent="0.3">
      <c r="A217" s="12">
        <v>215</v>
      </c>
      <c r="G217" s="26">
        <f t="shared" si="9"/>
        <v>0</v>
      </c>
      <c r="K217" s="120"/>
      <c r="L217" s="114" t="e">
        <f t="shared" si="8"/>
        <v>#DIV/0!</v>
      </c>
    </row>
    <row r="218" spans="1:12" x14ac:dyDescent="0.3">
      <c r="A218" s="12">
        <v>216</v>
      </c>
      <c r="G218" s="26">
        <f t="shared" si="9"/>
        <v>0</v>
      </c>
      <c r="K218" s="120"/>
      <c r="L218" s="114" t="e">
        <f t="shared" si="8"/>
        <v>#DIV/0!</v>
      </c>
    </row>
    <row r="219" spans="1:12" x14ac:dyDescent="0.3">
      <c r="A219" s="12">
        <v>217</v>
      </c>
      <c r="G219" s="26">
        <f t="shared" si="9"/>
        <v>0</v>
      </c>
      <c r="K219" s="120"/>
      <c r="L219" s="114" t="e">
        <f t="shared" si="8"/>
        <v>#DIV/0!</v>
      </c>
    </row>
    <row r="220" spans="1:12" x14ac:dyDescent="0.3">
      <c r="A220" s="12">
        <v>218</v>
      </c>
      <c r="G220" s="26">
        <f t="shared" si="9"/>
        <v>0</v>
      </c>
      <c r="K220" s="120"/>
      <c r="L220" s="114" t="e">
        <f t="shared" si="8"/>
        <v>#DIV/0!</v>
      </c>
    </row>
    <row r="221" spans="1:12" x14ac:dyDescent="0.3">
      <c r="A221" s="12">
        <v>219</v>
      </c>
      <c r="G221" s="26">
        <f t="shared" si="9"/>
        <v>0</v>
      </c>
      <c r="K221" s="120"/>
      <c r="L221" s="114" t="e">
        <f t="shared" si="8"/>
        <v>#DIV/0!</v>
      </c>
    </row>
    <row r="222" spans="1:12" x14ac:dyDescent="0.3">
      <c r="A222" s="12">
        <v>220</v>
      </c>
      <c r="G222" s="26">
        <f t="shared" si="9"/>
        <v>0</v>
      </c>
      <c r="K222" s="120"/>
      <c r="L222" s="114" t="e">
        <f t="shared" si="8"/>
        <v>#DIV/0!</v>
      </c>
    </row>
    <row r="223" spans="1:12" x14ac:dyDescent="0.3">
      <c r="A223" s="12">
        <v>221</v>
      </c>
      <c r="G223" s="26">
        <f t="shared" si="9"/>
        <v>0</v>
      </c>
      <c r="K223" s="120"/>
      <c r="L223" s="114" t="e">
        <f t="shared" si="8"/>
        <v>#DIV/0!</v>
      </c>
    </row>
    <row r="224" spans="1:12" x14ac:dyDescent="0.3">
      <c r="A224" s="12">
        <v>222</v>
      </c>
      <c r="G224" s="26">
        <f t="shared" si="9"/>
        <v>0</v>
      </c>
      <c r="K224" s="120"/>
      <c r="L224" s="114" t="e">
        <f t="shared" si="8"/>
        <v>#DIV/0!</v>
      </c>
    </row>
    <row r="225" spans="1:12" x14ac:dyDescent="0.3">
      <c r="A225" s="12">
        <v>223</v>
      </c>
      <c r="G225" s="26">
        <f t="shared" si="9"/>
        <v>0</v>
      </c>
      <c r="K225" s="120"/>
      <c r="L225" s="114" t="e">
        <f t="shared" si="8"/>
        <v>#DIV/0!</v>
      </c>
    </row>
    <row r="226" spans="1:12" x14ac:dyDescent="0.3">
      <c r="A226" s="12">
        <v>224</v>
      </c>
      <c r="G226" s="26">
        <f t="shared" si="9"/>
        <v>0</v>
      </c>
      <c r="K226" s="120"/>
      <c r="L226" s="114" t="e">
        <f t="shared" si="8"/>
        <v>#DIV/0!</v>
      </c>
    </row>
    <row r="227" spans="1:12" x14ac:dyDescent="0.3">
      <c r="A227" s="12">
        <v>225</v>
      </c>
      <c r="G227" s="26">
        <f t="shared" si="9"/>
        <v>0</v>
      </c>
      <c r="K227" s="120"/>
      <c r="L227" s="114" t="e">
        <f t="shared" si="8"/>
        <v>#DIV/0!</v>
      </c>
    </row>
    <row r="228" spans="1:12" x14ac:dyDescent="0.3">
      <c r="A228" s="12">
        <v>226</v>
      </c>
      <c r="G228" s="26">
        <f t="shared" si="9"/>
        <v>0</v>
      </c>
      <c r="K228" s="120"/>
      <c r="L228" s="114" t="e">
        <f t="shared" si="8"/>
        <v>#DIV/0!</v>
      </c>
    </row>
    <row r="229" spans="1:12" x14ac:dyDescent="0.3">
      <c r="A229" s="12">
        <v>227</v>
      </c>
      <c r="G229" s="26">
        <f t="shared" si="9"/>
        <v>0</v>
      </c>
      <c r="K229" s="120"/>
      <c r="L229" s="114" t="e">
        <f t="shared" si="8"/>
        <v>#DIV/0!</v>
      </c>
    </row>
    <row r="230" spans="1:12" x14ac:dyDescent="0.3">
      <c r="A230" s="12">
        <v>228</v>
      </c>
      <c r="G230" s="26">
        <f t="shared" si="9"/>
        <v>0</v>
      </c>
      <c r="K230" s="120"/>
      <c r="L230" s="114" t="e">
        <f t="shared" si="8"/>
        <v>#DIV/0!</v>
      </c>
    </row>
    <row r="231" spans="1:12" x14ac:dyDescent="0.3">
      <c r="A231" s="12">
        <v>229</v>
      </c>
      <c r="G231" s="26">
        <f t="shared" si="9"/>
        <v>0</v>
      </c>
      <c r="K231" s="120"/>
      <c r="L231" s="114" t="e">
        <f t="shared" si="8"/>
        <v>#DIV/0!</v>
      </c>
    </row>
    <row r="232" spans="1:12" x14ac:dyDescent="0.3">
      <c r="A232" s="12">
        <v>230</v>
      </c>
      <c r="G232" s="26">
        <f t="shared" si="9"/>
        <v>0</v>
      </c>
      <c r="K232" s="120"/>
      <c r="L232" s="114" t="e">
        <f t="shared" si="8"/>
        <v>#DIV/0!</v>
      </c>
    </row>
    <row r="233" spans="1:12" x14ac:dyDescent="0.3">
      <c r="A233" s="12">
        <v>231</v>
      </c>
      <c r="G233" s="26">
        <f t="shared" si="9"/>
        <v>0</v>
      </c>
      <c r="K233" s="120"/>
      <c r="L233" s="114" t="e">
        <f t="shared" si="8"/>
        <v>#DIV/0!</v>
      </c>
    </row>
    <row r="234" spans="1:12" x14ac:dyDescent="0.3">
      <c r="A234" s="12">
        <v>232</v>
      </c>
      <c r="G234" s="26">
        <f t="shared" si="9"/>
        <v>0</v>
      </c>
      <c r="K234" s="120"/>
      <c r="L234" s="114" t="e">
        <f t="shared" si="8"/>
        <v>#DIV/0!</v>
      </c>
    </row>
    <row r="235" spans="1:12" x14ac:dyDescent="0.3">
      <c r="A235" s="12">
        <v>233</v>
      </c>
      <c r="G235" s="26">
        <f t="shared" si="9"/>
        <v>0</v>
      </c>
      <c r="K235" s="120"/>
      <c r="L235" s="114" t="e">
        <f t="shared" si="8"/>
        <v>#DIV/0!</v>
      </c>
    </row>
    <row r="236" spans="1:12" x14ac:dyDescent="0.3">
      <c r="A236" s="12">
        <v>234</v>
      </c>
      <c r="G236" s="26">
        <f t="shared" si="9"/>
        <v>0</v>
      </c>
      <c r="K236" s="120"/>
      <c r="L236" s="114" t="e">
        <f t="shared" si="8"/>
        <v>#DIV/0!</v>
      </c>
    </row>
    <row r="237" spans="1:12" x14ac:dyDescent="0.3">
      <c r="A237" s="12">
        <v>235</v>
      </c>
      <c r="G237" s="26">
        <f t="shared" si="9"/>
        <v>0</v>
      </c>
      <c r="K237" s="120"/>
      <c r="L237" s="114" t="e">
        <f t="shared" si="8"/>
        <v>#DIV/0!</v>
      </c>
    </row>
    <row r="238" spans="1:12" x14ac:dyDescent="0.3">
      <c r="A238" s="12">
        <v>236</v>
      </c>
      <c r="G238" s="26">
        <f t="shared" si="9"/>
        <v>0</v>
      </c>
      <c r="K238" s="120"/>
      <c r="L238" s="114" t="e">
        <f t="shared" si="8"/>
        <v>#DIV/0!</v>
      </c>
    </row>
    <row r="239" spans="1:12" x14ac:dyDescent="0.3">
      <c r="A239" s="12">
        <v>237</v>
      </c>
      <c r="G239" s="26">
        <f t="shared" si="9"/>
        <v>0</v>
      </c>
      <c r="K239" s="120"/>
      <c r="L239" s="114" t="e">
        <f t="shared" si="8"/>
        <v>#DIV/0!</v>
      </c>
    </row>
    <row r="240" spans="1:12" x14ac:dyDescent="0.3">
      <c r="A240" s="12">
        <v>238</v>
      </c>
      <c r="G240" s="26">
        <f t="shared" si="9"/>
        <v>0</v>
      </c>
      <c r="K240" s="120"/>
      <c r="L240" s="114" t="e">
        <f t="shared" si="8"/>
        <v>#DIV/0!</v>
      </c>
    </row>
    <row r="241" spans="1:12" x14ac:dyDescent="0.3">
      <c r="A241" s="12">
        <v>239</v>
      </c>
      <c r="G241" s="26">
        <f t="shared" si="9"/>
        <v>0</v>
      </c>
      <c r="K241" s="120"/>
      <c r="L241" s="114" t="e">
        <f t="shared" si="8"/>
        <v>#DIV/0!</v>
      </c>
    </row>
    <row r="242" spans="1:12" x14ac:dyDescent="0.3">
      <c r="A242" s="12">
        <v>240</v>
      </c>
      <c r="G242" s="26">
        <f t="shared" si="9"/>
        <v>0</v>
      </c>
      <c r="K242" s="120"/>
      <c r="L242" s="114" t="e">
        <f t="shared" si="8"/>
        <v>#DIV/0!</v>
      </c>
    </row>
    <row r="243" spans="1:12" x14ac:dyDescent="0.3">
      <c r="A243" s="12">
        <v>241</v>
      </c>
      <c r="G243" s="26">
        <f t="shared" si="9"/>
        <v>0</v>
      </c>
      <c r="K243" s="120"/>
      <c r="L243" s="114" t="e">
        <f t="shared" si="8"/>
        <v>#DIV/0!</v>
      </c>
    </row>
    <row r="244" spans="1:12" x14ac:dyDescent="0.3">
      <c r="A244" s="12">
        <v>242</v>
      </c>
      <c r="G244" s="26">
        <f t="shared" si="9"/>
        <v>0</v>
      </c>
      <c r="K244" s="120"/>
      <c r="L244" s="114" t="e">
        <f t="shared" si="8"/>
        <v>#DIV/0!</v>
      </c>
    </row>
    <row r="245" spans="1:12" x14ac:dyDescent="0.3">
      <c r="A245" s="12">
        <v>243</v>
      </c>
      <c r="G245" s="26">
        <f t="shared" si="9"/>
        <v>0</v>
      </c>
      <c r="K245" s="120"/>
      <c r="L245" s="114" t="e">
        <f t="shared" si="8"/>
        <v>#DIV/0!</v>
      </c>
    </row>
    <row r="246" spans="1:12" x14ac:dyDescent="0.3">
      <c r="A246" s="12">
        <v>244</v>
      </c>
      <c r="G246" s="26">
        <f t="shared" si="9"/>
        <v>0</v>
      </c>
      <c r="K246" s="120"/>
      <c r="L246" s="114" t="e">
        <f t="shared" si="8"/>
        <v>#DIV/0!</v>
      </c>
    </row>
    <row r="247" spans="1:12" x14ac:dyDescent="0.3">
      <c r="A247" s="12">
        <v>245</v>
      </c>
      <c r="G247" s="26">
        <f t="shared" si="9"/>
        <v>0</v>
      </c>
      <c r="K247" s="120"/>
      <c r="L247" s="114" t="e">
        <f t="shared" si="8"/>
        <v>#DIV/0!</v>
      </c>
    </row>
    <row r="248" spans="1:12" x14ac:dyDescent="0.3">
      <c r="A248" s="12">
        <v>246</v>
      </c>
      <c r="G248" s="26">
        <f t="shared" si="9"/>
        <v>0</v>
      </c>
      <c r="K248" s="120"/>
      <c r="L248" s="114" t="e">
        <f t="shared" si="8"/>
        <v>#DIV/0!</v>
      </c>
    </row>
    <row r="249" spans="1:12" x14ac:dyDescent="0.3">
      <c r="A249" s="12">
        <v>247</v>
      </c>
      <c r="G249" s="26">
        <f t="shared" si="9"/>
        <v>0</v>
      </c>
      <c r="K249" s="120"/>
      <c r="L249" s="114" t="e">
        <f t="shared" si="8"/>
        <v>#DIV/0!</v>
      </c>
    </row>
    <row r="250" spans="1:12" x14ac:dyDescent="0.3">
      <c r="A250" s="12">
        <v>248</v>
      </c>
      <c r="G250" s="26">
        <f t="shared" si="9"/>
        <v>0</v>
      </c>
      <c r="K250" s="120"/>
      <c r="L250" s="114" t="e">
        <f t="shared" si="8"/>
        <v>#DIV/0!</v>
      </c>
    </row>
    <row r="251" spans="1:12" x14ac:dyDescent="0.3">
      <c r="A251" s="12">
        <v>249</v>
      </c>
      <c r="G251" s="26">
        <f t="shared" si="9"/>
        <v>0</v>
      </c>
      <c r="K251" s="120"/>
      <c r="L251" s="114" t="e">
        <f t="shared" si="8"/>
        <v>#DIV/0!</v>
      </c>
    </row>
    <row r="252" spans="1:12" x14ac:dyDescent="0.3">
      <c r="A252" s="12">
        <v>250</v>
      </c>
      <c r="G252" s="26">
        <f t="shared" si="9"/>
        <v>0</v>
      </c>
      <c r="K252" s="120"/>
      <c r="L252" s="114" t="e">
        <f t="shared" si="8"/>
        <v>#DIV/0!</v>
      </c>
    </row>
    <row r="253" spans="1:12" x14ac:dyDescent="0.3">
      <c r="A253" s="12">
        <v>251</v>
      </c>
      <c r="G253" s="26">
        <f t="shared" si="9"/>
        <v>0</v>
      </c>
      <c r="K253" s="120"/>
      <c r="L253" s="114" t="e">
        <f t="shared" si="8"/>
        <v>#DIV/0!</v>
      </c>
    </row>
    <row r="254" spans="1:12" x14ac:dyDescent="0.3">
      <c r="A254" s="12">
        <v>252</v>
      </c>
      <c r="G254" s="26">
        <f t="shared" si="9"/>
        <v>0</v>
      </c>
      <c r="K254" s="120"/>
      <c r="L254" s="114" t="e">
        <f t="shared" si="8"/>
        <v>#DIV/0!</v>
      </c>
    </row>
    <row r="255" spans="1:12" x14ac:dyDescent="0.3">
      <c r="A255" s="12">
        <v>253</v>
      </c>
      <c r="G255" s="26">
        <f t="shared" si="9"/>
        <v>0</v>
      </c>
      <c r="K255" s="120"/>
      <c r="L255" s="114" t="e">
        <f t="shared" si="8"/>
        <v>#DIV/0!</v>
      </c>
    </row>
    <row r="256" spans="1:12" x14ac:dyDescent="0.3">
      <c r="A256" s="12">
        <v>254</v>
      </c>
      <c r="G256" s="26">
        <f t="shared" si="9"/>
        <v>0</v>
      </c>
      <c r="K256" s="120"/>
      <c r="L256" s="114" t="e">
        <f t="shared" si="8"/>
        <v>#DIV/0!</v>
      </c>
    </row>
    <row r="257" spans="1:12" x14ac:dyDescent="0.3">
      <c r="A257" s="12">
        <v>255</v>
      </c>
      <c r="G257" s="26">
        <f t="shared" si="9"/>
        <v>0</v>
      </c>
      <c r="K257" s="120"/>
      <c r="L257" s="114" t="e">
        <f t="shared" si="8"/>
        <v>#DIV/0!</v>
      </c>
    </row>
    <row r="258" spans="1:12" x14ac:dyDescent="0.3">
      <c r="A258" s="12">
        <v>256</v>
      </c>
      <c r="G258" s="26">
        <f t="shared" si="9"/>
        <v>0</v>
      </c>
      <c r="K258" s="120"/>
      <c r="L258" s="114" t="e">
        <f t="shared" ref="L258:L321" si="10">D258/K258</f>
        <v>#DIV/0!</v>
      </c>
    </row>
    <row r="259" spans="1:12" x14ac:dyDescent="0.3">
      <c r="A259" s="12">
        <v>257</v>
      </c>
      <c r="G259" s="26">
        <f t="shared" si="9"/>
        <v>0</v>
      </c>
      <c r="K259" s="120"/>
      <c r="L259" s="114" t="e">
        <f t="shared" si="10"/>
        <v>#DIV/0!</v>
      </c>
    </row>
    <row r="260" spans="1:12" x14ac:dyDescent="0.3">
      <c r="A260" s="12">
        <v>258</v>
      </c>
      <c r="G260" s="26">
        <f t="shared" si="9"/>
        <v>0</v>
      </c>
      <c r="K260" s="120"/>
      <c r="L260" s="114" t="e">
        <f t="shared" si="10"/>
        <v>#DIV/0!</v>
      </c>
    </row>
    <row r="261" spans="1:12" x14ac:dyDescent="0.3">
      <c r="A261" s="12">
        <v>259</v>
      </c>
      <c r="G261" s="26">
        <f t="shared" ref="G261:G324" si="11">D261-F261-I261</f>
        <v>0</v>
      </c>
      <c r="K261" s="120"/>
      <c r="L261" s="114" t="e">
        <f t="shared" si="10"/>
        <v>#DIV/0!</v>
      </c>
    </row>
    <row r="262" spans="1:12" x14ac:dyDescent="0.3">
      <c r="A262" s="12">
        <v>260</v>
      </c>
      <c r="G262" s="26">
        <f t="shared" si="11"/>
        <v>0</v>
      </c>
      <c r="K262" s="120"/>
      <c r="L262" s="114" t="e">
        <f t="shared" si="10"/>
        <v>#DIV/0!</v>
      </c>
    </row>
    <row r="263" spans="1:12" x14ac:dyDescent="0.3">
      <c r="A263" s="12">
        <v>261</v>
      </c>
      <c r="G263" s="26">
        <f t="shared" si="11"/>
        <v>0</v>
      </c>
      <c r="K263" s="120"/>
      <c r="L263" s="114" t="e">
        <f t="shared" si="10"/>
        <v>#DIV/0!</v>
      </c>
    </row>
    <row r="264" spans="1:12" x14ac:dyDescent="0.3">
      <c r="A264" s="12">
        <v>262</v>
      </c>
      <c r="G264" s="26">
        <f t="shared" si="11"/>
        <v>0</v>
      </c>
      <c r="K264" s="120"/>
      <c r="L264" s="114" t="e">
        <f t="shared" si="10"/>
        <v>#DIV/0!</v>
      </c>
    </row>
    <row r="265" spans="1:12" x14ac:dyDescent="0.3">
      <c r="A265" s="12">
        <v>263</v>
      </c>
      <c r="G265" s="26">
        <f t="shared" si="11"/>
        <v>0</v>
      </c>
      <c r="K265" s="120"/>
      <c r="L265" s="114" t="e">
        <f t="shared" si="10"/>
        <v>#DIV/0!</v>
      </c>
    </row>
    <row r="266" spans="1:12" x14ac:dyDescent="0.3">
      <c r="A266" s="12">
        <v>264</v>
      </c>
      <c r="G266" s="26">
        <f t="shared" si="11"/>
        <v>0</v>
      </c>
      <c r="K266" s="120"/>
      <c r="L266" s="114" t="e">
        <f t="shared" si="10"/>
        <v>#DIV/0!</v>
      </c>
    </row>
    <row r="267" spans="1:12" x14ac:dyDescent="0.3">
      <c r="A267" s="12">
        <v>265</v>
      </c>
      <c r="G267" s="26">
        <f t="shared" si="11"/>
        <v>0</v>
      </c>
      <c r="K267" s="120"/>
      <c r="L267" s="114" t="e">
        <f t="shared" si="10"/>
        <v>#DIV/0!</v>
      </c>
    </row>
    <row r="268" spans="1:12" x14ac:dyDescent="0.3">
      <c r="A268" s="12">
        <v>266</v>
      </c>
      <c r="G268" s="26">
        <f t="shared" si="11"/>
        <v>0</v>
      </c>
      <c r="K268" s="120"/>
      <c r="L268" s="114" t="e">
        <f t="shared" si="10"/>
        <v>#DIV/0!</v>
      </c>
    </row>
    <row r="269" spans="1:12" x14ac:dyDescent="0.3">
      <c r="A269" s="12">
        <v>267</v>
      </c>
      <c r="G269" s="26">
        <f t="shared" si="11"/>
        <v>0</v>
      </c>
      <c r="K269" s="120"/>
      <c r="L269" s="114" t="e">
        <f t="shared" si="10"/>
        <v>#DIV/0!</v>
      </c>
    </row>
    <row r="270" spans="1:12" x14ac:dyDescent="0.3">
      <c r="A270" s="12">
        <v>268</v>
      </c>
      <c r="G270" s="26">
        <f t="shared" si="11"/>
        <v>0</v>
      </c>
      <c r="K270" s="120"/>
      <c r="L270" s="114" t="e">
        <f t="shared" si="10"/>
        <v>#DIV/0!</v>
      </c>
    </row>
    <row r="271" spans="1:12" x14ac:dyDescent="0.3">
      <c r="A271" s="12">
        <v>269</v>
      </c>
      <c r="G271" s="26">
        <f t="shared" si="11"/>
        <v>0</v>
      </c>
      <c r="K271" s="120"/>
      <c r="L271" s="114" t="e">
        <f t="shared" si="10"/>
        <v>#DIV/0!</v>
      </c>
    </row>
    <row r="272" spans="1:12" x14ac:dyDescent="0.3">
      <c r="A272" s="12">
        <v>270</v>
      </c>
      <c r="G272" s="26">
        <f t="shared" si="11"/>
        <v>0</v>
      </c>
      <c r="K272" s="120"/>
      <c r="L272" s="114" t="e">
        <f t="shared" si="10"/>
        <v>#DIV/0!</v>
      </c>
    </row>
    <row r="273" spans="1:12" x14ac:dyDescent="0.3">
      <c r="A273" s="12">
        <v>271</v>
      </c>
      <c r="G273" s="26">
        <f t="shared" si="11"/>
        <v>0</v>
      </c>
      <c r="K273" s="120"/>
      <c r="L273" s="114" t="e">
        <f t="shared" si="10"/>
        <v>#DIV/0!</v>
      </c>
    </row>
    <row r="274" spans="1:12" x14ac:dyDescent="0.3">
      <c r="A274" s="12">
        <v>272</v>
      </c>
      <c r="G274" s="26">
        <f t="shared" si="11"/>
        <v>0</v>
      </c>
      <c r="K274" s="120"/>
      <c r="L274" s="114" t="e">
        <f t="shared" si="10"/>
        <v>#DIV/0!</v>
      </c>
    </row>
    <row r="275" spans="1:12" x14ac:dyDescent="0.3">
      <c r="A275" s="12">
        <v>273</v>
      </c>
      <c r="G275" s="26">
        <f t="shared" si="11"/>
        <v>0</v>
      </c>
      <c r="K275" s="120"/>
      <c r="L275" s="114" t="e">
        <f t="shared" si="10"/>
        <v>#DIV/0!</v>
      </c>
    </row>
    <row r="276" spans="1:12" x14ac:dyDescent="0.3">
      <c r="A276" s="12">
        <v>274</v>
      </c>
      <c r="G276" s="26">
        <f t="shared" si="11"/>
        <v>0</v>
      </c>
      <c r="K276" s="120"/>
      <c r="L276" s="114" t="e">
        <f t="shared" si="10"/>
        <v>#DIV/0!</v>
      </c>
    </row>
    <row r="277" spans="1:12" x14ac:dyDescent="0.3">
      <c r="A277" s="12">
        <v>275</v>
      </c>
      <c r="G277" s="26">
        <f t="shared" si="11"/>
        <v>0</v>
      </c>
      <c r="K277" s="120"/>
      <c r="L277" s="114" t="e">
        <f t="shared" si="10"/>
        <v>#DIV/0!</v>
      </c>
    </row>
    <row r="278" spans="1:12" x14ac:dyDescent="0.3">
      <c r="A278" s="12">
        <v>276</v>
      </c>
      <c r="G278" s="26">
        <f t="shared" si="11"/>
        <v>0</v>
      </c>
      <c r="K278" s="120"/>
      <c r="L278" s="114" t="e">
        <f t="shared" si="10"/>
        <v>#DIV/0!</v>
      </c>
    </row>
    <row r="279" spans="1:12" x14ac:dyDescent="0.3">
      <c r="A279" s="12">
        <v>277</v>
      </c>
      <c r="G279" s="26">
        <f t="shared" si="11"/>
        <v>0</v>
      </c>
      <c r="K279" s="120"/>
      <c r="L279" s="114" t="e">
        <f t="shared" si="10"/>
        <v>#DIV/0!</v>
      </c>
    </row>
    <row r="280" spans="1:12" x14ac:dyDescent="0.3">
      <c r="A280" s="12">
        <v>278</v>
      </c>
      <c r="G280" s="26">
        <f t="shared" si="11"/>
        <v>0</v>
      </c>
      <c r="K280" s="120"/>
      <c r="L280" s="114" t="e">
        <f t="shared" si="10"/>
        <v>#DIV/0!</v>
      </c>
    </row>
    <row r="281" spans="1:12" x14ac:dyDescent="0.3">
      <c r="A281" s="12">
        <v>279</v>
      </c>
      <c r="G281" s="26">
        <f t="shared" si="11"/>
        <v>0</v>
      </c>
      <c r="K281" s="120"/>
      <c r="L281" s="114" t="e">
        <f t="shared" si="10"/>
        <v>#DIV/0!</v>
      </c>
    </row>
    <row r="282" spans="1:12" x14ac:dyDescent="0.3">
      <c r="A282" s="12">
        <v>280</v>
      </c>
      <c r="G282" s="26">
        <f t="shared" si="11"/>
        <v>0</v>
      </c>
      <c r="K282" s="120"/>
      <c r="L282" s="114" t="e">
        <f t="shared" si="10"/>
        <v>#DIV/0!</v>
      </c>
    </row>
    <row r="283" spans="1:12" x14ac:dyDescent="0.3">
      <c r="A283" s="12">
        <v>281</v>
      </c>
      <c r="G283" s="26">
        <f t="shared" si="11"/>
        <v>0</v>
      </c>
      <c r="K283" s="120"/>
      <c r="L283" s="114" t="e">
        <f t="shared" si="10"/>
        <v>#DIV/0!</v>
      </c>
    </row>
    <row r="284" spans="1:12" x14ac:dyDescent="0.3">
      <c r="G284" s="26">
        <f t="shared" si="11"/>
        <v>0</v>
      </c>
      <c r="K284" s="120"/>
      <c r="L284" s="114" t="e">
        <f t="shared" si="10"/>
        <v>#DIV/0!</v>
      </c>
    </row>
    <row r="285" spans="1:12" x14ac:dyDescent="0.3">
      <c r="G285" s="26">
        <f t="shared" si="11"/>
        <v>0</v>
      </c>
      <c r="K285" s="120"/>
      <c r="L285" s="114" t="e">
        <f t="shared" si="10"/>
        <v>#DIV/0!</v>
      </c>
    </row>
    <row r="286" spans="1:12" x14ac:dyDescent="0.3">
      <c r="G286" s="26">
        <f t="shared" si="11"/>
        <v>0</v>
      </c>
      <c r="K286" s="120"/>
      <c r="L286" s="114" t="e">
        <f t="shared" si="10"/>
        <v>#DIV/0!</v>
      </c>
    </row>
    <row r="287" spans="1:12" x14ac:dyDescent="0.3">
      <c r="G287" s="26">
        <f t="shared" si="11"/>
        <v>0</v>
      </c>
      <c r="K287" s="120"/>
      <c r="L287" s="114" t="e">
        <f t="shared" si="10"/>
        <v>#DIV/0!</v>
      </c>
    </row>
    <row r="288" spans="1:12" x14ac:dyDescent="0.3">
      <c r="G288" s="26">
        <f t="shared" si="11"/>
        <v>0</v>
      </c>
      <c r="K288" s="120"/>
      <c r="L288" s="114" t="e">
        <f t="shared" si="10"/>
        <v>#DIV/0!</v>
      </c>
    </row>
    <row r="289" spans="7:12" x14ac:dyDescent="0.3">
      <c r="G289" s="26">
        <f t="shared" si="11"/>
        <v>0</v>
      </c>
      <c r="K289" s="120"/>
      <c r="L289" s="114" t="e">
        <f t="shared" si="10"/>
        <v>#DIV/0!</v>
      </c>
    </row>
    <row r="290" spans="7:12" x14ac:dyDescent="0.3">
      <c r="G290" s="26">
        <f t="shared" si="11"/>
        <v>0</v>
      </c>
      <c r="K290" s="120"/>
      <c r="L290" s="114" t="e">
        <f t="shared" si="10"/>
        <v>#DIV/0!</v>
      </c>
    </row>
    <row r="291" spans="7:12" x14ac:dyDescent="0.3">
      <c r="G291" s="26">
        <f t="shared" si="11"/>
        <v>0</v>
      </c>
      <c r="K291" s="120"/>
      <c r="L291" s="114" t="e">
        <f t="shared" si="10"/>
        <v>#DIV/0!</v>
      </c>
    </row>
    <row r="292" spans="7:12" x14ac:dyDescent="0.3">
      <c r="G292" s="26">
        <f t="shared" si="11"/>
        <v>0</v>
      </c>
      <c r="K292" s="120"/>
      <c r="L292" s="114" t="e">
        <f t="shared" si="10"/>
        <v>#DIV/0!</v>
      </c>
    </row>
    <row r="293" spans="7:12" x14ac:dyDescent="0.3">
      <c r="G293" s="26">
        <f t="shared" si="11"/>
        <v>0</v>
      </c>
      <c r="K293" s="120"/>
      <c r="L293" s="114" t="e">
        <f t="shared" si="10"/>
        <v>#DIV/0!</v>
      </c>
    </row>
    <row r="294" spans="7:12" x14ac:dyDescent="0.3">
      <c r="G294" s="26">
        <f t="shared" si="11"/>
        <v>0</v>
      </c>
      <c r="K294" s="120"/>
      <c r="L294" s="114" t="e">
        <f t="shared" si="10"/>
        <v>#DIV/0!</v>
      </c>
    </row>
    <row r="295" spans="7:12" x14ac:dyDescent="0.3">
      <c r="G295" s="26">
        <f t="shared" si="11"/>
        <v>0</v>
      </c>
      <c r="K295" s="120"/>
      <c r="L295" s="114" t="e">
        <f t="shared" si="10"/>
        <v>#DIV/0!</v>
      </c>
    </row>
    <row r="296" spans="7:12" x14ac:dyDescent="0.3">
      <c r="G296" s="26">
        <f t="shared" si="11"/>
        <v>0</v>
      </c>
      <c r="K296" s="120"/>
      <c r="L296" s="114" t="e">
        <f t="shared" si="10"/>
        <v>#DIV/0!</v>
      </c>
    </row>
    <row r="297" spans="7:12" x14ac:dyDescent="0.3">
      <c r="G297" s="26">
        <f t="shared" si="11"/>
        <v>0</v>
      </c>
      <c r="K297" s="120"/>
      <c r="L297" s="114" t="e">
        <f t="shared" si="10"/>
        <v>#DIV/0!</v>
      </c>
    </row>
    <row r="298" spans="7:12" x14ac:dyDescent="0.3">
      <c r="G298" s="26">
        <f t="shared" si="11"/>
        <v>0</v>
      </c>
      <c r="K298" s="120"/>
      <c r="L298" s="114" t="e">
        <f t="shared" si="10"/>
        <v>#DIV/0!</v>
      </c>
    </row>
    <row r="299" spans="7:12" x14ac:dyDescent="0.3">
      <c r="G299" s="26">
        <f t="shared" si="11"/>
        <v>0</v>
      </c>
      <c r="K299" s="120"/>
      <c r="L299" s="114" t="e">
        <f t="shared" si="10"/>
        <v>#DIV/0!</v>
      </c>
    </row>
    <row r="300" spans="7:12" x14ac:dyDescent="0.3">
      <c r="G300" s="26">
        <f t="shared" si="11"/>
        <v>0</v>
      </c>
      <c r="K300" s="120"/>
      <c r="L300" s="114" t="e">
        <f t="shared" si="10"/>
        <v>#DIV/0!</v>
      </c>
    </row>
    <row r="301" spans="7:12" x14ac:dyDescent="0.3">
      <c r="G301" s="26">
        <f t="shared" si="11"/>
        <v>0</v>
      </c>
      <c r="K301" s="120"/>
      <c r="L301" s="114" t="e">
        <f t="shared" si="10"/>
        <v>#DIV/0!</v>
      </c>
    </row>
    <row r="302" spans="7:12" x14ac:dyDescent="0.3">
      <c r="G302" s="26">
        <f t="shared" si="11"/>
        <v>0</v>
      </c>
      <c r="K302" s="120"/>
      <c r="L302" s="114" t="e">
        <f t="shared" si="10"/>
        <v>#DIV/0!</v>
      </c>
    </row>
    <row r="303" spans="7:12" x14ac:dyDescent="0.3">
      <c r="G303" s="26">
        <f t="shared" si="11"/>
        <v>0</v>
      </c>
      <c r="K303" s="120"/>
      <c r="L303" s="114" t="e">
        <f t="shared" si="10"/>
        <v>#DIV/0!</v>
      </c>
    </row>
    <row r="304" spans="7:12" x14ac:dyDescent="0.3">
      <c r="G304" s="26">
        <f t="shared" si="11"/>
        <v>0</v>
      </c>
      <c r="K304" s="120"/>
      <c r="L304" s="114" t="e">
        <f t="shared" si="10"/>
        <v>#DIV/0!</v>
      </c>
    </row>
    <row r="305" spans="7:12" x14ac:dyDescent="0.3">
      <c r="G305" s="26">
        <f t="shared" si="11"/>
        <v>0</v>
      </c>
      <c r="K305" s="120"/>
      <c r="L305" s="114" t="e">
        <f t="shared" si="10"/>
        <v>#DIV/0!</v>
      </c>
    </row>
    <row r="306" spans="7:12" x14ac:dyDescent="0.3">
      <c r="G306" s="26">
        <f t="shared" si="11"/>
        <v>0</v>
      </c>
      <c r="K306" s="120"/>
      <c r="L306" s="114" t="e">
        <f t="shared" si="10"/>
        <v>#DIV/0!</v>
      </c>
    </row>
    <row r="307" spans="7:12" x14ac:dyDescent="0.3">
      <c r="G307" s="26">
        <f t="shared" si="11"/>
        <v>0</v>
      </c>
      <c r="K307" s="120"/>
      <c r="L307" s="114" t="e">
        <f t="shared" si="10"/>
        <v>#DIV/0!</v>
      </c>
    </row>
    <row r="308" spans="7:12" x14ac:dyDescent="0.3">
      <c r="G308" s="26">
        <f t="shared" si="11"/>
        <v>0</v>
      </c>
      <c r="K308" s="120"/>
      <c r="L308" s="114" t="e">
        <f t="shared" si="10"/>
        <v>#DIV/0!</v>
      </c>
    </row>
    <row r="309" spans="7:12" x14ac:dyDescent="0.3">
      <c r="G309" s="26">
        <f t="shared" si="11"/>
        <v>0</v>
      </c>
      <c r="K309" s="120"/>
      <c r="L309" s="114" t="e">
        <f t="shared" si="10"/>
        <v>#DIV/0!</v>
      </c>
    </row>
    <row r="310" spans="7:12" x14ac:dyDescent="0.3">
      <c r="G310" s="26">
        <f t="shared" si="11"/>
        <v>0</v>
      </c>
      <c r="K310" s="120"/>
      <c r="L310" s="114" t="e">
        <f t="shared" si="10"/>
        <v>#DIV/0!</v>
      </c>
    </row>
    <row r="311" spans="7:12" x14ac:dyDescent="0.3">
      <c r="G311" s="26">
        <f t="shared" si="11"/>
        <v>0</v>
      </c>
      <c r="K311" s="120"/>
      <c r="L311" s="114" t="e">
        <f t="shared" si="10"/>
        <v>#DIV/0!</v>
      </c>
    </row>
    <row r="312" spans="7:12" x14ac:dyDescent="0.3">
      <c r="G312" s="26">
        <f t="shared" si="11"/>
        <v>0</v>
      </c>
      <c r="K312" s="120"/>
      <c r="L312" s="114" t="e">
        <f t="shared" si="10"/>
        <v>#DIV/0!</v>
      </c>
    </row>
    <row r="313" spans="7:12" x14ac:dyDescent="0.3">
      <c r="G313" s="26">
        <f t="shared" si="11"/>
        <v>0</v>
      </c>
      <c r="K313" s="120"/>
      <c r="L313" s="114" t="e">
        <f t="shared" si="10"/>
        <v>#DIV/0!</v>
      </c>
    </row>
    <row r="314" spans="7:12" x14ac:dyDescent="0.3">
      <c r="G314" s="26">
        <f t="shared" si="11"/>
        <v>0</v>
      </c>
      <c r="K314" s="120"/>
      <c r="L314" s="114" t="e">
        <f t="shared" si="10"/>
        <v>#DIV/0!</v>
      </c>
    </row>
    <row r="315" spans="7:12" x14ac:dyDescent="0.3">
      <c r="G315" s="26">
        <f t="shared" si="11"/>
        <v>0</v>
      </c>
      <c r="K315" s="120"/>
      <c r="L315" s="114" t="e">
        <f t="shared" si="10"/>
        <v>#DIV/0!</v>
      </c>
    </row>
    <row r="316" spans="7:12" x14ac:dyDescent="0.3">
      <c r="G316" s="26">
        <f t="shared" si="11"/>
        <v>0</v>
      </c>
      <c r="K316" s="120"/>
      <c r="L316" s="114" t="e">
        <f t="shared" si="10"/>
        <v>#DIV/0!</v>
      </c>
    </row>
    <row r="317" spans="7:12" x14ac:dyDescent="0.3">
      <c r="G317" s="26">
        <f t="shared" si="11"/>
        <v>0</v>
      </c>
      <c r="K317" s="120"/>
      <c r="L317" s="114" t="e">
        <f t="shared" si="10"/>
        <v>#DIV/0!</v>
      </c>
    </row>
    <row r="318" spans="7:12" x14ac:dyDescent="0.3">
      <c r="G318" s="26">
        <f t="shared" si="11"/>
        <v>0</v>
      </c>
      <c r="K318" s="120"/>
      <c r="L318" s="114" t="e">
        <f t="shared" si="10"/>
        <v>#DIV/0!</v>
      </c>
    </row>
    <row r="319" spans="7:12" x14ac:dyDescent="0.3">
      <c r="G319" s="26">
        <f t="shared" si="11"/>
        <v>0</v>
      </c>
      <c r="K319" s="120"/>
      <c r="L319" s="114" t="e">
        <f t="shared" si="10"/>
        <v>#DIV/0!</v>
      </c>
    </row>
    <row r="320" spans="7:12" x14ac:dyDescent="0.3">
      <c r="G320" s="26">
        <f t="shared" si="11"/>
        <v>0</v>
      </c>
      <c r="K320" s="120"/>
      <c r="L320" s="114" t="e">
        <f t="shared" si="10"/>
        <v>#DIV/0!</v>
      </c>
    </row>
    <row r="321" spans="7:12" x14ac:dyDescent="0.3">
      <c r="G321" s="26">
        <f t="shared" si="11"/>
        <v>0</v>
      </c>
      <c r="K321" s="120"/>
      <c r="L321" s="114" t="e">
        <f t="shared" si="10"/>
        <v>#DIV/0!</v>
      </c>
    </row>
    <row r="322" spans="7:12" x14ac:dyDescent="0.3">
      <c r="G322" s="26">
        <f t="shared" si="11"/>
        <v>0</v>
      </c>
      <c r="K322" s="120"/>
      <c r="L322" s="114" t="e">
        <f t="shared" ref="L322:L361" si="12">D322/K322</f>
        <v>#DIV/0!</v>
      </c>
    </row>
    <row r="323" spans="7:12" x14ac:dyDescent="0.3">
      <c r="G323" s="26">
        <f t="shared" si="11"/>
        <v>0</v>
      </c>
      <c r="K323" s="120"/>
      <c r="L323" s="114" t="e">
        <f t="shared" si="12"/>
        <v>#DIV/0!</v>
      </c>
    </row>
    <row r="324" spans="7:12" x14ac:dyDescent="0.3">
      <c r="G324" s="26">
        <f t="shared" si="11"/>
        <v>0</v>
      </c>
      <c r="K324" s="120"/>
      <c r="L324" s="114" t="e">
        <f t="shared" si="12"/>
        <v>#DIV/0!</v>
      </c>
    </row>
    <row r="325" spans="7:12" x14ac:dyDescent="0.3">
      <c r="G325" s="26">
        <f t="shared" ref="G325:G361" si="13">D325-F325-I325</f>
        <v>0</v>
      </c>
      <c r="K325" s="120"/>
      <c r="L325" s="114" t="e">
        <f t="shared" si="12"/>
        <v>#DIV/0!</v>
      </c>
    </row>
    <row r="326" spans="7:12" x14ac:dyDescent="0.3">
      <c r="G326" s="26">
        <f t="shared" si="13"/>
        <v>0</v>
      </c>
      <c r="K326" s="120"/>
      <c r="L326" s="114" t="e">
        <f t="shared" si="12"/>
        <v>#DIV/0!</v>
      </c>
    </row>
    <row r="327" spans="7:12" x14ac:dyDescent="0.3">
      <c r="G327" s="26">
        <f t="shared" si="13"/>
        <v>0</v>
      </c>
      <c r="K327" s="120"/>
      <c r="L327" s="114" t="e">
        <f t="shared" si="12"/>
        <v>#DIV/0!</v>
      </c>
    </row>
    <row r="328" spans="7:12" x14ac:dyDescent="0.3">
      <c r="G328" s="26">
        <f t="shared" si="13"/>
        <v>0</v>
      </c>
      <c r="K328" s="120"/>
      <c r="L328" s="114" t="e">
        <f t="shared" si="12"/>
        <v>#DIV/0!</v>
      </c>
    </row>
    <row r="329" spans="7:12" x14ac:dyDescent="0.3">
      <c r="G329" s="26">
        <f t="shared" si="13"/>
        <v>0</v>
      </c>
      <c r="K329" s="120"/>
      <c r="L329" s="114" t="e">
        <f t="shared" si="12"/>
        <v>#DIV/0!</v>
      </c>
    </row>
    <row r="330" spans="7:12" x14ac:dyDescent="0.3">
      <c r="G330" s="26">
        <f t="shared" si="13"/>
        <v>0</v>
      </c>
      <c r="K330" s="120"/>
      <c r="L330" s="114" t="e">
        <f t="shared" si="12"/>
        <v>#DIV/0!</v>
      </c>
    </row>
    <row r="331" spans="7:12" x14ac:dyDescent="0.3">
      <c r="G331" s="26">
        <f t="shared" si="13"/>
        <v>0</v>
      </c>
      <c r="K331" s="120"/>
      <c r="L331" s="114" t="e">
        <f t="shared" si="12"/>
        <v>#DIV/0!</v>
      </c>
    </row>
    <row r="332" spans="7:12" x14ac:dyDescent="0.3">
      <c r="G332" s="26">
        <f t="shared" si="13"/>
        <v>0</v>
      </c>
      <c r="K332" s="120"/>
      <c r="L332" s="114" t="e">
        <f t="shared" si="12"/>
        <v>#DIV/0!</v>
      </c>
    </row>
    <row r="333" spans="7:12" x14ac:dyDescent="0.3">
      <c r="G333" s="26">
        <f t="shared" si="13"/>
        <v>0</v>
      </c>
      <c r="K333" s="120"/>
      <c r="L333" s="114" t="e">
        <f t="shared" si="12"/>
        <v>#DIV/0!</v>
      </c>
    </row>
    <row r="334" spans="7:12" x14ac:dyDescent="0.3">
      <c r="G334" s="26">
        <f t="shared" si="13"/>
        <v>0</v>
      </c>
      <c r="K334" s="120"/>
      <c r="L334" s="114" t="e">
        <f t="shared" si="12"/>
        <v>#DIV/0!</v>
      </c>
    </row>
    <row r="335" spans="7:12" x14ac:dyDescent="0.3">
      <c r="G335" s="26">
        <f t="shared" si="13"/>
        <v>0</v>
      </c>
      <c r="K335" s="120"/>
      <c r="L335" s="114" t="e">
        <f t="shared" si="12"/>
        <v>#DIV/0!</v>
      </c>
    </row>
    <row r="336" spans="7:12" x14ac:dyDescent="0.3">
      <c r="G336" s="26">
        <f t="shared" si="13"/>
        <v>0</v>
      </c>
      <c r="K336" s="120"/>
      <c r="L336" s="114" t="e">
        <f t="shared" si="12"/>
        <v>#DIV/0!</v>
      </c>
    </row>
    <row r="337" spans="7:12" x14ac:dyDescent="0.3">
      <c r="G337" s="26">
        <f t="shared" si="13"/>
        <v>0</v>
      </c>
      <c r="K337" s="120"/>
      <c r="L337" s="114" t="e">
        <f t="shared" si="12"/>
        <v>#DIV/0!</v>
      </c>
    </row>
    <row r="338" spans="7:12" x14ac:dyDescent="0.3">
      <c r="G338" s="26">
        <f t="shared" si="13"/>
        <v>0</v>
      </c>
      <c r="K338" s="120"/>
      <c r="L338" s="114" t="e">
        <f t="shared" si="12"/>
        <v>#DIV/0!</v>
      </c>
    </row>
    <row r="339" spans="7:12" x14ac:dyDescent="0.3">
      <c r="G339" s="26">
        <f t="shared" si="13"/>
        <v>0</v>
      </c>
      <c r="K339" s="120"/>
      <c r="L339" s="114" t="e">
        <f t="shared" si="12"/>
        <v>#DIV/0!</v>
      </c>
    </row>
    <row r="340" spans="7:12" x14ac:dyDescent="0.3">
      <c r="G340" s="26">
        <f t="shared" si="13"/>
        <v>0</v>
      </c>
      <c r="K340" s="120"/>
      <c r="L340" s="114" t="e">
        <f t="shared" si="12"/>
        <v>#DIV/0!</v>
      </c>
    </row>
    <row r="341" spans="7:12" x14ac:dyDescent="0.3">
      <c r="G341" s="26">
        <f t="shared" si="13"/>
        <v>0</v>
      </c>
      <c r="K341" s="120"/>
      <c r="L341" s="114" t="e">
        <f t="shared" si="12"/>
        <v>#DIV/0!</v>
      </c>
    </row>
    <row r="342" spans="7:12" x14ac:dyDescent="0.3">
      <c r="G342" s="26">
        <f t="shared" si="13"/>
        <v>0</v>
      </c>
      <c r="K342" s="120"/>
      <c r="L342" s="114" t="e">
        <f t="shared" si="12"/>
        <v>#DIV/0!</v>
      </c>
    </row>
    <row r="343" spans="7:12" x14ac:dyDescent="0.3">
      <c r="G343" s="26">
        <f t="shared" si="13"/>
        <v>0</v>
      </c>
      <c r="K343" s="120"/>
      <c r="L343" s="114" t="e">
        <f t="shared" si="12"/>
        <v>#DIV/0!</v>
      </c>
    </row>
    <row r="344" spans="7:12" x14ac:dyDescent="0.3">
      <c r="G344" s="26">
        <f t="shared" si="13"/>
        <v>0</v>
      </c>
      <c r="K344" s="120"/>
      <c r="L344" s="114" t="e">
        <f t="shared" si="12"/>
        <v>#DIV/0!</v>
      </c>
    </row>
    <row r="345" spans="7:12" x14ac:dyDescent="0.3">
      <c r="G345" s="26">
        <f t="shared" si="13"/>
        <v>0</v>
      </c>
      <c r="K345" s="120"/>
      <c r="L345" s="114" t="e">
        <f t="shared" si="12"/>
        <v>#DIV/0!</v>
      </c>
    </row>
    <row r="346" spans="7:12" x14ac:dyDescent="0.3">
      <c r="G346" s="26">
        <f t="shared" si="13"/>
        <v>0</v>
      </c>
      <c r="K346" s="120"/>
      <c r="L346" s="114" t="e">
        <f t="shared" si="12"/>
        <v>#DIV/0!</v>
      </c>
    </row>
    <row r="347" spans="7:12" x14ac:dyDescent="0.3">
      <c r="G347" s="26">
        <f t="shared" si="13"/>
        <v>0</v>
      </c>
      <c r="K347" s="120"/>
      <c r="L347" s="114" t="e">
        <f t="shared" si="12"/>
        <v>#DIV/0!</v>
      </c>
    </row>
    <row r="348" spans="7:12" x14ac:dyDescent="0.3">
      <c r="G348" s="26">
        <f t="shared" si="13"/>
        <v>0</v>
      </c>
      <c r="K348" s="120"/>
      <c r="L348" s="114" t="e">
        <f t="shared" si="12"/>
        <v>#DIV/0!</v>
      </c>
    </row>
    <row r="349" spans="7:12" x14ac:dyDescent="0.3">
      <c r="G349" s="26">
        <f t="shared" si="13"/>
        <v>0</v>
      </c>
      <c r="K349" s="120"/>
      <c r="L349" s="114" t="e">
        <f t="shared" si="12"/>
        <v>#DIV/0!</v>
      </c>
    </row>
    <row r="350" spans="7:12" x14ac:dyDescent="0.3">
      <c r="G350" s="26">
        <f t="shared" si="13"/>
        <v>0</v>
      </c>
      <c r="K350" s="120"/>
      <c r="L350" s="114" t="e">
        <f t="shared" si="12"/>
        <v>#DIV/0!</v>
      </c>
    </row>
    <row r="351" spans="7:12" x14ac:dyDescent="0.3">
      <c r="G351" s="26">
        <f t="shared" si="13"/>
        <v>0</v>
      </c>
      <c r="K351" s="120"/>
      <c r="L351" s="114" t="e">
        <f t="shared" si="12"/>
        <v>#DIV/0!</v>
      </c>
    </row>
    <row r="352" spans="7:12" x14ac:dyDescent="0.3">
      <c r="G352" s="26">
        <f t="shared" si="13"/>
        <v>0</v>
      </c>
      <c r="K352" s="120"/>
      <c r="L352" s="114" t="e">
        <f t="shared" si="12"/>
        <v>#DIV/0!</v>
      </c>
    </row>
    <row r="353" spans="7:12" x14ac:dyDescent="0.3">
      <c r="G353" s="26">
        <f t="shared" si="13"/>
        <v>0</v>
      </c>
      <c r="K353" s="120"/>
      <c r="L353" s="114" t="e">
        <f t="shared" si="12"/>
        <v>#DIV/0!</v>
      </c>
    </row>
    <row r="354" spans="7:12" x14ac:dyDescent="0.3">
      <c r="G354" s="26">
        <f t="shared" si="13"/>
        <v>0</v>
      </c>
      <c r="K354" s="120"/>
      <c r="L354" s="114" t="e">
        <f t="shared" si="12"/>
        <v>#DIV/0!</v>
      </c>
    </row>
    <row r="355" spans="7:12" x14ac:dyDescent="0.3">
      <c r="G355" s="26">
        <f t="shared" si="13"/>
        <v>0</v>
      </c>
      <c r="K355" s="120"/>
      <c r="L355" s="114" t="e">
        <f t="shared" si="12"/>
        <v>#DIV/0!</v>
      </c>
    </row>
    <row r="356" spans="7:12" x14ac:dyDescent="0.3">
      <c r="G356" s="26">
        <f t="shared" si="13"/>
        <v>0</v>
      </c>
      <c r="K356" s="120"/>
      <c r="L356" s="114" t="e">
        <f t="shared" si="12"/>
        <v>#DIV/0!</v>
      </c>
    </row>
    <row r="357" spans="7:12" x14ac:dyDescent="0.3">
      <c r="G357" s="26">
        <f t="shared" si="13"/>
        <v>0</v>
      </c>
      <c r="K357" s="120"/>
      <c r="L357" s="114" t="e">
        <f t="shared" si="12"/>
        <v>#DIV/0!</v>
      </c>
    </row>
    <row r="358" spans="7:12" x14ac:dyDescent="0.3">
      <c r="G358" s="26">
        <f t="shared" si="13"/>
        <v>0</v>
      </c>
      <c r="K358" s="120"/>
      <c r="L358" s="114" t="e">
        <f t="shared" si="12"/>
        <v>#DIV/0!</v>
      </c>
    </row>
    <row r="359" spans="7:12" x14ac:dyDescent="0.3">
      <c r="G359" s="26">
        <f t="shared" si="13"/>
        <v>0</v>
      </c>
      <c r="K359" s="120"/>
      <c r="L359" s="114" t="e">
        <f t="shared" si="12"/>
        <v>#DIV/0!</v>
      </c>
    </row>
    <row r="360" spans="7:12" x14ac:dyDescent="0.3">
      <c r="G360" s="26">
        <f t="shared" si="13"/>
        <v>0</v>
      </c>
      <c r="K360" s="120"/>
      <c r="L360" s="114" t="e">
        <f t="shared" si="12"/>
        <v>#DIV/0!</v>
      </c>
    </row>
    <row r="361" spans="7:12" x14ac:dyDescent="0.3">
      <c r="G361" s="26">
        <f t="shared" si="13"/>
        <v>0</v>
      </c>
      <c r="K361" s="120"/>
      <c r="L361" s="114" t="e">
        <f t="shared" si="12"/>
        <v>#DIV/0!</v>
      </c>
    </row>
    <row r="362" spans="7:12" x14ac:dyDescent="0.3">
      <c r="K362" s="120"/>
    </row>
  </sheetData>
  <sheetProtection selectLockedCells="1"/>
  <autoFilter ref="A1:U36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3"/>
  <sheetViews>
    <sheetView topLeftCell="C1" zoomScale="70" zoomScaleNormal="70" workbookViewId="0">
      <selection activeCell="S1" sqref="S1:T1"/>
    </sheetView>
  </sheetViews>
  <sheetFormatPr defaultColWidth="8.88671875" defaultRowHeight="13.8" x14ac:dyDescent="0.3"/>
  <cols>
    <col min="1" max="1" width="6.6640625" style="12" customWidth="1"/>
    <col min="2" max="2" width="34.88671875" style="43" customWidth="1"/>
    <col min="3" max="3" width="11.44140625" style="15" customWidth="1"/>
    <col min="4" max="4" width="17.88671875" style="25" customWidth="1"/>
    <col min="5" max="5" width="11.88671875" style="24" customWidth="1"/>
    <col min="6" max="6" width="13.6640625" style="7" customWidth="1"/>
    <col min="7" max="7" width="13.6640625" style="27" customWidth="1"/>
    <col min="8" max="8" width="11.88671875" style="24" customWidth="1"/>
    <col min="9" max="9" width="13.6640625" style="7" customWidth="1"/>
    <col min="10" max="10" width="16.33203125" style="116" customWidth="1"/>
    <col min="11" max="11" width="18.109375" style="64" customWidth="1"/>
    <col min="12" max="12" width="14.44140625" style="8" bestFit="1" customWidth="1"/>
    <col min="13" max="13" width="20.109375" style="8" customWidth="1"/>
    <col min="14" max="14" width="16.109375" style="8" customWidth="1"/>
    <col min="15" max="15" width="13.88671875" style="8" customWidth="1"/>
    <col min="16" max="16" width="15.6640625" style="8" bestFit="1" customWidth="1"/>
    <col min="17" max="17" width="14.33203125" style="8" customWidth="1"/>
    <col min="18" max="18" width="20.109375" style="67" customWidth="1"/>
    <col min="19" max="16384" width="8.88671875" style="8"/>
  </cols>
  <sheetData>
    <row r="1" spans="1:20" s="11" customFormat="1" ht="47.4" thickBot="1" x14ac:dyDescent="0.35">
      <c r="A1" s="3" t="s">
        <v>17</v>
      </c>
      <c r="B1" s="4" t="s">
        <v>19</v>
      </c>
      <c r="C1" s="13" t="s">
        <v>23</v>
      </c>
      <c r="D1" s="14" t="s">
        <v>15</v>
      </c>
      <c r="E1" s="23" t="s">
        <v>0</v>
      </c>
      <c r="F1" s="35" t="s">
        <v>5</v>
      </c>
      <c r="G1" s="5" t="s">
        <v>6</v>
      </c>
      <c r="H1" s="23" t="s">
        <v>0</v>
      </c>
      <c r="I1" s="6" t="s">
        <v>1</v>
      </c>
      <c r="J1" s="115" t="s">
        <v>107</v>
      </c>
      <c r="K1" s="35" t="s">
        <v>22</v>
      </c>
      <c r="L1" s="62" t="s">
        <v>3</v>
      </c>
      <c r="M1" s="112">
        <f>SUM(F:F,I:I)</f>
        <v>110000</v>
      </c>
      <c r="N1" s="28" t="s">
        <v>7</v>
      </c>
      <c r="O1" s="111">
        <f>SUM(G:G)</f>
        <v>0</v>
      </c>
      <c r="P1" s="29" t="s">
        <v>4</v>
      </c>
      <c r="Q1" s="110">
        <f>SUM(D:D)</f>
        <v>110000</v>
      </c>
      <c r="R1" s="10" t="s">
        <v>107</v>
      </c>
      <c r="S1" s="252">
        <f>M1/1.06-SUM(D:D)</f>
        <v>-6226.4150943396235</v>
      </c>
      <c r="T1" s="253"/>
    </row>
    <row r="2" spans="1:20" x14ac:dyDescent="0.3">
      <c r="A2" s="12">
        <v>1</v>
      </c>
      <c r="B2" s="43" t="s">
        <v>106</v>
      </c>
      <c r="D2" s="25">
        <v>110000</v>
      </c>
      <c r="F2" s="7">
        <v>110000</v>
      </c>
      <c r="G2" s="26">
        <f t="shared" ref="G2:G33" si="0">D2-F2-I2</f>
        <v>0</v>
      </c>
      <c r="K2" s="63">
        <f t="shared" ref="K2:K65" si="1">F2+I2</f>
        <v>110000</v>
      </c>
      <c r="M2" s="31"/>
      <c r="N2" s="30"/>
      <c r="R2" s="67" t="s">
        <v>60</v>
      </c>
    </row>
    <row r="3" spans="1:20" x14ac:dyDescent="0.3">
      <c r="A3" s="12">
        <v>2</v>
      </c>
      <c r="G3" s="26">
        <f t="shared" si="0"/>
        <v>0</v>
      </c>
      <c r="K3" s="63">
        <f t="shared" si="1"/>
        <v>0</v>
      </c>
      <c r="M3" s="9"/>
      <c r="R3" s="67" t="s">
        <v>60</v>
      </c>
    </row>
    <row r="4" spans="1:20" x14ac:dyDescent="0.3">
      <c r="A4" s="12">
        <v>3</v>
      </c>
      <c r="G4" s="26">
        <f t="shared" si="0"/>
        <v>0</v>
      </c>
      <c r="K4" s="63">
        <f t="shared" si="1"/>
        <v>0</v>
      </c>
      <c r="R4" s="67" t="s">
        <v>60</v>
      </c>
    </row>
    <row r="5" spans="1:20" x14ac:dyDescent="0.3">
      <c r="A5" s="12">
        <v>4</v>
      </c>
      <c r="C5" s="56"/>
      <c r="D5" s="57"/>
      <c r="G5" s="26">
        <f t="shared" si="0"/>
        <v>0</v>
      </c>
      <c r="K5" s="63">
        <f t="shared" si="1"/>
        <v>0</v>
      </c>
      <c r="R5" s="67" t="s">
        <v>60</v>
      </c>
    </row>
    <row r="6" spans="1:20" x14ac:dyDescent="0.3">
      <c r="A6" s="12">
        <v>5</v>
      </c>
      <c r="C6" s="56"/>
      <c r="D6" s="57"/>
      <c r="G6" s="26">
        <f t="shared" si="0"/>
        <v>0</v>
      </c>
      <c r="K6" s="63">
        <f t="shared" si="1"/>
        <v>0</v>
      </c>
      <c r="R6" s="67" t="s">
        <v>60</v>
      </c>
    </row>
    <row r="7" spans="1:20" x14ac:dyDescent="0.3">
      <c r="A7" s="12">
        <v>6</v>
      </c>
      <c r="C7" s="56"/>
      <c r="D7" s="57"/>
      <c r="G7" s="26">
        <f t="shared" si="0"/>
        <v>0</v>
      </c>
      <c r="K7" s="63">
        <f t="shared" si="1"/>
        <v>0</v>
      </c>
      <c r="R7" s="67" t="s">
        <v>60</v>
      </c>
    </row>
    <row r="8" spans="1:20" x14ac:dyDescent="0.3">
      <c r="A8" s="12">
        <v>7</v>
      </c>
      <c r="C8" s="56"/>
      <c r="D8" s="57"/>
      <c r="G8" s="26">
        <f t="shared" si="0"/>
        <v>0</v>
      </c>
      <c r="K8" s="63">
        <f t="shared" si="1"/>
        <v>0</v>
      </c>
      <c r="R8" s="68" t="s">
        <v>60</v>
      </c>
    </row>
    <row r="9" spans="1:20" x14ac:dyDescent="0.3">
      <c r="A9" s="12">
        <v>8</v>
      </c>
      <c r="C9" s="56"/>
      <c r="D9" s="57"/>
      <c r="G9" s="26">
        <f t="shared" si="0"/>
        <v>0</v>
      </c>
      <c r="K9" s="63">
        <f t="shared" si="1"/>
        <v>0</v>
      </c>
      <c r="R9" s="68" t="s">
        <v>60</v>
      </c>
    </row>
    <row r="10" spans="1:20" x14ac:dyDescent="0.3">
      <c r="A10" s="12">
        <v>9</v>
      </c>
      <c r="C10" s="56"/>
      <c r="D10" s="57"/>
      <c r="G10" s="26">
        <f t="shared" si="0"/>
        <v>0</v>
      </c>
      <c r="K10" s="63">
        <f t="shared" si="1"/>
        <v>0</v>
      </c>
      <c r="R10" s="68" t="s">
        <v>60</v>
      </c>
    </row>
    <row r="11" spans="1:20" x14ac:dyDescent="0.3">
      <c r="A11" s="12">
        <v>10</v>
      </c>
      <c r="C11" s="56"/>
      <c r="D11" s="57"/>
      <c r="G11" s="26">
        <f t="shared" si="0"/>
        <v>0</v>
      </c>
      <c r="K11" s="63">
        <f t="shared" si="1"/>
        <v>0</v>
      </c>
      <c r="R11" s="68" t="s">
        <v>60</v>
      </c>
    </row>
    <row r="12" spans="1:20" x14ac:dyDescent="0.3">
      <c r="A12" s="12">
        <v>11</v>
      </c>
      <c r="C12" s="56"/>
      <c r="D12" s="57"/>
      <c r="G12" s="26">
        <f t="shared" si="0"/>
        <v>0</v>
      </c>
      <c r="K12" s="63">
        <f t="shared" si="1"/>
        <v>0</v>
      </c>
      <c r="R12" s="68" t="s">
        <v>60</v>
      </c>
    </row>
    <row r="13" spans="1:20" x14ac:dyDescent="0.3">
      <c r="A13" s="12">
        <v>12</v>
      </c>
      <c r="C13" s="56"/>
      <c r="D13" s="57"/>
      <c r="G13" s="26">
        <f t="shared" si="0"/>
        <v>0</v>
      </c>
      <c r="K13" s="63">
        <f t="shared" si="1"/>
        <v>0</v>
      </c>
      <c r="R13" s="68" t="s">
        <v>60</v>
      </c>
    </row>
    <row r="14" spans="1:20" x14ac:dyDescent="0.3">
      <c r="A14" s="12">
        <v>13</v>
      </c>
      <c r="C14" s="56"/>
      <c r="D14" s="57"/>
      <c r="G14" s="26">
        <f t="shared" si="0"/>
        <v>0</v>
      </c>
      <c r="K14" s="63">
        <f t="shared" si="1"/>
        <v>0</v>
      </c>
      <c r="R14" s="67" t="s">
        <v>60</v>
      </c>
    </row>
    <row r="15" spans="1:20" x14ac:dyDescent="0.3">
      <c r="A15" s="12">
        <v>14</v>
      </c>
      <c r="C15" s="56"/>
      <c r="D15" s="57"/>
      <c r="G15" s="26">
        <f t="shared" si="0"/>
        <v>0</v>
      </c>
      <c r="K15" s="63">
        <f t="shared" si="1"/>
        <v>0</v>
      </c>
      <c r="R15" s="67" t="s">
        <v>60</v>
      </c>
    </row>
    <row r="16" spans="1:20" x14ac:dyDescent="0.3">
      <c r="A16" s="12">
        <v>15</v>
      </c>
      <c r="C16" s="56"/>
      <c r="D16" s="57"/>
      <c r="G16" s="26">
        <f t="shared" si="0"/>
        <v>0</v>
      </c>
      <c r="K16" s="63">
        <f t="shared" si="1"/>
        <v>0</v>
      </c>
      <c r="R16" s="67" t="s">
        <v>60</v>
      </c>
    </row>
    <row r="17" spans="1:18" x14ac:dyDescent="0.3">
      <c r="A17" s="12">
        <v>16</v>
      </c>
      <c r="C17" s="56"/>
      <c r="D17" s="57"/>
      <c r="G17" s="26">
        <f t="shared" si="0"/>
        <v>0</v>
      </c>
      <c r="K17" s="63">
        <f t="shared" si="1"/>
        <v>0</v>
      </c>
      <c r="R17" s="67" t="s">
        <v>60</v>
      </c>
    </row>
    <row r="18" spans="1:18" x14ac:dyDescent="0.25">
      <c r="A18" s="12">
        <v>17</v>
      </c>
      <c r="B18" s="58"/>
      <c r="C18" s="56"/>
      <c r="D18" s="57"/>
      <c r="G18" s="26">
        <f t="shared" si="0"/>
        <v>0</v>
      </c>
      <c r="K18" s="63">
        <f t="shared" si="1"/>
        <v>0</v>
      </c>
      <c r="R18" s="67" t="s">
        <v>60</v>
      </c>
    </row>
    <row r="19" spans="1:18" x14ac:dyDescent="0.3">
      <c r="A19" s="12">
        <v>18</v>
      </c>
      <c r="C19" s="56"/>
      <c r="D19" s="57"/>
      <c r="G19" s="26">
        <f t="shared" si="0"/>
        <v>0</v>
      </c>
      <c r="K19" s="63">
        <f t="shared" si="1"/>
        <v>0</v>
      </c>
      <c r="R19" s="67" t="s">
        <v>60</v>
      </c>
    </row>
    <row r="20" spans="1:18" x14ac:dyDescent="0.3">
      <c r="A20" s="12">
        <v>19</v>
      </c>
      <c r="C20" s="56"/>
      <c r="D20" s="57"/>
      <c r="G20" s="26">
        <f t="shared" si="0"/>
        <v>0</v>
      </c>
      <c r="K20" s="63">
        <f t="shared" si="1"/>
        <v>0</v>
      </c>
      <c r="R20" s="67" t="s">
        <v>60</v>
      </c>
    </row>
    <row r="21" spans="1:18" x14ac:dyDescent="0.3">
      <c r="A21" s="12">
        <v>20</v>
      </c>
      <c r="C21" s="56"/>
      <c r="D21" s="57"/>
      <c r="G21" s="26">
        <f t="shared" si="0"/>
        <v>0</v>
      </c>
      <c r="K21" s="63">
        <f t="shared" si="1"/>
        <v>0</v>
      </c>
      <c r="R21" s="67" t="s">
        <v>60</v>
      </c>
    </row>
    <row r="22" spans="1:18" x14ac:dyDescent="0.25">
      <c r="A22" s="12">
        <v>21</v>
      </c>
      <c r="B22" s="58"/>
      <c r="G22" s="26">
        <f t="shared" si="0"/>
        <v>0</v>
      </c>
      <c r="K22" s="63">
        <f t="shared" si="1"/>
        <v>0</v>
      </c>
      <c r="R22" s="67" t="s">
        <v>60</v>
      </c>
    </row>
    <row r="23" spans="1:18" x14ac:dyDescent="0.25">
      <c r="A23" s="12">
        <v>22</v>
      </c>
      <c r="B23" s="58"/>
      <c r="G23" s="26">
        <f t="shared" si="0"/>
        <v>0</v>
      </c>
      <c r="K23" s="63">
        <f t="shared" si="1"/>
        <v>0</v>
      </c>
      <c r="R23" s="67" t="s">
        <v>60</v>
      </c>
    </row>
    <row r="24" spans="1:18" x14ac:dyDescent="0.25">
      <c r="A24" s="12">
        <v>23</v>
      </c>
      <c r="B24" s="58"/>
      <c r="G24" s="26">
        <f t="shared" si="0"/>
        <v>0</v>
      </c>
      <c r="K24" s="63">
        <f t="shared" si="1"/>
        <v>0</v>
      </c>
      <c r="R24" s="67" t="s">
        <v>60</v>
      </c>
    </row>
    <row r="25" spans="1:18" x14ac:dyDescent="0.3">
      <c r="A25" s="12">
        <v>24</v>
      </c>
      <c r="G25" s="26">
        <f t="shared" si="0"/>
        <v>0</v>
      </c>
      <c r="K25" s="63">
        <f t="shared" si="1"/>
        <v>0</v>
      </c>
      <c r="R25" s="67" t="s">
        <v>60</v>
      </c>
    </row>
    <row r="26" spans="1:18" x14ac:dyDescent="0.3">
      <c r="A26" s="12">
        <v>25</v>
      </c>
      <c r="G26" s="26">
        <f t="shared" si="0"/>
        <v>0</v>
      </c>
      <c r="K26" s="63">
        <f t="shared" si="1"/>
        <v>0</v>
      </c>
      <c r="R26" s="67" t="s">
        <v>60</v>
      </c>
    </row>
    <row r="27" spans="1:18" x14ac:dyDescent="0.3">
      <c r="A27" s="12">
        <v>26</v>
      </c>
      <c r="G27" s="26">
        <f t="shared" si="0"/>
        <v>0</v>
      </c>
      <c r="K27" s="63">
        <f t="shared" si="1"/>
        <v>0</v>
      </c>
      <c r="R27" s="67" t="s">
        <v>60</v>
      </c>
    </row>
    <row r="28" spans="1:18" x14ac:dyDescent="0.3">
      <c r="A28" s="12">
        <v>27</v>
      </c>
      <c r="G28" s="26">
        <f t="shared" si="0"/>
        <v>0</v>
      </c>
      <c r="K28" s="63">
        <f t="shared" si="1"/>
        <v>0</v>
      </c>
      <c r="R28" s="67" t="s">
        <v>60</v>
      </c>
    </row>
    <row r="29" spans="1:18" x14ac:dyDescent="0.3">
      <c r="A29" s="12">
        <v>28</v>
      </c>
      <c r="G29" s="26">
        <f t="shared" si="0"/>
        <v>0</v>
      </c>
      <c r="K29" s="63">
        <f t="shared" si="1"/>
        <v>0</v>
      </c>
      <c r="R29" s="67" t="s">
        <v>60</v>
      </c>
    </row>
    <row r="30" spans="1:18" x14ac:dyDescent="0.3">
      <c r="A30" s="12">
        <v>29</v>
      </c>
      <c r="G30" s="26">
        <f t="shared" si="0"/>
        <v>0</v>
      </c>
      <c r="K30" s="63">
        <f t="shared" si="1"/>
        <v>0</v>
      </c>
      <c r="R30" s="67" t="s">
        <v>60</v>
      </c>
    </row>
    <row r="31" spans="1:18" x14ac:dyDescent="0.3">
      <c r="A31" s="12">
        <v>30</v>
      </c>
      <c r="G31" s="26">
        <f t="shared" si="0"/>
        <v>0</v>
      </c>
      <c r="K31" s="63">
        <f t="shared" si="1"/>
        <v>0</v>
      </c>
      <c r="R31" s="67" t="s">
        <v>60</v>
      </c>
    </row>
    <row r="32" spans="1:18" x14ac:dyDescent="0.3">
      <c r="A32" s="12">
        <v>31</v>
      </c>
      <c r="G32" s="26">
        <f t="shared" si="0"/>
        <v>0</v>
      </c>
      <c r="K32" s="63">
        <f t="shared" si="1"/>
        <v>0</v>
      </c>
      <c r="R32" s="67" t="s">
        <v>60</v>
      </c>
    </row>
    <row r="33" spans="1:18" x14ac:dyDescent="0.3">
      <c r="A33" s="12">
        <v>32</v>
      </c>
      <c r="G33" s="26">
        <f t="shared" si="0"/>
        <v>0</v>
      </c>
      <c r="K33" s="63">
        <f t="shared" si="1"/>
        <v>0</v>
      </c>
      <c r="R33" s="67" t="s">
        <v>60</v>
      </c>
    </row>
    <row r="34" spans="1:18" x14ac:dyDescent="0.3">
      <c r="A34" s="12">
        <v>33</v>
      </c>
      <c r="G34" s="26">
        <f t="shared" ref="G34:G65" si="2">D34-F34-I34</f>
        <v>0</v>
      </c>
      <c r="K34" s="63">
        <f t="shared" si="1"/>
        <v>0</v>
      </c>
      <c r="R34" s="67" t="s">
        <v>60</v>
      </c>
    </row>
    <row r="35" spans="1:18" x14ac:dyDescent="0.3">
      <c r="A35" s="12">
        <v>34</v>
      </c>
      <c r="G35" s="26">
        <f t="shared" si="2"/>
        <v>0</v>
      </c>
      <c r="K35" s="63">
        <f t="shared" si="1"/>
        <v>0</v>
      </c>
      <c r="R35" s="67" t="s">
        <v>60</v>
      </c>
    </row>
    <row r="36" spans="1:18" x14ac:dyDescent="0.3">
      <c r="A36" s="12">
        <v>35</v>
      </c>
      <c r="G36" s="26">
        <f t="shared" si="2"/>
        <v>0</v>
      </c>
      <c r="K36" s="63">
        <f t="shared" si="1"/>
        <v>0</v>
      </c>
      <c r="R36" s="67" t="s">
        <v>60</v>
      </c>
    </row>
    <row r="37" spans="1:18" x14ac:dyDescent="0.3">
      <c r="A37" s="12">
        <v>36</v>
      </c>
      <c r="G37" s="26">
        <f t="shared" si="2"/>
        <v>0</v>
      </c>
      <c r="K37" s="63">
        <f t="shared" si="1"/>
        <v>0</v>
      </c>
      <c r="R37" s="67" t="s">
        <v>60</v>
      </c>
    </row>
    <row r="38" spans="1:18" x14ac:dyDescent="0.3">
      <c r="A38" s="12">
        <v>37</v>
      </c>
      <c r="G38" s="26">
        <f t="shared" si="2"/>
        <v>0</v>
      </c>
      <c r="K38" s="63">
        <f t="shared" si="1"/>
        <v>0</v>
      </c>
      <c r="R38" s="67" t="s">
        <v>60</v>
      </c>
    </row>
    <row r="39" spans="1:18" x14ac:dyDescent="0.3">
      <c r="A39" s="12">
        <v>38</v>
      </c>
      <c r="G39" s="26">
        <f t="shared" si="2"/>
        <v>0</v>
      </c>
      <c r="K39" s="63">
        <f t="shared" si="1"/>
        <v>0</v>
      </c>
      <c r="R39" s="67" t="s">
        <v>60</v>
      </c>
    </row>
    <row r="40" spans="1:18" x14ac:dyDescent="0.3">
      <c r="A40" s="12">
        <v>39</v>
      </c>
      <c r="G40" s="26">
        <f t="shared" si="2"/>
        <v>0</v>
      </c>
      <c r="K40" s="63">
        <f t="shared" si="1"/>
        <v>0</v>
      </c>
      <c r="R40" s="67" t="s">
        <v>60</v>
      </c>
    </row>
    <row r="41" spans="1:18" x14ac:dyDescent="0.3">
      <c r="A41" s="12">
        <v>40</v>
      </c>
      <c r="G41" s="26">
        <f t="shared" si="2"/>
        <v>0</v>
      </c>
      <c r="K41" s="63">
        <f t="shared" si="1"/>
        <v>0</v>
      </c>
      <c r="R41" s="67" t="s">
        <v>60</v>
      </c>
    </row>
    <row r="42" spans="1:18" x14ac:dyDescent="0.3">
      <c r="A42" s="12">
        <v>41</v>
      </c>
      <c r="G42" s="26">
        <f t="shared" si="2"/>
        <v>0</v>
      </c>
      <c r="K42" s="63">
        <f t="shared" si="1"/>
        <v>0</v>
      </c>
      <c r="R42" s="67" t="s">
        <v>60</v>
      </c>
    </row>
    <row r="43" spans="1:18" x14ac:dyDescent="0.3">
      <c r="A43" s="12">
        <v>42</v>
      </c>
      <c r="G43" s="26">
        <f t="shared" si="2"/>
        <v>0</v>
      </c>
      <c r="K43" s="63">
        <f t="shared" si="1"/>
        <v>0</v>
      </c>
      <c r="R43" s="67" t="s">
        <v>60</v>
      </c>
    </row>
    <row r="44" spans="1:18" x14ac:dyDescent="0.3">
      <c r="A44" s="12">
        <v>43</v>
      </c>
      <c r="G44" s="26">
        <f t="shared" si="2"/>
        <v>0</v>
      </c>
      <c r="K44" s="63">
        <f t="shared" si="1"/>
        <v>0</v>
      </c>
      <c r="R44" s="67" t="s">
        <v>60</v>
      </c>
    </row>
    <row r="45" spans="1:18" x14ac:dyDescent="0.3">
      <c r="A45" s="12">
        <v>44</v>
      </c>
      <c r="G45" s="26">
        <f t="shared" si="2"/>
        <v>0</v>
      </c>
      <c r="K45" s="63">
        <f t="shared" si="1"/>
        <v>0</v>
      </c>
      <c r="R45" s="67" t="s">
        <v>60</v>
      </c>
    </row>
    <row r="46" spans="1:18" x14ac:dyDescent="0.3">
      <c r="A46" s="12">
        <v>45</v>
      </c>
      <c r="G46" s="26">
        <f t="shared" si="2"/>
        <v>0</v>
      </c>
      <c r="K46" s="63">
        <f t="shared" si="1"/>
        <v>0</v>
      </c>
      <c r="R46" s="67" t="s">
        <v>60</v>
      </c>
    </row>
    <row r="47" spans="1:18" x14ac:dyDescent="0.3">
      <c r="A47" s="12">
        <v>46</v>
      </c>
      <c r="G47" s="26">
        <f t="shared" si="2"/>
        <v>0</v>
      </c>
      <c r="K47" s="63">
        <f t="shared" si="1"/>
        <v>0</v>
      </c>
      <c r="R47" s="67" t="s">
        <v>60</v>
      </c>
    </row>
    <row r="48" spans="1:18" x14ac:dyDescent="0.3">
      <c r="A48" s="12">
        <v>47</v>
      </c>
      <c r="G48" s="26">
        <f t="shared" si="2"/>
        <v>0</v>
      </c>
      <c r="K48" s="63">
        <f t="shared" si="1"/>
        <v>0</v>
      </c>
      <c r="R48" s="67" t="s">
        <v>60</v>
      </c>
    </row>
    <row r="49" spans="1:18" x14ac:dyDescent="0.3">
      <c r="A49" s="12">
        <v>48</v>
      </c>
      <c r="G49" s="26">
        <f t="shared" si="2"/>
        <v>0</v>
      </c>
      <c r="K49" s="63">
        <f t="shared" si="1"/>
        <v>0</v>
      </c>
      <c r="R49" s="67" t="s">
        <v>60</v>
      </c>
    </row>
    <row r="50" spans="1:18" x14ac:dyDescent="0.3">
      <c r="A50" s="12">
        <v>49</v>
      </c>
      <c r="G50" s="26">
        <f t="shared" si="2"/>
        <v>0</v>
      </c>
      <c r="K50" s="63">
        <f t="shared" si="1"/>
        <v>0</v>
      </c>
      <c r="R50" s="67" t="s">
        <v>60</v>
      </c>
    </row>
    <row r="51" spans="1:18" x14ac:dyDescent="0.3">
      <c r="A51" s="12">
        <v>50</v>
      </c>
      <c r="G51" s="26">
        <f t="shared" si="2"/>
        <v>0</v>
      </c>
      <c r="K51" s="63">
        <f t="shared" si="1"/>
        <v>0</v>
      </c>
      <c r="R51" s="67" t="s">
        <v>60</v>
      </c>
    </row>
    <row r="52" spans="1:18" x14ac:dyDescent="0.3">
      <c r="A52" s="12">
        <v>51</v>
      </c>
      <c r="G52" s="26">
        <f t="shared" si="2"/>
        <v>0</v>
      </c>
      <c r="K52" s="63">
        <f t="shared" si="1"/>
        <v>0</v>
      </c>
      <c r="R52" s="67" t="s">
        <v>60</v>
      </c>
    </row>
    <row r="53" spans="1:18" x14ac:dyDescent="0.3">
      <c r="A53" s="12">
        <v>52</v>
      </c>
      <c r="G53" s="26">
        <f t="shared" si="2"/>
        <v>0</v>
      </c>
      <c r="K53" s="63">
        <f t="shared" si="1"/>
        <v>0</v>
      </c>
      <c r="R53" s="67" t="s">
        <v>60</v>
      </c>
    </row>
    <row r="54" spans="1:18" x14ac:dyDescent="0.3">
      <c r="A54" s="12">
        <v>53</v>
      </c>
      <c r="G54" s="26">
        <f t="shared" si="2"/>
        <v>0</v>
      </c>
      <c r="K54" s="63">
        <f t="shared" si="1"/>
        <v>0</v>
      </c>
      <c r="R54" s="67" t="s">
        <v>60</v>
      </c>
    </row>
    <row r="55" spans="1:18" x14ac:dyDescent="0.25">
      <c r="A55" s="12">
        <v>54</v>
      </c>
      <c r="B55" s="44"/>
      <c r="G55" s="26">
        <f t="shared" si="2"/>
        <v>0</v>
      </c>
      <c r="K55" s="63">
        <f t="shared" si="1"/>
        <v>0</v>
      </c>
      <c r="R55" s="67" t="s">
        <v>60</v>
      </c>
    </row>
    <row r="56" spans="1:18" x14ac:dyDescent="0.25">
      <c r="A56" s="12">
        <v>55</v>
      </c>
      <c r="B56" s="44"/>
      <c r="G56" s="26">
        <f t="shared" si="2"/>
        <v>0</v>
      </c>
      <c r="K56" s="63">
        <f t="shared" si="1"/>
        <v>0</v>
      </c>
      <c r="R56" s="67" t="s">
        <v>60</v>
      </c>
    </row>
    <row r="57" spans="1:18" x14ac:dyDescent="0.25">
      <c r="A57" s="12">
        <v>56</v>
      </c>
      <c r="B57" s="44"/>
      <c r="G57" s="26">
        <f t="shared" si="2"/>
        <v>0</v>
      </c>
      <c r="K57" s="63">
        <f t="shared" si="1"/>
        <v>0</v>
      </c>
      <c r="R57" s="67" t="s">
        <v>60</v>
      </c>
    </row>
    <row r="58" spans="1:18" x14ac:dyDescent="0.25">
      <c r="A58" s="12">
        <v>57</v>
      </c>
      <c r="B58" s="44"/>
      <c r="G58" s="26">
        <f t="shared" si="2"/>
        <v>0</v>
      </c>
      <c r="K58" s="63">
        <f t="shared" si="1"/>
        <v>0</v>
      </c>
      <c r="R58" s="67" t="s">
        <v>60</v>
      </c>
    </row>
    <row r="59" spans="1:18" x14ac:dyDescent="0.25">
      <c r="A59" s="12">
        <v>58</v>
      </c>
      <c r="B59" s="44"/>
      <c r="G59" s="26">
        <f t="shared" si="2"/>
        <v>0</v>
      </c>
      <c r="K59" s="63">
        <f t="shared" si="1"/>
        <v>0</v>
      </c>
      <c r="R59" s="67" t="s">
        <v>60</v>
      </c>
    </row>
    <row r="60" spans="1:18" x14ac:dyDescent="0.3">
      <c r="A60" s="12">
        <v>59</v>
      </c>
      <c r="G60" s="26">
        <f t="shared" si="2"/>
        <v>0</v>
      </c>
      <c r="K60" s="63">
        <f t="shared" si="1"/>
        <v>0</v>
      </c>
      <c r="R60" s="67" t="s">
        <v>60</v>
      </c>
    </row>
    <row r="61" spans="1:18" x14ac:dyDescent="0.3">
      <c r="A61" s="12">
        <v>60</v>
      </c>
      <c r="G61" s="26">
        <f t="shared" si="2"/>
        <v>0</v>
      </c>
      <c r="K61" s="63">
        <f t="shared" si="1"/>
        <v>0</v>
      </c>
      <c r="R61" s="67" t="s">
        <v>43</v>
      </c>
    </row>
    <row r="62" spans="1:18" x14ac:dyDescent="0.3">
      <c r="A62" s="12">
        <v>61</v>
      </c>
      <c r="G62" s="26">
        <f t="shared" si="2"/>
        <v>0</v>
      </c>
      <c r="K62" s="63">
        <f t="shared" si="1"/>
        <v>0</v>
      </c>
      <c r="R62" s="67" t="s">
        <v>60</v>
      </c>
    </row>
    <row r="63" spans="1:18" x14ac:dyDescent="0.3">
      <c r="A63" s="12">
        <v>62</v>
      </c>
      <c r="G63" s="26">
        <f t="shared" si="2"/>
        <v>0</v>
      </c>
      <c r="K63" s="63">
        <f t="shared" si="1"/>
        <v>0</v>
      </c>
      <c r="R63" s="67" t="s">
        <v>60</v>
      </c>
    </row>
    <row r="64" spans="1:18" x14ac:dyDescent="0.3">
      <c r="A64" s="12">
        <v>63</v>
      </c>
      <c r="G64" s="26">
        <f t="shared" si="2"/>
        <v>0</v>
      </c>
      <c r="K64" s="63">
        <f t="shared" si="1"/>
        <v>0</v>
      </c>
      <c r="R64" s="67" t="s">
        <v>60</v>
      </c>
    </row>
    <row r="65" spans="1:18" x14ac:dyDescent="0.3">
      <c r="A65" s="12" t="s">
        <v>37</v>
      </c>
      <c r="G65" s="26">
        <f t="shared" si="2"/>
        <v>0</v>
      </c>
      <c r="K65" s="63">
        <f t="shared" si="1"/>
        <v>0</v>
      </c>
      <c r="R65" s="67" t="s">
        <v>43</v>
      </c>
    </row>
    <row r="66" spans="1:18" x14ac:dyDescent="0.3">
      <c r="A66" s="12">
        <v>64</v>
      </c>
      <c r="G66" s="26">
        <f t="shared" ref="G66:G67" si="3">D66-F66-I66</f>
        <v>0</v>
      </c>
      <c r="K66" s="63">
        <f t="shared" ref="K66:K129" si="4">F66+I66</f>
        <v>0</v>
      </c>
      <c r="R66" s="67" t="s">
        <v>60</v>
      </c>
    </row>
    <row r="67" spans="1:18" x14ac:dyDescent="0.25">
      <c r="A67" s="12">
        <v>65</v>
      </c>
      <c r="B67" s="44"/>
      <c r="G67" s="26">
        <f t="shared" si="3"/>
        <v>0</v>
      </c>
      <c r="K67" s="63">
        <f t="shared" si="4"/>
        <v>0</v>
      </c>
      <c r="R67" s="67" t="s">
        <v>60</v>
      </c>
    </row>
    <row r="68" spans="1:18" x14ac:dyDescent="0.3">
      <c r="A68" s="12">
        <v>66</v>
      </c>
      <c r="G68" s="26">
        <v>0</v>
      </c>
      <c r="K68" s="63">
        <f t="shared" si="4"/>
        <v>0</v>
      </c>
      <c r="R68" s="67" t="s">
        <v>60</v>
      </c>
    </row>
    <row r="69" spans="1:18" x14ac:dyDescent="0.3">
      <c r="A69" s="12">
        <v>67</v>
      </c>
      <c r="G69" s="26">
        <f t="shared" ref="G69:G132" si="5">D69-F69-I69</f>
        <v>0</v>
      </c>
      <c r="K69" s="63">
        <f t="shared" si="4"/>
        <v>0</v>
      </c>
      <c r="R69" s="67" t="s">
        <v>60</v>
      </c>
    </row>
    <row r="70" spans="1:18" x14ac:dyDescent="0.25">
      <c r="A70" s="12">
        <v>68</v>
      </c>
      <c r="B70" s="44"/>
      <c r="G70" s="26">
        <f t="shared" si="5"/>
        <v>0</v>
      </c>
      <c r="K70" s="63">
        <f t="shared" si="4"/>
        <v>0</v>
      </c>
      <c r="R70" s="67" t="s">
        <v>60</v>
      </c>
    </row>
    <row r="71" spans="1:18" x14ac:dyDescent="0.25">
      <c r="A71" s="12">
        <v>69</v>
      </c>
      <c r="B71" s="44"/>
      <c r="G71" s="26">
        <f t="shared" si="5"/>
        <v>0</v>
      </c>
      <c r="K71" s="63">
        <f t="shared" si="4"/>
        <v>0</v>
      </c>
      <c r="R71" s="67" t="s">
        <v>60</v>
      </c>
    </row>
    <row r="72" spans="1:18" x14ac:dyDescent="0.25">
      <c r="A72" s="12">
        <v>70</v>
      </c>
      <c r="B72" s="44"/>
      <c r="G72" s="26">
        <f t="shared" si="5"/>
        <v>0</v>
      </c>
      <c r="K72" s="63">
        <f t="shared" si="4"/>
        <v>0</v>
      </c>
      <c r="R72" s="67" t="s">
        <v>60</v>
      </c>
    </row>
    <row r="73" spans="1:18" x14ac:dyDescent="0.3">
      <c r="A73" s="12" t="s">
        <v>38</v>
      </c>
      <c r="G73" s="26">
        <f t="shared" si="5"/>
        <v>0</v>
      </c>
      <c r="K73" s="63">
        <f t="shared" si="4"/>
        <v>0</v>
      </c>
      <c r="R73" s="67" t="s">
        <v>43</v>
      </c>
    </row>
    <row r="74" spans="1:18" x14ac:dyDescent="0.3">
      <c r="A74" s="12">
        <v>72</v>
      </c>
      <c r="G74" s="26">
        <f t="shared" si="5"/>
        <v>0</v>
      </c>
      <c r="K74" s="63">
        <f t="shared" si="4"/>
        <v>0</v>
      </c>
      <c r="R74" s="67" t="s">
        <v>60</v>
      </c>
    </row>
    <row r="75" spans="1:18" x14ac:dyDescent="0.25">
      <c r="A75" s="12" t="s">
        <v>39</v>
      </c>
      <c r="B75" s="44"/>
      <c r="G75" s="26">
        <f t="shared" si="5"/>
        <v>0</v>
      </c>
      <c r="K75" s="63">
        <f t="shared" si="4"/>
        <v>0</v>
      </c>
      <c r="R75" s="67" t="s">
        <v>43</v>
      </c>
    </row>
    <row r="76" spans="1:18" x14ac:dyDescent="0.25">
      <c r="A76" s="12" t="s">
        <v>41</v>
      </c>
      <c r="B76" s="44"/>
      <c r="G76" s="26">
        <f t="shared" si="5"/>
        <v>0</v>
      </c>
      <c r="K76" s="63">
        <f t="shared" si="4"/>
        <v>0</v>
      </c>
      <c r="R76" s="67" t="s">
        <v>43</v>
      </c>
    </row>
    <row r="77" spans="1:18" x14ac:dyDescent="0.25">
      <c r="A77" s="12">
        <v>75</v>
      </c>
      <c r="B77" s="44"/>
      <c r="G77" s="26">
        <f t="shared" si="5"/>
        <v>0</v>
      </c>
      <c r="K77" s="63">
        <f t="shared" si="4"/>
        <v>0</v>
      </c>
      <c r="R77" s="67" t="s">
        <v>60</v>
      </c>
    </row>
    <row r="78" spans="1:18" x14ac:dyDescent="0.25">
      <c r="A78" s="12" t="s">
        <v>40</v>
      </c>
      <c r="B78" s="44"/>
      <c r="G78" s="26">
        <f t="shared" si="5"/>
        <v>0</v>
      </c>
      <c r="K78" s="63">
        <f t="shared" si="4"/>
        <v>0</v>
      </c>
      <c r="R78" s="67" t="s">
        <v>43</v>
      </c>
    </row>
    <row r="79" spans="1:18" x14ac:dyDescent="0.25">
      <c r="A79" s="12">
        <v>77</v>
      </c>
      <c r="B79" s="44"/>
      <c r="G79" s="26">
        <f t="shared" si="5"/>
        <v>0</v>
      </c>
      <c r="K79" s="63">
        <f t="shared" si="4"/>
        <v>0</v>
      </c>
      <c r="R79" s="67" t="s">
        <v>60</v>
      </c>
    </row>
    <row r="80" spans="1:18" x14ac:dyDescent="0.25">
      <c r="A80" s="12">
        <v>78</v>
      </c>
      <c r="B80" s="44"/>
      <c r="D80" s="65"/>
      <c r="G80" s="26">
        <f t="shared" si="5"/>
        <v>0</v>
      </c>
      <c r="K80" s="63">
        <f t="shared" si="4"/>
        <v>0</v>
      </c>
      <c r="R80" s="67" t="s">
        <v>60</v>
      </c>
    </row>
    <row r="81" spans="1:18" x14ac:dyDescent="0.25">
      <c r="A81" s="12">
        <v>79</v>
      </c>
      <c r="B81" s="44"/>
      <c r="D81" s="65"/>
      <c r="G81" s="26">
        <f t="shared" si="5"/>
        <v>0</v>
      </c>
      <c r="K81" s="63">
        <f t="shared" si="4"/>
        <v>0</v>
      </c>
      <c r="R81" s="67" t="s">
        <v>60</v>
      </c>
    </row>
    <row r="82" spans="1:18" x14ac:dyDescent="0.25">
      <c r="A82" s="12">
        <v>80</v>
      </c>
      <c r="B82" s="44"/>
      <c r="D82" s="65"/>
      <c r="G82" s="26">
        <f t="shared" si="5"/>
        <v>0</v>
      </c>
      <c r="K82" s="63">
        <f t="shared" si="4"/>
        <v>0</v>
      </c>
      <c r="R82" s="67" t="s">
        <v>60</v>
      </c>
    </row>
    <row r="83" spans="1:18" x14ac:dyDescent="0.25">
      <c r="A83" s="12">
        <v>81</v>
      </c>
      <c r="B83" s="44"/>
      <c r="D83" s="65"/>
      <c r="G83" s="26">
        <f t="shared" si="5"/>
        <v>0</v>
      </c>
      <c r="K83" s="63">
        <f t="shared" si="4"/>
        <v>0</v>
      </c>
      <c r="R83" s="67" t="s">
        <v>60</v>
      </c>
    </row>
    <row r="84" spans="1:18" x14ac:dyDescent="0.25">
      <c r="A84" s="12">
        <v>82</v>
      </c>
      <c r="B84" s="44"/>
      <c r="G84" s="26">
        <f t="shared" si="5"/>
        <v>0</v>
      </c>
      <c r="K84" s="63">
        <f t="shared" si="4"/>
        <v>0</v>
      </c>
      <c r="R84" s="67" t="s">
        <v>60</v>
      </c>
    </row>
    <row r="85" spans="1:18" x14ac:dyDescent="0.25">
      <c r="A85" s="12">
        <v>83</v>
      </c>
      <c r="B85" s="44"/>
      <c r="G85" s="26">
        <f t="shared" si="5"/>
        <v>0</v>
      </c>
      <c r="K85" s="63">
        <f t="shared" si="4"/>
        <v>0</v>
      </c>
      <c r="R85" s="67" t="s">
        <v>60</v>
      </c>
    </row>
    <row r="86" spans="1:18" x14ac:dyDescent="0.25">
      <c r="A86" s="12">
        <v>84</v>
      </c>
      <c r="B86" s="44"/>
      <c r="G86" s="26">
        <f t="shared" si="5"/>
        <v>0</v>
      </c>
      <c r="K86" s="63">
        <f t="shared" si="4"/>
        <v>0</v>
      </c>
      <c r="R86" s="67" t="s">
        <v>60</v>
      </c>
    </row>
    <row r="87" spans="1:18" x14ac:dyDescent="0.25">
      <c r="A87" s="12">
        <v>85</v>
      </c>
      <c r="B87" s="44"/>
      <c r="G87" s="26">
        <f t="shared" si="5"/>
        <v>0</v>
      </c>
      <c r="K87" s="63">
        <f t="shared" si="4"/>
        <v>0</v>
      </c>
      <c r="R87" s="67" t="s">
        <v>60</v>
      </c>
    </row>
    <row r="88" spans="1:18" x14ac:dyDescent="0.3">
      <c r="A88" s="12">
        <v>86</v>
      </c>
      <c r="G88" s="26">
        <f t="shared" si="5"/>
        <v>0</v>
      </c>
      <c r="K88" s="63">
        <f t="shared" si="4"/>
        <v>0</v>
      </c>
      <c r="R88" s="67" t="s">
        <v>60</v>
      </c>
    </row>
    <row r="89" spans="1:18" x14ac:dyDescent="0.3">
      <c r="A89" s="12" t="s">
        <v>42</v>
      </c>
      <c r="G89" s="26">
        <f t="shared" si="5"/>
        <v>0</v>
      </c>
      <c r="K89" s="63">
        <f t="shared" si="4"/>
        <v>0</v>
      </c>
      <c r="R89" s="67" t="s">
        <v>43</v>
      </c>
    </row>
    <row r="90" spans="1:18" x14ac:dyDescent="0.3">
      <c r="A90" s="12">
        <v>88</v>
      </c>
      <c r="G90" s="26">
        <f t="shared" si="5"/>
        <v>0</v>
      </c>
      <c r="K90" s="63">
        <f t="shared" si="4"/>
        <v>0</v>
      </c>
      <c r="R90" s="67" t="s">
        <v>60</v>
      </c>
    </row>
    <row r="91" spans="1:18" x14ac:dyDescent="0.3">
      <c r="A91" s="12">
        <v>89</v>
      </c>
      <c r="G91" s="26">
        <f t="shared" si="5"/>
        <v>0</v>
      </c>
      <c r="K91" s="63">
        <f t="shared" si="4"/>
        <v>0</v>
      </c>
      <c r="R91" s="67" t="s">
        <v>60</v>
      </c>
    </row>
    <row r="92" spans="1:18" x14ac:dyDescent="0.3">
      <c r="A92" s="12">
        <v>90</v>
      </c>
      <c r="G92" s="26">
        <f t="shared" si="5"/>
        <v>0</v>
      </c>
      <c r="K92" s="63">
        <f t="shared" si="4"/>
        <v>0</v>
      </c>
      <c r="R92" s="67" t="s">
        <v>60</v>
      </c>
    </row>
    <row r="93" spans="1:18" x14ac:dyDescent="0.3">
      <c r="A93" s="12">
        <v>91</v>
      </c>
      <c r="G93" s="26">
        <f t="shared" si="5"/>
        <v>0</v>
      </c>
      <c r="K93" s="63">
        <f t="shared" si="4"/>
        <v>0</v>
      </c>
      <c r="R93" s="67" t="s">
        <v>60</v>
      </c>
    </row>
    <row r="94" spans="1:18" x14ac:dyDescent="0.3">
      <c r="A94" s="12">
        <v>92</v>
      </c>
      <c r="G94" s="26">
        <f t="shared" si="5"/>
        <v>0</v>
      </c>
      <c r="K94" s="63">
        <f t="shared" si="4"/>
        <v>0</v>
      </c>
      <c r="R94" s="67" t="s">
        <v>60</v>
      </c>
    </row>
    <row r="95" spans="1:18" x14ac:dyDescent="0.3">
      <c r="A95" s="12">
        <v>93</v>
      </c>
      <c r="G95" s="26">
        <f t="shared" si="5"/>
        <v>0</v>
      </c>
      <c r="K95" s="63">
        <f t="shared" si="4"/>
        <v>0</v>
      </c>
      <c r="R95" s="67" t="s">
        <v>60</v>
      </c>
    </row>
    <row r="96" spans="1:18" x14ac:dyDescent="0.3">
      <c r="A96" s="12">
        <v>94</v>
      </c>
      <c r="G96" s="26">
        <f t="shared" si="5"/>
        <v>0</v>
      </c>
      <c r="K96" s="63">
        <f t="shared" si="4"/>
        <v>0</v>
      </c>
      <c r="R96" s="67" t="s">
        <v>60</v>
      </c>
    </row>
    <row r="97" spans="1:18" x14ac:dyDescent="0.3">
      <c r="A97" s="12">
        <v>95</v>
      </c>
      <c r="G97" s="26">
        <f t="shared" si="5"/>
        <v>0</v>
      </c>
      <c r="K97" s="63">
        <f t="shared" si="4"/>
        <v>0</v>
      </c>
      <c r="R97" s="67" t="s">
        <v>60</v>
      </c>
    </row>
    <row r="98" spans="1:18" x14ac:dyDescent="0.3">
      <c r="A98" s="12">
        <v>96</v>
      </c>
      <c r="G98" s="26">
        <f t="shared" si="5"/>
        <v>0</v>
      </c>
      <c r="K98" s="63">
        <f t="shared" si="4"/>
        <v>0</v>
      </c>
      <c r="R98" s="67" t="s">
        <v>60</v>
      </c>
    </row>
    <row r="99" spans="1:18" x14ac:dyDescent="0.3">
      <c r="A99" s="12">
        <v>97</v>
      </c>
      <c r="G99" s="26">
        <f t="shared" si="5"/>
        <v>0</v>
      </c>
      <c r="K99" s="63">
        <f t="shared" si="4"/>
        <v>0</v>
      </c>
      <c r="R99" s="67" t="s">
        <v>60</v>
      </c>
    </row>
    <row r="100" spans="1:18" x14ac:dyDescent="0.3">
      <c r="A100" s="12">
        <v>98</v>
      </c>
      <c r="G100" s="26">
        <f t="shared" si="5"/>
        <v>0</v>
      </c>
      <c r="K100" s="63">
        <f t="shared" si="4"/>
        <v>0</v>
      </c>
      <c r="R100" s="67" t="s">
        <v>60</v>
      </c>
    </row>
    <row r="101" spans="1:18" x14ac:dyDescent="0.3">
      <c r="A101" s="12">
        <v>99</v>
      </c>
      <c r="G101" s="26">
        <f t="shared" si="5"/>
        <v>0</v>
      </c>
      <c r="K101" s="63">
        <f t="shared" si="4"/>
        <v>0</v>
      </c>
      <c r="R101" s="67" t="s">
        <v>60</v>
      </c>
    </row>
    <row r="102" spans="1:18" x14ac:dyDescent="0.3">
      <c r="A102" s="12">
        <v>100</v>
      </c>
      <c r="G102" s="26">
        <f t="shared" si="5"/>
        <v>0</v>
      </c>
      <c r="K102" s="63">
        <f t="shared" si="4"/>
        <v>0</v>
      </c>
      <c r="R102" s="67" t="s">
        <v>60</v>
      </c>
    </row>
    <row r="103" spans="1:18" x14ac:dyDescent="0.3">
      <c r="A103" s="12">
        <v>101</v>
      </c>
      <c r="G103" s="26">
        <f t="shared" si="5"/>
        <v>0</v>
      </c>
      <c r="K103" s="63">
        <f t="shared" si="4"/>
        <v>0</v>
      </c>
      <c r="R103" s="67" t="s">
        <v>60</v>
      </c>
    </row>
    <row r="104" spans="1:18" x14ac:dyDescent="0.3">
      <c r="A104" s="12">
        <v>102</v>
      </c>
      <c r="G104" s="26">
        <f t="shared" si="5"/>
        <v>0</v>
      </c>
      <c r="K104" s="63">
        <f t="shared" si="4"/>
        <v>0</v>
      </c>
      <c r="R104" s="67" t="s">
        <v>60</v>
      </c>
    </row>
    <row r="105" spans="1:18" x14ac:dyDescent="0.3">
      <c r="A105" s="12">
        <v>103</v>
      </c>
      <c r="G105" s="26">
        <f t="shared" si="5"/>
        <v>0</v>
      </c>
      <c r="K105" s="63">
        <f t="shared" si="4"/>
        <v>0</v>
      </c>
      <c r="R105" s="67" t="s">
        <v>60</v>
      </c>
    </row>
    <row r="106" spans="1:18" x14ac:dyDescent="0.3">
      <c r="A106" s="12">
        <v>104</v>
      </c>
      <c r="G106" s="26">
        <f t="shared" si="5"/>
        <v>0</v>
      </c>
      <c r="K106" s="63">
        <f t="shared" si="4"/>
        <v>0</v>
      </c>
      <c r="R106" s="67" t="s">
        <v>60</v>
      </c>
    </row>
    <row r="107" spans="1:18" x14ac:dyDescent="0.3">
      <c r="A107" s="12">
        <v>105</v>
      </c>
      <c r="G107" s="26">
        <f t="shared" si="5"/>
        <v>0</v>
      </c>
      <c r="K107" s="63">
        <f t="shared" si="4"/>
        <v>0</v>
      </c>
      <c r="R107" s="67" t="s">
        <v>60</v>
      </c>
    </row>
    <row r="108" spans="1:18" x14ac:dyDescent="0.3">
      <c r="A108" s="12">
        <v>106</v>
      </c>
      <c r="G108" s="26">
        <f t="shared" si="5"/>
        <v>0</v>
      </c>
      <c r="K108" s="63">
        <f t="shared" si="4"/>
        <v>0</v>
      </c>
      <c r="R108" s="67" t="s">
        <v>60</v>
      </c>
    </row>
    <row r="109" spans="1:18" x14ac:dyDescent="0.3">
      <c r="A109" s="12">
        <v>107</v>
      </c>
      <c r="G109" s="26">
        <f t="shared" si="5"/>
        <v>0</v>
      </c>
      <c r="K109" s="63">
        <f t="shared" si="4"/>
        <v>0</v>
      </c>
      <c r="R109" s="67" t="s">
        <v>60</v>
      </c>
    </row>
    <row r="110" spans="1:18" x14ac:dyDescent="0.3">
      <c r="A110" s="12">
        <v>108</v>
      </c>
      <c r="G110" s="26">
        <f t="shared" si="5"/>
        <v>0</v>
      </c>
      <c r="K110" s="63">
        <f t="shared" si="4"/>
        <v>0</v>
      </c>
      <c r="R110" s="67" t="s">
        <v>60</v>
      </c>
    </row>
    <row r="111" spans="1:18" x14ac:dyDescent="0.3">
      <c r="A111" s="12" t="s">
        <v>45</v>
      </c>
      <c r="G111" s="26">
        <f t="shared" si="5"/>
        <v>0</v>
      </c>
      <c r="K111" s="63">
        <f t="shared" si="4"/>
        <v>0</v>
      </c>
      <c r="R111" s="67" t="s">
        <v>43</v>
      </c>
    </row>
    <row r="112" spans="1:18" x14ac:dyDescent="0.3">
      <c r="A112" s="12" t="s">
        <v>46</v>
      </c>
      <c r="G112" s="26">
        <f t="shared" si="5"/>
        <v>0</v>
      </c>
      <c r="K112" s="63">
        <f t="shared" si="4"/>
        <v>0</v>
      </c>
      <c r="R112" s="67" t="s">
        <v>43</v>
      </c>
    </row>
    <row r="113" spans="1:18" x14ac:dyDescent="0.3">
      <c r="A113" s="12" t="s">
        <v>47</v>
      </c>
      <c r="G113" s="26">
        <f t="shared" si="5"/>
        <v>0</v>
      </c>
      <c r="K113" s="63">
        <f t="shared" si="4"/>
        <v>0</v>
      </c>
      <c r="R113" s="67" t="s">
        <v>43</v>
      </c>
    </row>
    <row r="114" spans="1:18" x14ac:dyDescent="0.3">
      <c r="A114" s="12" t="s">
        <v>48</v>
      </c>
      <c r="G114" s="26">
        <f t="shared" si="5"/>
        <v>0</v>
      </c>
      <c r="K114" s="63">
        <f t="shared" si="4"/>
        <v>0</v>
      </c>
      <c r="R114" s="67" t="s">
        <v>43</v>
      </c>
    </row>
    <row r="115" spans="1:18" x14ac:dyDescent="0.3">
      <c r="A115" s="12" t="s">
        <v>49</v>
      </c>
      <c r="G115" s="26">
        <f t="shared" si="5"/>
        <v>0</v>
      </c>
      <c r="K115" s="63">
        <f t="shared" si="4"/>
        <v>0</v>
      </c>
      <c r="R115" s="67" t="s">
        <v>43</v>
      </c>
    </row>
    <row r="116" spans="1:18" ht="14.4" customHeight="1" x14ac:dyDescent="0.3">
      <c r="A116" s="12">
        <v>114</v>
      </c>
      <c r="G116" s="26">
        <f t="shared" si="5"/>
        <v>0</v>
      </c>
      <c r="K116" s="63">
        <f t="shared" si="4"/>
        <v>0</v>
      </c>
      <c r="R116" s="67" t="s">
        <v>60</v>
      </c>
    </row>
    <row r="117" spans="1:18" x14ac:dyDescent="0.3">
      <c r="A117" s="12" t="s">
        <v>50</v>
      </c>
      <c r="G117" s="26">
        <f t="shared" si="5"/>
        <v>0</v>
      </c>
      <c r="K117" s="63">
        <f t="shared" si="4"/>
        <v>0</v>
      </c>
      <c r="R117" s="67" t="s">
        <v>43</v>
      </c>
    </row>
    <row r="118" spans="1:18" x14ac:dyDescent="0.3">
      <c r="A118" s="12">
        <v>116</v>
      </c>
      <c r="G118" s="26">
        <f t="shared" si="5"/>
        <v>0</v>
      </c>
      <c r="K118" s="63">
        <f t="shared" si="4"/>
        <v>0</v>
      </c>
      <c r="R118" s="67" t="s">
        <v>60</v>
      </c>
    </row>
    <row r="119" spans="1:18" x14ac:dyDescent="0.3">
      <c r="A119" s="12" t="s">
        <v>51</v>
      </c>
      <c r="G119" s="26">
        <f t="shared" si="5"/>
        <v>0</v>
      </c>
      <c r="K119" s="63">
        <f t="shared" si="4"/>
        <v>0</v>
      </c>
      <c r="R119" s="67" t="s">
        <v>43</v>
      </c>
    </row>
    <row r="120" spans="1:18" ht="14.4" customHeight="1" x14ac:dyDescent="0.3">
      <c r="A120" s="12" t="s">
        <v>52</v>
      </c>
      <c r="G120" s="26">
        <f t="shared" si="5"/>
        <v>0</v>
      </c>
      <c r="K120" s="63">
        <f t="shared" si="4"/>
        <v>0</v>
      </c>
      <c r="L120" s="8" t="s">
        <v>61</v>
      </c>
      <c r="M120" s="8" t="s">
        <v>62</v>
      </c>
      <c r="N120" s="8" t="s">
        <v>63</v>
      </c>
      <c r="R120" s="67" t="s">
        <v>43</v>
      </c>
    </row>
    <row r="121" spans="1:18" x14ac:dyDescent="0.3">
      <c r="A121" s="12" t="s">
        <v>53</v>
      </c>
      <c r="G121" s="26">
        <f t="shared" si="5"/>
        <v>0</v>
      </c>
      <c r="K121" s="63">
        <f t="shared" si="4"/>
        <v>0</v>
      </c>
      <c r="R121" s="67" t="s">
        <v>43</v>
      </c>
    </row>
    <row r="122" spans="1:18" x14ac:dyDescent="0.3">
      <c r="A122" s="12" t="s">
        <v>54</v>
      </c>
      <c r="G122" s="26">
        <f t="shared" si="5"/>
        <v>0</v>
      </c>
      <c r="K122" s="63">
        <f t="shared" si="4"/>
        <v>0</v>
      </c>
      <c r="R122" s="66" t="s">
        <v>59</v>
      </c>
    </row>
    <row r="123" spans="1:18" x14ac:dyDescent="0.3">
      <c r="A123" s="12" t="s">
        <v>55</v>
      </c>
      <c r="G123" s="26">
        <f t="shared" si="5"/>
        <v>0</v>
      </c>
      <c r="K123" s="63">
        <f t="shared" si="4"/>
        <v>0</v>
      </c>
      <c r="R123" s="66" t="s">
        <v>59</v>
      </c>
    </row>
    <row r="124" spans="1:18" ht="14.4" customHeight="1" x14ac:dyDescent="0.3">
      <c r="A124" s="12" t="s">
        <v>56</v>
      </c>
      <c r="G124" s="26">
        <f t="shared" si="5"/>
        <v>0</v>
      </c>
      <c r="K124" s="63">
        <f t="shared" si="4"/>
        <v>0</v>
      </c>
      <c r="L124" s="8" t="s">
        <v>64</v>
      </c>
      <c r="R124" s="66" t="s">
        <v>59</v>
      </c>
    </row>
    <row r="125" spans="1:18" x14ac:dyDescent="0.3">
      <c r="A125" s="12" t="s">
        <v>57</v>
      </c>
      <c r="G125" s="26">
        <f t="shared" si="5"/>
        <v>0</v>
      </c>
      <c r="K125" s="63">
        <f t="shared" si="4"/>
        <v>0</v>
      </c>
      <c r="R125" s="66" t="s">
        <v>59</v>
      </c>
    </row>
    <row r="126" spans="1:18" ht="27.6" x14ac:dyDescent="0.3">
      <c r="A126" s="12" t="s">
        <v>70</v>
      </c>
      <c r="G126" s="26">
        <f t="shared" si="5"/>
        <v>0</v>
      </c>
      <c r="K126" s="63">
        <f t="shared" si="4"/>
        <v>0</v>
      </c>
      <c r="L126" s="8" t="s">
        <v>65</v>
      </c>
      <c r="R126" s="67" t="s">
        <v>43</v>
      </c>
    </row>
    <row r="127" spans="1:18" ht="27.6" x14ac:dyDescent="0.3">
      <c r="A127" s="12" t="s">
        <v>71</v>
      </c>
      <c r="G127" s="26">
        <f t="shared" si="5"/>
        <v>0</v>
      </c>
      <c r="K127" s="63">
        <f t="shared" si="4"/>
        <v>0</v>
      </c>
      <c r="L127" s="8" t="s">
        <v>65</v>
      </c>
      <c r="R127" s="67" t="s">
        <v>43</v>
      </c>
    </row>
    <row r="128" spans="1:18" ht="27.6" x14ac:dyDescent="0.3">
      <c r="A128" s="12" t="s">
        <v>72</v>
      </c>
      <c r="G128" s="26">
        <f t="shared" si="5"/>
        <v>0</v>
      </c>
      <c r="K128" s="63">
        <f t="shared" si="4"/>
        <v>0</v>
      </c>
      <c r="L128" s="8" t="s">
        <v>65</v>
      </c>
      <c r="R128" s="66" t="s">
        <v>59</v>
      </c>
    </row>
    <row r="129" spans="1:11" x14ac:dyDescent="0.3">
      <c r="A129" s="12" t="s">
        <v>73</v>
      </c>
      <c r="G129" s="26">
        <f t="shared" si="5"/>
        <v>0</v>
      </c>
      <c r="K129" s="63">
        <f t="shared" si="4"/>
        <v>0</v>
      </c>
    </row>
    <row r="130" spans="1:11" x14ac:dyDescent="0.3">
      <c r="A130" s="12" t="s">
        <v>74</v>
      </c>
      <c r="G130" s="26">
        <f t="shared" si="5"/>
        <v>0</v>
      </c>
      <c r="K130" s="63">
        <f t="shared" ref="K130:K193" si="6">F130+I130</f>
        <v>0</v>
      </c>
    </row>
    <row r="131" spans="1:11" x14ac:dyDescent="0.3">
      <c r="A131" s="12" t="s">
        <v>75</v>
      </c>
      <c r="G131" s="26">
        <f t="shared" si="5"/>
        <v>0</v>
      </c>
      <c r="K131" s="63">
        <f t="shared" si="6"/>
        <v>0</v>
      </c>
    </row>
    <row r="132" spans="1:11" x14ac:dyDescent="0.3">
      <c r="A132" s="12" t="s">
        <v>76</v>
      </c>
      <c r="G132" s="26">
        <f t="shared" si="5"/>
        <v>0</v>
      </c>
      <c r="K132" s="63">
        <f t="shared" si="6"/>
        <v>0</v>
      </c>
    </row>
    <row r="133" spans="1:11" x14ac:dyDescent="0.3">
      <c r="A133" s="12" t="s">
        <v>77</v>
      </c>
      <c r="G133" s="26">
        <f t="shared" ref="G133:G196" si="7">D133-F133-I133</f>
        <v>0</v>
      </c>
      <c r="K133" s="63">
        <f t="shared" si="6"/>
        <v>0</v>
      </c>
    </row>
    <row r="134" spans="1:11" x14ac:dyDescent="0.3">
      <c r="A134" s="12" t="s">
        <v>78</v>
      </c>
      <c r="G134" s="26">
        <f t="shared" si="7"/>
        <v>0</v>
      </c>
      <c r="K134" s="63">
        <f t="shared" si="6"/>
        <v>0</v>
      </c>
    </row>
    <row r="135" spans="1:11" x14ac:dyDescent="0.3">
      <c r="A135" s="12" t="s">
        <v>79</v>
      </c>
      <c r="G135" s="26">
        <f t="shared" si="7"/>
        <v>0</v>
      </c>
      <c r="K135" s="63">
        <f t="shared" si="6"/>
        <v>0</v>
      </c>
    </row>
    <row r="136" spans="1:11" x14ac:dyDescent="0.3">
      <c r="A136" s="12">
        <v>134</v>
      </c>
      <c r="G136" s="26">
        <f t="shared" si="7"/>
        <v>0</v>
      </c>
      <c r="K136" s="63">
        <f t="shared" si="6"/>
        <v>0</v>
      </c>
    </row>
    <row r="137" spans="1:11" x14ac:dyDescent="0.3">
      <c r="A137" s="12">
        <v>135</v>
      </c>
      <c r="G137" s="26">
        <f t="shared" si="7"/>
        <v>0</v>
      </c>
      <c r="K137" s="63">
        <f t="shared" si="6"/>
        <v>0</v>
      </c>
    </row>
    <row r="138" spans="1:11" x14ac:dyDescent="0.3">
      <c r="A138" s="12">
        <v>136</v>
      </c>
      <c r="G138" s="26">
        <f t="shared" si="7"/>
        <v>0</v>
      </c>
      <c r="K138" s="63">
        <f t="shared" si="6"/>
        <v>0</v>
      </c>
    </row>
    <row r="139" spans="1:11" x14ac:dyDescent="0.3">
      <c r="A139" s="12">
        <v>137</v>
      </c>
      <c r="G139" s="26">
        <f t="shared" si="7"/>
        <v>0</v>
      </c>
      <c r="K139" s="63">
        <f t="shared" si="6"/>
        <v>0</v>
      </c>
    </row>
    <row r="140" spans="1:11" x14ac:dyDescent="0.3">
      <c r="A140" s="12">
        <v>138</v>
      </c>
      <c r="G140" s="26">
        <f t="shared" si="7"/>
        <v>0</v>
      </c>
      <c r="K140" s="63">
        <f t="shared" si="6"/>
        <v>0</v>
      </c>
    </row>
    <row r="141" spans="1:11" x14ac:dyDescent="0.3">
      <c r="A141" s="12">
        <v>139</v>
      </c>
      <c r="G141" s="26">
        <f t="shared" si="7"/>
        <v>0</v>
      </c>
      <c r="K141" s="63">
        <f t="shared" si="6"/>
        <v>0</v>
      </c>
    </row>
    <row r="142" spans="1:11" x14ac:dyDescent="0.3">
      <c r="A142" s="12">
        <v>140</v>
      </c>
      <c r="G142" s="26">
        <f t="shared" si="7"/>
        <v>0</v>
      </c>
      <c r="K142" s="63">
        <f t="shared" si="6"/>
        <v>0</v>
      </c>
    </row>
    <row r="143" spans="1:11" x14ac:dyDescent="0.3">
      <c r="A143" s="12">
        <v>141</v>
      </c>
      <c r="G143" s="26">
        <f t="shared" si="7"/>
        <v>0</v>
      </c>
      <c r="K143" s="63">
        <f t="shared" si="6"/>
        <v>0</v>
      </c>
    </row>
    <row r="144" spans="1:11" x14ac:dyDescent="0.3">
      <c r="A144" s="12">
        <v>142</v>
      </c>
      <c r="G144" s="26">
        <f t="shared" si="7"/>
        <v>0</v>
      </c>
      <c r="K144" s="63">
        <f t="shared" si="6"/>
        <v>0</v>
      </c>
    </row>
    <row r="145" spans="1:11" x14ac:dyDescent="0.3">
      <c r="A145" s="12">
        <v>143</v>
      </c>
      <c r="G145" s="26">
        <f t="shared" si="7"/>
        <v>0</v>
      </c>
      <c r="K145" s="63">
        <f t="shared" si="6"/>
        <v>0</v>
      </c>
    </row>
    <row r="146" spans="1:11" x14ac:dyDescent="0.3">
      <c r="A146" s="12">
        <v>144</v>
      </c>
      <c r="G146" s="26">
        <f t="shared" si="7"/>
        <v>0</v>
      </c>
      <c r="K146" s="63">
        <f t="shared" si="6"/>
        <v>0</v>
      </c>
    </row>
    <row r="147" spans="1:11" x14ac:dyDescent="0.3">
      <c r="A147" s="12">
        <v>145</v>
      </c>
      <c r="G147" s="26">
        <f t="shared" si="7"/>
        <v>0</v>
      </c>
      <c r="K147" s="63">
        <f t="shared" si="6"/>
        <v>0</v>
      </c>
    </row>
    <row r="148" spans="1:11" x14ac:dyDescent="0.3">
      <c r="A148" s="12">
        <v>146</v>
      </c>
      <c r="G148" s="26">
        <f t="shared" si="7"/>
        <v>0</v>
      </c>
      <c r="K148" s="63">
        <f t="shared" si="6"/>
        <v>0</v>
      </c>
    </row>
    <row r="149" spans="1:11" x14ac:dyDescent="0.3">
      <c r="A149" s="12">
        <v>147</v>
      </c>
      <c r="G149" s="26">
        <f t="shared" si="7"/>
        <v>0</v>
      </c>
      <c r="K149" s="63">
        <f t="shared" si="6"/>
        <v>0</v>
      </c>
    </row>
    <row r="150" spans="1:11" x14ac:dyDescent="0.3">
      <c r="A150" s="12">
        <v>148</v>
      </c>
      <c r="G150" s="26">
        <f t="shared" si="7"/>
        <v>0</v>
      </c>
      <c r="K150" s="63">
        <f t="shared" si="6"/>
        <v>0</v>
      </c>
    </row>
    <row r="151" spans="1:11" x14ac:dyDescent="0.3">
      <c r="A151" s="12">
        <v>149</v>
      </c>
      <c r="G151" s="26">
        <f t="shared" si="7"/>
        <v>0</v>
      </c>
      <c r="K151" s="63">
        <f t="shared" si="6"/>
        <v>0</v>
      </c>
    </row>
    <row r="152" spans="1:11" x14ac:dyDescent="0.3">
      <c r="A152" s="12">
        <v>150</v>
      </c>
      <c r="G152" s="26">
        <f t="shared" si="7"/>
        <v>0</v>
      </c>
      <c r="K152" s="63">
        <f t="shared" si="6"/>
        <v>0</v>
      </c>
    </row>
    <row r="153" spans="1:11" x14ac:dyDescent="0.3">
      <c r="A153" s="12">
        <v>151</v>
      </c>
      <c r="G153" s="26">
        <f t="shared" si="7"/>
        <v>0</v>
      </c>
      <c r="K153" s="63">
        <f t="shared" si="6"/>
        <v>0</v>
      </c>
    </row>
    <row r="154" spans="1:11" x14ac:dyDescent="0.3">
      <c r="A154" s="12">
        <v>152</v>
      </c>
      <c r="G154" s="26">
        <f t="shared" si="7"/>
        <v>0</v>
      </c>
      <c r="K154" s="63">
        <f t="shared" si="6"/>
        <v>0</v>
      </c>
    </row>
    <row r="155" spans="1:11" x14ac:dyDescent="0.3">
      <c r="A155" s="12">
        <v>153</v>
      </c>
      <c r="G155" s="26">
        <f t="shared" si="7"/>
        <v>0</v>
      </c>
      <c r="K155" s="63">
        <f t="shared" si="6"/>
        <v>0</v>
      </c>
    </row>
    <row r="156" spans="1:11" x14ac:dyDescent="0.3">
      <c r="A156" s="12">
        <v>154</v>
      </c>
      <c r="G156" s="26">
        <f t="shared" si="7"/>
        <v>0</v>
      </c>
      <c r="K156" s="63">
        <f t="shared" si="6"/>
        <v>0</v>
      </c>
    </row>
    <row r="157" spans="1:11" x14ac:dyDescent="0.3">
      <c r="A157" s="12">
        <v>155</v>
      </c>
      <c r="G157" s="26">
        <f t="shared" si="7"/>
        <v>0</v>
      </c>
      <c r="K157" s="63">
        <f t="shared" si="6"/>
        <v>0</v>
      </c>
    </row>
    <row r="158" spans="1:11" x14ac:dyDescent="0.3">
      <c r="A158" s="12">
        <v>156</v>
      </c>
      <c r="G158" s="26">
        <f t="shared" si="7"/>
        <v>0</v>
      </c>
      <c r="K158" s="63">
        <f t="shared" si="6"/>
        <v>0</v>
      </c>
    </row>
    <row r="159" spans="1:11" x14ac:dyDescent="0.3">
      <c r="A159" s="12">
        <v>157</v>
      </c>
      <c r="G159" s="26">
        <f t="shared" si="7"/>
        <v>0</v>
      </c>
      <c r="K159" s="63">
        <f t="shared" si="6"/>
        <v>0</v>
      </c>
    </row>
    <row r="160" spans="1:11" x14ac:dyDescent="0.3">
      <c r="A160" s="12">
        <v>158</v>
      </c>
      <c r="G160" s="26">
        <f t="shared" si="7"/>
        <v>0</v>
      </c>
      <c r="K160" s="63">
        <f t="shared" si="6"/>
        <v>0</v>
      </c>
    </row>
    <row r="161" spans="1:11" x14ac:dyDescent="0.3">
      <c r="A161" s="12">
        <v>159</v>
      </c>
      <c r="G161" s="26">
        <f t="shared" si="7"/>
        <v>0</v>
      </c>
      <c r="K161" s="63">
        <f t="shared" si="6"/>
        <v>0</v>
      </c>
    </row>
    <row r="162" spans="1:11" x14ac:dyDescent="0.3">
      <c r="A162" s="12">
        <v>160</v>
      </c>
      <c r="G162" s="26">
        <f t="shared" si="7"/>
        <v>0</v>
      </c>
      <c r="K162" s="63">
        <f t="shared" si="6"/>
        <v>0</v>
      </c>
    </row>
    <row r="163" spans="1:11" x14ac:dyDescent="0.3">
      <c r="A163" s="12">
        <v>161</v>
      </c>
      <c r="G163" s="26">
        <f t="shared" si="7"/>
        <v>0</v>
      </c>
      <c r="K163" s="63">
        <f t="shared" si="6"/>
        <v>0</v>
      </c>
    </row>
    <row r="164" spans="1:11" x14ac:dyDescent="0.3">
      <c r="A164" s="12">
        <v>162</v>
      </c>
      <c r="G164" s="26">
        <f t="shared" si="7"/>
        <v>0</v>
      </c>
      <c r="K164" s="63">
        <f t="shared" si="6"/>
        <v>0</v>
      </c>
    </row>
    <row r="165" spans="1:11" x14ac:dyDescent="0.3">
      <c r="A165" s="12">
        <v>163</v>
      </c>
      <c r="G165" s="26">
        <f t="shared" si="7"/>
        <v>0</v>
      </c>
      <c r="K165" s="63">
        <f t="shared" si="6"/>
        <v>0</v>
      </c>
    </row>
    <row r="166" spans="1:11" x14ac:dyDescent="0.3">
      <c r="A166" s="12">
        <v>164</v>
      </c>
      <c r="G166" s="26">
        <f t="shared" si="7"/>
        <v>0</v>
      </c>
      <c r="K166" s="63">
        <f t="shared" si="6"/>
        <v>0</v>
      </c>
    </row>
    <row r="167" spans="1:11" x14ac:dyDescent="0.3">
      <c r="A167" s="12">
        <v>165</v>
      </c>
      <c r="G167" s="26">
        <f t="shared" si="7"/>
        <v>0</v>
      </c>
      <c r="K167" s="63">
        <f t="shared" si="6"/>
        <v>0</v>
      </c>
    </row>
    <row r="168" spans="1:11" x14ac:dyDescent="0.3">
      <c r="A168" s="12">
        <v>166</v>
      </c>
      <c r="G168" s="26">
        <f t="shared" si="7"/>
        <v>0</v>
      </c>
      <c r="K168" s="63">
        <f t="shared" si="6"/>
        <v>0</v>
      </c>
    </row>
    <row r="169" spans="1:11" x14ac:dyDescent="0.3">
      <c r="A169" s="12">
        <v>167</v>
      </c>
      <c r="G169" s="26">
        <f t="shared" si="7"/>
        <v>0</v>
      </c>
      <c r="K169" s="63">
        <f t="shared" si="6"/>
        <v>0</v>
      </c>
    </row>
    <row r="170" spans="1:11" x14ac:dyDescent="0.3">
      <c r="A170" s="12">
        <v>168</v>
      </c>
      <c r="G170" s="26">
        <f t="shared" si="7"/>
        <v>0</v>
      </c>
      <c r="K170" s="63">
        <f t="shared" si="6"/>
        <v>0</v>
      </c>
    </row>
    <row r="171" spans="1:11" x14ac:dyDescent="0.3">
      <c r="A171" s="12">
        <v>169</v>
      </c>
      <c r="G171" s="26">
        <f t="shared" si="7"/>
        <v>0</v>
      </c>
      <c r="K171" s="63">
        <f t="shared" si="6"/>
        <v>0</v>
      </c>
    </row>
    <row r="172" spans="1:11" x14ac:dyDescent="0.3">
      <c r="A172" s="12">
        <v>170</v>
      </c>
      <c r="G172" s="26">
        <f t="shared" si="7"/>
        <v>0</v>
      </c>
      <c r="K172" s="63">
        <f t="shared" si="6"/>
        <v>0</v>
      </c>
    </row>
    <row r="173" spans="1:11" x14ac:dyDescent="0.3">
      <c r="A173" s="12">
        <v>171</v>
      </c>
      <c r="G173" s="26">
        <f t="shared" si="7"/>
        <v>0</v>
      </c>
      <c r="K173" s="63">
        <f t="shared" si="6"/>
        <v>0</v>
      </c>
    </row>
    <row r="174" spans="1:11" x14ac:dyDescent="0.3">
      <c r="A174" s="12">
        <v>172</v>
      </c>
      <c r="G174" s="26">
        <f t="shared" si="7"/>
        <v>0</v>
      </c>
      <c r="K174" s="63">
        <f t="shared" si="6"/>
        <v>0</v>
      </c>
    </row>
    <row r="175" spans="1:11" x14ac:dyDescent="0.3">
      <c r="A175" s="12">
        <v>173</v>
      </c>
      <c r="G175" s="26">
        <f t="shared" si="7"/>
        <v>0</v>
      </c>
      <c r="K175" s="63">
        <f t="shared" si="6"/>
        <v>0</v>
      </c>
    </row>
    <row r="176" spans="1:11" x14ac:dyDescent="0.3">
      <c r="A176" s="12">
        <v>174</v>
      </c>
      <c r="G176" s="26">
        <f t="shared" si="7"/>
        <v>0</v>
      </c>
      <c r="K176" s="63">
        <f t="shared" si="6"/>
        <v>0</v>
      </c>
    </row>
    <row r="177" spans="1:11" x14ac:dyDescent="0.3">
      <c r="A177" s="12">
        <v>175</v>
      </c>
      <c r="G177" s="26">
        <f t="shared" si="7"/>
        <v>0</v>
      </c>
      <c r="K177" s="63">
        <f t="shared" si="6"/>
        <v>0</v>
      </c>
    </row>
    <row r="178" spans="1:11" x14ac:dyDescent="0.3">
      <c r="A178" s="12">
        <v>176</v>
      </c>
      <c r="G178" s="26">
        <f t="shared" si="7"/>
        <v>0</v>
      </c>
      <c r="K178" s="63">
        <f t="shared" si="6"/>
        <v>0</v>
      </c>
    </row>
    <row r="179" spans="1:11" x14ac:dyDescent="0.3">
      <c r="A179" s="12">
        <v>177</v>
      </c>
      <c r="G179" s="26">
        <f t="shared" si="7"/>
        <v>0</v>
      </c>
      <c r="K179" s="63">
        <f t="shared" si="6"/>
        <v>0</v>
      </c>
    </row>
    <row r="180" spans="1:11" x14ac:dyDescent="0.3">
      <c r="A180" s="12">
        <v>178</v>
      </c>
      <c r="G180" s="26">
        <f t="shared" si="7"/>
        <v>0</v>
      </c>
      <c r="K180" s="63">
        <f t="shared" si="6"/>
        <v>0</v>
      </c>
    </row>
    <row r="181" spans="1:11" x14ac:dyDescent="0.3">
      <c r="A181" s="12">
        <v>179</v>
      </c>
      <c r="G181" s="26">
        <f t="shared" si="7"/>
        <v>0</v>
      </c>
      <c r="K181" s="63">
        <f t="shared" si="6"/>
        <v>0</v>
      </c>
    </row>
    <row r="182" spans="1:11" x14ac:dyDescent="0.3">
      <c r="A182" s="12">
        <v>180</v>
      </c>
      <c r="G182" s="26">
        <f t="shared" si="7"/>
        <v>0</v>
      </c>
      <c r="K182" s="63">
        <f t="shared" si="6"/>
        <v>0</v>
      </c>
    </row>
    <row r="183" spans="1:11" x14ac:dyDescent="0.3">
      <c r="A183" s="12">
        <v>181</v>
      </c>
      <c r="G183" s="26">
        <f t="shared" si="7"/>
        <v>0</v>
      </c>
      <c r="K183" s="63">
        <f t="shared" si="6"/>
        <v>0</v>
      </c>
    </row>
    <row r="184" spans="1:11" x14ac:dyDescent="0.3">
      <c r="A184" s="12">
        <v>182</v>
      </c>
      <c r="G184" s="26">
        <f t="shared" si="7"/>
        <v>0</v>
      </c>
      <c r="K184" s="63">
        <f t="shared" si="6"/>
        <v>0</v>
      </c>
    </row>
    <row r="185" spans="1:11" x14ac:dyDescent="0.3">
      <c r="A185" s="12">
        <v>183</v>
      </c>
      <c r="G185" s="26">
        <f t="shared" si="7"/>
        <v>0</v>
      </c>
      <c r="K185" s="63">
        <f t="shared" si="6"/>
        <v>0</v>
      </c>
    </row>
    <row r="186" spans="1:11" x14ac:dyDescent="0.3">
      <c r="A186" s="12">
        <v>184</v>
      </c>
      <c r="G186" s="26">
        <f t="shared" si="7"/>
        <v>0</v>
      </c>
      <c r="K186" s="63">
        <f t="shared" si="6"/>
        <v>0</v>
      </c>
    </row>
    <row r="187" spans="1:11" x14ac:dyDescent="0.3">
      <c r="A187" s="12">
        <v>185</v>
      </c>
      <c r="G187" s="26">
        <f t="shared" si="7"/>
        <v>0</v>
      </c>
      <c r="K187" s="63">
        <f t="shared" si="6"/>
        <v>0</v>
      </c>
    </row>
    <row r="188" spans="1:11" x14ac:dyDescent="0.3">
      <c r="A188" s="12">
        <v>186</v>
      </c>
      <c r="G188" s="26">
        <f t="shared" si="7"/>
        <v>0</v>
      </c>
      <c r="K188" s="63">
        <f t="shared" si="6"/>
        <v>0</v>
      </c>
    </row>
    <row r="189" spans="1:11" x14ac:dyDescent="0.3">
      <c r="A189" s="12">
        <v>187</v>
      </c>
      <c r="G189" s="26">
        <f t="shared" si="7"/>
        <v>0</v>
      </c>
      <c r="K189" s="63">
        <f t="shared" si="6"/>
        <v>0</v>
      </c>
    </row>
    <row r="190" spans="1:11" x14ac:dyDescent="0.3">
      <c r="A190" s="12">
        <v>188</v>
      </c>
      <c r="G190" s="26">
        <f t="shared" si="7"/>
        <v>0</v>
      </c>
      <c r="K190" s="63">
        <f t="shared" si="6"/>
        <v>0</v>
      </c>
    </row>
    <row r="191" spans="1:11" x14ac:dyDescent="0.3">
      <c r="A191" s="12">
        <v>189</v>
      </c>
      <c r="G191" s="26">
        <f t="shared" si="7"/>
        <v>0</v>
      </c>
      <c r="K191" s="63">
        <f t="shared" si="6"/>
        <v>0</v>
      </c>
    </row>
    <row r="192" spans="1:11" x14ac:dyDescent="0.3">
      <c r="A192" s="12">
        <v>190</v>
      </c>
      <c r="G192" s="26">
        <f t="shared" si="7"/>
        <v>0</v>
      </c>
      <c r="K192" s="63">
        <f t="shared" si="6"/>
        <v>0</v>
      </c>
    </row>
    <row r="193" spans="1:11" x14ac:dyDescent="0.3">
      <c r="A193" s="12">
        <v>191</v>
      </c>
      <c r="G193" s="26">
        <f t="shared" si="7"/>
        <v>0</v>
      </c>
      <c r="K193" s="63">
        <f t="shared" si="6"/>
        <v>0</v>
      </c>
    </row>
    <row r="194" spans="1:11" x14ac:dyDescent="0.3">
      <c r="A194" s="12">
        <v>192</v>
      </c>
      <c r="G194" s="26">
        <f t="shared" si="7"/>
        <v>0</v>
      </c>
      <c r="K194" s="63">
        <f t="shared" ref="K194:K257" si="8">F194+I194</f>
        <v>0</v>
      </c>
    </row>
    <row r="195" spans="1:11" x14ac:dyDescent="0.3">
      <c r="A195" s="12">
        <v>193</v>
      </c>
      <c r="G195" s="26">
        <f t="shared" si="7"/>
        <v>0</v>
      </c>
      <c r="K195" s="63">
        <f t="shared" si="8"/>
        <v>0</v>
      </c>
    </row>
    <row r="196" spans="1:11" x14ac:dyDescent="0.3">
      <c r="A196" s="12">
        <v>194</v>
      </c>
      <c r="G196" s="26">
        <f t="shared" si="7"/>
        <v>0</v>
      </c>
      <c r="K196" s="63">
        <f t="shared" si="8"/>
        <v>0</v>
      </c>
    </row>
    <row r="197" spans="1:11" x14ac:dyDescent="0.3">
      <c r="A197" s="12">
        <v>195</v>
      </c>
      <c r="G197" s="26">
        <f t="shared" ref="G197:G260" si="9">D197-F197-I197</f>
        <v>0</v>
      </c>
      <c r="K197" s="63">
        <f t="shared" si="8"/>
        <v>0</v>
      </c>
    </row>
    <row r="198" spans="1:11" x14ac:dyDescent="0.3">
      <c r="A198" s="12">
        <v>196</v>
      </c>
      <c r="G198" s="26">
        <f t="shared" si="9"/>
        <v>0</v>
      </c>
      <c r="K198" s="63">
        <f t="shared" si="8"/>
        <v>0</v>
      </c>
    </row>
    <row r="199" spans="1:11" x14ac:dyDescent="0.3">
      <c r="A199" s="12">
        <v>197</v>
      </c>
      <c r="G199" s="26">
        <f t="shared" si="9"/>
        <v>0</v>
      </c>
      <c r="K199" s="63">
        <f t="shared" si="8"/>
        <v>0</v>
      </c>
    </row>
    <row r="200" spans="1:11" x14ac:dyDescent="0.3">
      <c r="A200" s="12">
        <v>198</v>
      </c>
      <c r="G200" s="26">
        <f t="shared" si="9"/>
        <v>0</v>
      </c>
      <c r="K200" s="63">
        <f t="shared" si="8"/>
        <v>0</v>
      </c>
    </row>
    <row r="201" spans="1:11" x14ac:dyDescent="0.3">
      <c r="A201" s="12">
        <v>199</v>
      </c>
      <c r="G201" s="26">
        <f t="shared" si="9"/>
        <v>0</v>
      </c>
      <c r="K201" s="63">
        <f t="shared" si="8"/>
        <v>0</v>
      </c>
    </row>
    <row r="202" spans="1:11" x14ac:dyDescent="0.3">
      <c r="A202" s="12">
        <v>200</v>
      </c>
      <c r="G202" s="26">
        <f t="shared" si="9"/>
        <v>0</v>
      </c>
      <c r="K202" s="63">
        <f t="shared" si="8"/>
        <v>0</v>
      </c>
    </row>
    <row r="203" spans="1:11" x14ac:dyDescent="0.3">
      <c r="A203" s="12">
        <v>201</v>
      </c>
      <c r="G203" s="26">
        <f t="shared" si="9"/>
        <v>0</v>
      </c>
      <c r="K203" s="63">
        <f t="shared" si="8"/>
        <v>0</v>
      </c>
    </row>
    <row r="204" spans="1:11" x14ac:dyDescent="0.3">
      <c r="A204" s="12">
        <v>202</v>
      </c>
      <c r="G204" s="26">
        <f t="shared" si="9"/>
        <v>0</v>
      </c>
      <c r="K204" s="63">
        <f t="shared" si="8"/>
        <v>0</v>
      </c>
    </row>
    <row r="205" spans="1:11" x14ac:dyDescent="0.3">
      <c r="A205" s="12">
        <v>203</v>
      </c>
      <c r="G205" s="26">
        <f t="shared" si="9"/>
        <v>0</v>
      </c>
      <c r="K205" s="63">
        <f t="shared" si="8"/>
        <v>0</v>
      </c>
    </row>
    <row r="206" spans="1:11" x14ac:dyDescent="0.3">
      <c r="A206" s="12">
        <v>204</v>
      </c>
      <c r="G206" s="26">
        <f t="shared" si="9"/>
        <v>0</v>
      </c>
      <c r="K206" s="63">
        <f t="shared" si="8"/>
        <v>0</v>
      </c>
    </row>
    <row r="207" spans="1:11" x14ac:dyDescent="0.3">
      <c r="A207" s="12">
        <v>205</v>
      </c>
      <c r="G207" s="26">
        <f t="shared" si="9"/>
        <v>0</v>
      </c>
      <c r="K207" s="63">
        <f t="shared" si="8"/>
        <v>0</v>
      </c>
    </row>
    <row r="208" spans="1:11" x14ac:dyDescent="0.3">
      <c r="A208" s="12">
        <v>206</v>
      </c>
      <c r="G208" s="26">
        <f t="shared" si="9"/>
        <v>0</v>
      </c>
      <c r="K208" s="63">
        <f t="shared" si="8"/>
        <v>0</v>
      </c>
    </row>
    <row r="209" spans="1:11" x14ac:dyDescent="0.3">
      <c r="A209" s="12">
        <v>207</v>
      </c>
      <c r="G209" s="26">
        <f t="shared" si="9"/>
        <v>0</v>
      </c>
      <c r="K209" s="63">
        <f t="shared" si="8"/>
        <v>0</v>
      </c>
    </row>
    <row r="210" spans="1:11" x14ac:dyDescent="0.3">
      <c r="A210" s="12">
        <v>208</v>
      </c>
      <c r="G210" s="26">
        <f t="shared" si="9"/>
        <v>0</v>
      </c>
      <c r="K210" s="63">
        <f t="shared" si="8"/>
        <v>0</v>
      </c>
    </row>
    <row r="211" spans="1:11" x14ac:dyDescent="0.3">
      <c r="A211" s="12">
        <v>209</v>
      </c>
      <c r="G211" s="26">
        <f t="shared" si="9"/>
        <v>0</v>
      </c>
      <c r="K211" s="63">
        <f t="shared" si="8"/>
        <v>0</v>
      </c>
    </row>
    <row r="212" spans="1:11" x14ac:dyDescent="0.3">
      <c r="A212" s="12">
        <v>210</v>
      </c>
      <c r="G212" s="26">
        <f t="shared" si="9"/>
        <v>0</v>
      </c>
      <c r="K212" s="63">
        <f t="shared" si="8"/>
        <v>0</v>
      </c>
    </row>
    <row r="213" spans="1:11" x14ac:dyDescent="0.3">
      <c r="A213" s="12">
        <v>211</v>
      </c>
      <c r="G213" s="26">
        <f t="shared" si="9"/>
        <v>0</v>
      </c>
      <c r="K213" s="63">
        <f t="shared" si="8"/>
        <v>0</v>
      </c>
    </row>
    <row r="214" spans="1:11" x14ac:dyDescent="0.3">
      <c r="A214" s="12">
        <v>212</v>
      </c>
      <c r="G214" s="26">
        <f t="shared" si="9"/>
        <v>0</v>
      </c>
      <c r="K214" s="63">
        <f t="shared" si="8"/>
        <v>0</v>
      </c>
    </row>
    <row r="215" spans="1:11" x14ac:dyDescent="0.3">
      <c r="A215" s="12">
        <v>213</v>
      </c>
      <c r="G215" s="26">
        <f t="shared" si="9"/>
        <v>0</v>
      </c>
      <c r="K215" s="63">
        <f t="shared" si="8"/>
        <v>0</v>
      </c>
    </row>
    <row r="216" spans="1:11" x14ac:dyDescent="0.3">
      <c r="A216" s="12">
        <v>214</v>
      </c>
      <c r="G216" s="26">
        <f t="shared" si="9"/>
        <v>0</v>
      </c>
      <c r="K216" s="63">
        <f t="shared" si="8"/>
        <v>0</v>
      </c>
    </row>
    <row r="217" spans="1:11" x14ac:dyDescent="0.3">
      <c r="A217" s="12">
        <v>215</v>
      </c>
      <c r="G217" s="26">
        <f t="shared" si="9"/>
        <v>0</v>
      </c>
      <c r="K217" s="63">
        <f t="shared" si="8"/>
        <v>0</v>
      </c>
    </row>
    <row r="218" spans="1:11" x14ac:dyDescent="0.3">
      <c r="A218" s="12">
        <v>216</v>
      </c>
      <c r="G218" s="26">
        <f t="shared" si="9"/>
        <v>0</v>
      </c>
      <c r="K218" s="63">
        <f t="shared" si="8"/>
        <v>0</v>
      </c>
    </row>
    <row r="219" spans="1:11" x14ac:dyDescent="0.3">
      <c r="A219" s="12">
        <v>217</v>
      </c>
      <c r="G219" s="26">
        <f t="shared" si="9"/>
        <v>0</v>
      </c>
      <c r="K219" s="63">
        <f t="shared" si="8"/>
        <v>0</v>
      </c>
    </row>
    <row r="220" spans="1:11" x14ac:dyDescent="0.3">
      <c r="A220" s="12">
        <v>218</v>
      </c>
      <c r="G220" s="26">
        <f t="shared" si="9"/>
        <v>0</v>
      </c>
      <c r="K220" s="63">
        <f t="shared" si="8"/>
        <v>0</v>
      </c>
    </row>
    <row r="221" spans="1:11" x14ac:dyDescent="0.3">
      <c r="A221" s="12">
        <v>219</v>
      </c>
      <c r="G221" s="26">
        <f t="shared" si="9"/>
        <v>0</v>
      </c>
      <c r="K221" s="63">
        <f t="shared" si="8"/>
        <v>0</v>
      </c>
    </row>
    <row r="222" spans="1:11" x14ac:dyDescent="0.3">
      <c r="A222" s="12">
        <v>220</v>
      </c>
      <c r="G222" s="26">
        <f t="shared" si="9"/>
        <v>0</v>
      </c>
      <c r="K222" s="63">
        <f t="shared" si="8"/>
        <v>0</v>
      </c>
    </row>
    <row r="223" spans="1:11" x14ac:dyDescent="0.3">
      <c r="A223" s="12">
        <v>221</v>
      </c>
      <c r="G223" s="26">
        <f t="shared" si="9"/>
        <v>0</v>
      </c>
      <c r="K223" s="63">
        <f t="shared" si="8"/>
        <v>0</v>
      </c>
    </row>
    <row r="224" spans="1:11" x14ac:dyDescent="0.3">
      <c r="A224" s="12">
        <v>222</v>
      </c>
      <c r="G224" s="26">
        <f t="shared" si="9"/>
        <v>0</v>
      </c>
      <c r="K224" s="63">
        <f t="shared" si="8"/>
        <v>0</v>
      </c>
    </row>
    <row r="225" spans="1:11" x14ac:dyDescent="0.3">
      <c r="A225" s="12">
        <v>223</v>
      </c>
      <c r="G225" s="26">
        <f t="shared" si="9"/>
        <v>0</v>
      </c>
      <c r="K225" s="63">
        <f t="shared" si="8"/>
        <v>0</v>
      </c>
    </row>
    <row r="226" spans="1:11" x14ac:dyDescent="0.3">
      <c r="A226" s="12">
        <v>224</v>
      </c>
      <c r="G226" s="26">
        <f t="shared" si="9"/>
        <v>0</v>
      </c>
      <c r="K226" s="63">
        <f t="shared" si="8"/>
        <v>0</v>
      </c>
    </row>
    <row r="227" spans="1:11" x14ac:dyDescent="0.3">
      <c r="A227" s="12">
        <v>225</v>
      </c>
      <c r="G227" s="26">
        <f t="shared" si="9"/>
        <v>0</v>
      </c>
      <c r="K227" s="63">
        <f t="shared" si="8"/>
        <v>0</v>
      </c>
    </row>
    <row r="228" spans="1:11" x14ac:dyDescent="0.3">
      <c r="A228" s="12">
        <v>226</v>
      </c>
      <c r="G228" s="26">
        <f t="shared" si="9"/>
        <v>0</v>
      </c>
      <c r="K228" s="63">
        <f t="shared" si="8"/>
        <v>0</v>
      </c>
    </row>
    <row r="229" spans="1:11" x14ac:dyDescent="0.3">
      <c r="A229" s="12">
        <v>227</v>
      </c>
      <c r="G229" s="26">
        <f t="shared" si="9"/>
        <v>0</v>
      </c>
      <c r="K229" s="63">
        <f t="shared" si="8"/>
        <v>0</v>
      </c>
    </row>
    <row r="230" spans="1:11" x14ac:dyDescent="0.3">
      <c r="A230" s="12">
        <v>228</v>
      </c>
      <c r="G230" s="26">
        <f t="shared" si="9"/>
        <v>0</v>
      </c>
      <c r="K230" s="63">
        <f t="shared" si="8"/>
        <v>0</v>
      </c>
    </row>
    <row r="231" spans="1:11" x14ac:dyDescent="0.3">
      <c r="A231" s="12">
        <v>229</v>
      </c>
      <c r="G231" s="26">
        <f t="shared" si="9"/>
        <v>0</v>
      </c>
      <c r="K231" s="63">
        <f t="shared" si="8"/>
        <v>0</v>
      </c>
    </row>
    <row r="232" spans="1:11" x14ac:dyDescent="0.3">
      <c r="A232" s="12">
        <v>230</v>
      </c>
      <c r="G232" s="26">
        <f t="shared" si="9"/>
        <v>0</v>
      </c>
      <c r="K232" s="63">
        <f t="shared" si="8"/>
        <v>0</v>
      </c>
    </row>
    <row r="233" spans="1:11" x14ac:dyDescent="0.3">
      <c r="A233" s="12">
        <v>231</v>
      </c>
      <c r="G233" s="26">
        <f t="shared" si="9"/>
        <v>0</v>
      </c>
      <c r="K233" s="63">
        <f t="shared" si="8"/>
        <v>0</v>
      </c>
    </row>
    <row r="234" spans="1:11" x14ac:dyDescent="0.3">
      <c r="A234" s="12">
        <v>232</v>
      </c>
      <c r="G234" s="26">
        <f t="shared" si="9"/>
        <v>0</v>
      </c>
      <c r="K234" s="63">
        <f t="shared" si="8"/>
        <v>0</v>
      </c>
    </row>
    <row r="235" spans="1:11" x14ac:dyDescent="0.3">
      <c r="A235" s="12">
        <v>233</v>
      </c>
      <c r="G235" s="26">
        <f t="shared" si="9"/>
        <v>0</v>
      </c>
      <c r="K235" s="63">
        <f t="shared" si="8"/>
        <v>0</v>
      </c>
    </row>
    <row r="236" spans="1:11" x14ac:dyDescent="0.3">
      <c r="A236" s="12">
        <v>234</v>
      </c>
      <c r="G236" s="26">
        <f t="shared" si="9"/>
        <v>0</v>
      </c>
      <c r="K236" s="63">
        <f t="shared" si="8"/>
        <v>0</v>
      </c>
    </row>
    <row r="237" spans="1:11" x14ac:dyDescent="0.3">
      <c r="A237" s="12">
        <v>235</v>
      </c>
      <c r="G237" s="26">
        <f t="shared" si="9"/>
        <v>0</v>
      </c>
      <c r="K237" s="63">
        <f t="shared" si="8"/>
        <v>0</v>
      </c>
    </row>
    <row r="238" spans="1:11" x14ac:dyDescent="0.3">
      <c r="A238" s="12">
        <v>236</v>
      </c>
      <c r="G238" s="26">
        <f t="shared" si="9"/>
        <v>0</v>
      </c>
      <c r="K238" s="63">
        <f t="shared" si="8"/>
        <v>0</v>
      </c>
    </row>
    <row r="239" spans="1:11" x14ac:dyDescent="0.3">
      <c r="A239" s="12">
        <v>237</v>
      </c>
      <c r="G239" s="26">
        <f t="shared" si="9"/>
        <v>0</v>
      </c>
      <c r="K239" s="63">
        <f t="shared" si="8"/>
        <v>0</v>
      </c>
    </row>
    <row r="240" spans="1:11" x14ac:dyDescent="0.3">
      <c r="A240" s="12">
        <v>238</v>
      </c>
      <c r="G240" s="26">
        <f t="shared" si="9"/>
        <v>0</v>
      </c>
      <c r="K240" s="63">
        <f t="shared" si="8"/>
        <v>0</v>
      </c>
    </row>
    <row r="241" spans="1:11" x14ac:dyDescent="0.3">
      <c r="A241" s="12">
        <v>239</v>
      </c>
      <c r="G241" s="26">
        <f t="shared" si="9"/>
        <v>0</v>
      </c>
      <c r="K241" s="63">
        <f t="shared" si="8"/>
        <v>0</v>
      </c>
    </row>
    <row r="242" spans="1:11" x14ac:dyDescent="0.3">
      <c r="A242" s="12">
        <v>240</v>
      </c>
      <c r="G242" s="26">
        <f t="shared" si="9"/>
        <v>0</v>
      </c>
      <c r="K242" s="63">
        <f t="shared" si="8"/>
        <v>0</v>
      </c>
    </row>
    <row r="243" spans="1:11" x14ac:dyDescent="0.3">
      <c r="A243" s="12">
        <v>241</v>
      </c>
      <c r="G243" s="26">
        <f t="shared" si="9"/>
        <v>0</v>
      </c>
      <c r="K243" s="63">
        <f t="shared" si="8"/>
        <v>0</v>
      </c>
    </row>
    <row r="244" spans="1:11" x14ac:dyDescent="0.3">
      <c r="A244" s="12">
        <v>242</v>
      </c>
      <c r="G244" s="26">
        <f t="shared" si="9"/>
        <v>0</v>
      </c>
      <c r="K244" s="63">
        <f t="shared" si="8"/>
        <v>0</v>
      </c>
    </row>
    <row r="245" spans="1:11" x14ac:dyDescent="0.3">
      <c r="A245" s="12">
        <v>243</v>
      </c>
      <c r="G245" s="26">
        <f t="shared" si="9"/>
        <v>0</v>
      </c>
      <c r="K245" s="63">
        <f t="shared" si="8"/>
        <v>0</v>
      </c>
    </row>
    <row r="246" spans="1:11" x14ac:dyDescent="0.3">
      <c r="A246" s="12">
        <v>244</v>
      </c>
      <c r="G246" s="26">
        <f t="shared" si="9"/>
        <v>0</v>
      </c>
      <c r="K246" s="63">
        <f t="shared" si="8"/>
        <v>0</v>
      </c>
    </row>
    <row r="247" spans="1:11" x14ac:dyDescent="0.3">
      <c r="A247" s="12">
        <v>245</v>
      </c>
      <c r="G247" s="26">
        <f t="shared" si="9"/>
        <v>0</v>
      </c>
      <c r="K247" s="63">
        <f t="shared" si="8"/>
        <v>0</v>
      </c>
    </row>
    <row r="248" spans="1:11" x14ac:dyDescent="0.3">
      <c r="A248" s="12">
        <v>246</v>
      </c>
      <c r="G248" s="26">
        <f t="shared" si="9"/>
        <v>0</v>
      </c>
      <c r="K248" s="63">
        <f t="shared" si="8"/>
        <v>0</v>
      </c>
    </row>
    <row r="249" spans="1:11" x14ac:dyDescent="0.3">
      <c r="A249" s="12">
        <v>247</v>
      </c>
      <c r="G249" s="26">
        <f t="shared" si="9"/>
        <v>0</v>
      </c>
      <c r="K249" s="63">
        <f t="shared" si="8"/>
        <v>0</v>
      </c>
    </row>
    <row r="250" spans="1:11" x14ac:dyDescent="0.3">
      <c r="A250" s="12">
        <v>248</v>
      </c>
      <c r="G250" s="26">
        <f t="shared" si="9"/>
        <v>0</v>
      </c>
      <c r="K250" s="63">
        <f t="shared" si="8"/>
        <v>0</v>
      </c>
    </row>
    <row r="251" spans="1:11" x14ac:dyDescent="0.3">
      <c r="A251" s="12">
        <v>249</v>
      </c>
      <c r="G251" s="26">
        <f t="shared" si="9"/>
        <v>0</v>
      </c>
      <c r="K251" s="63">
        <f t="shared" si="8"/>
        <v>0</v>
      </c>
    </row>
    <row r="252" spans="1:11" x14ac:dyDescent="0.3">
      <c r="A252" s="12">
        <v>250</v>
      </c>
      <c r="G252" s="26">
        <f t="shared" si="9"/>
        <v>0</v>
      </c>
      <c r="K252" s="63">
        <f t="shared" si="8"/>
        <v>0</v>
      </c>
    </row>
    <row r="253" spans="1:11" x14ac:dyDescent="0.3">
      <c r="A253" s="12">
        <v>251</v>
      </c>
      <c r="G253" s="26">
        <f t="shared" si="9"/>
        <v>0</v>
      </c>
      <c r="K253" s="63">
        <f t="shared" si="8"/>
        <v>0</v>
      </c>
    </row>
    <row r="254" spans="1:11" x14ac:dyDescent="0.3">
      <c r="A254" s="12">
        <v>252</v>
      </c>
      <c r="G254" s="26">
        <f t="shared" si="9"/>
        <v>0</v>
      </c>
      <c r="K254" s="63">
        <f t="shared" si="8"/>
        <v>0</v>
      </c>
    </row>
    <row r="255" spans="1:11" x14ac:dyDescent="0.3">
      <c r="A255" s="12">
        <v>253</v>
      </c>
      <c r="G255" s="26">
        <f t="shared" si="9"/>
        <v>0</v>
      </c>
      <c r="K255" s="63">
        <f t="shared" si="8"/>
        <v>0</v>
      </c>
    </row>
    <row r="256" spans="1:11" x14ac:dyDescent="0.3">
      <c r="A256" s="12">
        <v>254</v>
      </c>
      <c r="G256" s="26">
        <f t="shared" si="9"/>
        <v>0</v>
      </c>
      <c r="K256" s="63">
        <f t="shared" si="8"/>
        <v>0</v>
      </c>
    </row>
    <row r="257" spans="1:11" x14ac:dyDescent="0.3">
      <c r="A257" s="12">
        <v>255</v>
      </c>
      <c r="G257" s="26">
        <f t="shared" si="9"/>
        <v>0</v>
      </c>
      <c r="K257" s="63">
        <f t="shared" si="8"/>
        <v>0</v>
      </c>
    </row>
    <row r="258" spans="1:11" x14ac:dyDescent="0.3">
      <c r="A258" s="12">
        <v>256</v>
      </c>
      <c r="G258" s="26">
        <f t="shared" si="9"/>
        <v>0</v>
      </c>
      <c r="K258" s="63">
        <f t="shared" ref="K258:K321" si="10">F258+I258</f>
        <v>0</v>
      </c>
    </row>
    <row r="259" spans="1:11" x14ac:dyDescent="0.3">
      <c r="A259" s="12">
        <v>257</v>
      </c>
      <c r="G259" s="26">
        <f t="shared" si="9"/>
        <v>0</v>
      </c>
      <c r="K259" s="63">
        <f t="shared" si="10"/>
        <v>0</v>
      </c>
    </row>
    <row r="260" spans="1:11" x14ac:dyDescent="0.3">
      <c r="A260" s="12">
        <v>258</v>
      </c>
      <c r="G260" s="26">
        <f t="shared" si="9"/>
        <v>0</v>
      </c>
      <c r="K260" s="63">
        <f t="shared" si="10"/>
        <v>0</v>
      </c>
    </row>
    <row r="261" spans="1:11" x14ac:dyDescent="0.3">
      <c r="A261" s="12">
        <v>259</v>
      </c>
      <c r="G261" s="26">
        <f t="shared" ref="G261:G324" si="11">D261-F261-I261</f>
        <v>0</v>
      </c>
      <c r="K261" s="63">
        <f t="shared" si="10"/>
        <v>0</v>
      </c>
    </row>
    <row r="262" spans="1:11" x14ac:dyDescent="0.3">
      <c r="A262" s="12">
        <v>260</v>
      </c>
      <c r="G262" s="26">
        <f t="shared" si="11"/>
        <v>0</v>
      </c>
      <c r="K262" s="63">
        <f t="shared" si="10"/>
        <v>0</v>
      </c>
    </row>
    <row r="263" spans="1:11" x14ac:dyDescent="0.3">
      <c r="A263" s="12">
        <v>261</v>
      </c>
      <c r="G263" s="26">
        <f t="shared" si="11"/>
        <v>0</v>
      </c>
      <c r="K263" s="63">
        <f t="shared" si="10"/>
        <v>0</v>
      </c>
    </row>
    <row r="264" spans="1:11" x14ac:dyDescent="0.3">
      <c r="A264" s="12">
        <v>262</v>
      </c>
      <c r="G264" s="26">
        <f t="shared" si="11"/>
        <v>0</v>
      </c>
      <c r="K264" s="63">
        <f t="shared" si="10"/>
        <v>0</v>
      </c>
    </row>
    <row r="265" spans="1:11" x14ac:dyDescent="0.3">
      <c r="A265" s="12">
        <v>263</v>
      </c>
      <c r="G265" s="26">
        <f t="shared" si="11"/>
        <v>0</v>
      </c>
      <c r="K265" s="63">
        <f t="shared" si="10"/>
        <v>0</v>
      </c>
    </row>
    <row r="266" spans="1:11" x14ac:dyDescent="0.3">
      <c r="A266" s="12">
        <v>264</v>
      </c>
      <c r="G266" s="26">
        <f t="shared" si="11"/>
        <v>0</v>
      </c>
      <c r="K266" s="63">
        <f t="shared" si="10"/>
        <v>0</v>
      </c>
    </row>
    <row r="267" spans="1:11" x14ac:dyDescent="0.3">
      <c r="A267" s="12">
        <v>265</v>
      </c>
      <c r="G267" s="26">
        <f t="shared" si="11"/>
        <v>0</v>
      </c>
      <c r="K267" s="63">
        <f t="shared" si="10"/>
        <v>0</v>
      </c>
    </row>
    <row r="268" spans="1:11" x14ac:dyDescent="0.3">
      <c r="A268" s="12">
        <v>266</v>
      </c>
      <c r="G268" s="26">
        <f t="shared" si="11"/>
        <v>0</v>
      </c>
      <c r="K268" s="63">
        <f t="shared" si="10"/>
        <v>0</v>
      </c>
    </row>
    <row r="269" spans="1:11" x14ac:dyDescent="0.3">
      <c r="A269" s="12">
        <v>267</v>
      </c>
      <c r="G269" s="26">
        <f t="shared" si="11"/>
        <v>0</v>
      </c>
      <c r="K269" s="63">
        <f t="shared" si="10"/>
        <v>0</v>
      </c>
    </row>
    <row r="270" spans="1:11" x14ac:dyDescent="0.3">
      <c r="A270" s="12">
        <v>268</v>
      </c>
      <c r="G270" s="26">
        <f t="shared" si="11"/>
        <v>0</v>
      </c>
      <c r="K270" s="63">
        <f t="shared" si="10"/>
        <v>0</v>
      </c>
    </row>
    <row r="271" spans="1:11" x14ac:dyDescent="0.3">
      <c r="A271" s="12">
        <v>269</v>
      </c>
      <c r="G271" s="26">
        <f t="shared" si="11"/>
        <v>0</v>
      </c>
      <c r="K271" s="63">
        <f t="shared" si="10"/>
        <v>0</v>
      </c>
    </row>
    <row r="272" spans="1:11" x14ac:dyDescent="0.3">
      <c r="A272" s="12">
        <v>270</v>
      </c>
      <c r="G272" s="26">
        <f t="shared" si="11"/>
        <v>0</v>
      </c>
      <c r="K272" s="63">
        <f t="shared" si="10"/>
        <v>0</v>
      </c>
    </row>
    <row r="273" spans="1:11" x14ac:dyDescent="0.3">
      <c r="A273" s="12">
        <v>271</v>
      </c>
      <c r="G273" s="26">
        <f t="shared" si="11"/>
        <v>0</v>
      </c>
      <c r="K273" s="63">
        <f t="shared" si="10"/>
        <v>0</v>
      </c>
    </row>
    <row r="274" spans="1:11" x14ac:dyDescent="0.3">
      <c r="A274" s="12">
        <v>272</v>
      </c>
      <c r="G274" s="26">
        <f t="shared" si="11"/>
        <v>0</v>
      </c>
      <c r="K274" s="63">
        <f t="shared" si="10"/>
        <v>0</v>
      </c>
    </row>
    <row r="275" spans="1:11" x14ac:dyDescent="0.3">
      <c r="A275" s="12">
        <v>273</v>
      </c>
      <c r="G275" s="26">
        <f t="shared" si="11"/>
        <v>0</v>
      </c>
      <c r="K275" s="63">
        <f t="shared" si="10"/>
        <v>0</v>
      </c>
    </row>
    <row r="276" spans="1:11" x14ac:dyDescent="0.3">
      <c r="A276" s="12">
        <v>274</v>
      </c>
      <c r="G276" s="26">
        <f t="shared" si="11"/>
        <v>0</v>
      </c>
      <c r="K276" s="63">
        <f t="shared" si="10"/>
        <v>0</v>
      </c>
    </row>
    <row r="277" spans="1:11" x14ac:dyDescent="0.3">
      <c r="A277" s="12">
        <v>275</v>
      </c>
      <c r="G277" s="26">
        <f t="shared" si="11"/>
        <v>0</v>
      </c>
      <c r="K277" s="63">
        <f t="shared" si="10"/>
        <v>0</v>
      </c>
    </row>
    <row r="278" spans="1:11" x14ac:dyDescent="0.3">
      <c r="A278" s="12">
        <v>276</v>
      </c>
      <c r="G278" s="26">
        <f t="shared" si="11"/>
        <v>0</v>
      </c>
      <c r="K278" s="63">
        <f t="shared" si="10"/>
        <v>0</v>
      </c>
    </row>
    <row r="279" spans="1:11" x14ac:dyDescent="0.3">
      <c r="A279" s="12">
        <v>277</v>
      </c>
      <c r="G279" s="26">
        <f t="shared" si="11"/>
        <v>0</v>
      </c>
      <c r="K279" s="63">
        <f t="shared" si="10"/>
        <v>0</v>
      </c>
    </row>
    <row r="280" spans="1:11" x14ac:dyDescent="0.3">
      <c r="A280" s="12">
        <v>278</v>
      </c>
      <c r="G280" s="26">
        <f t="shared" si="11"/>
        <v>0</v>
      </c>
      <c r="K280" s="63">
        <f t="shared" si="10"/>
        <v>0</v>
      </c>
    </row>
    <row r="281" spans="1:11" x14ac:dyDescent="0.3">
      <c r="A281" s="12">
        <v>279</v>
      </c>
      <c r="G281" s="26">
        <f t="shared" si="11"/>
        <v>0</v>
      </c>
      <c r="K281" s="63">
        <f t="shared" si="10"/>
        <v>0</v>
      </c>
    </row>
    <row r="282" spans="1:11" x14ac:dyDescent="0.3">
      <c r="A282" s="12">
        <v>280</v>
      </c>
      <c r="G282" s="26">
        <f t="shared" si="11"/>
        <v>0</v>
      </c>
      <c r="K282" s="63">
        <f t="shared" si="10"/>
        <v>0</v>
      </c>
    </row>
    <row r="283" spans="1:11" x14ac:dyDescent="0.3">
      <c r="A283" s="12">
        <v>281</v>
      </c>
      <c r="G283" s="26">
        <f t="shared" si="11"/>
        <v>0</v>
      </c>
      <c r="K283" s="63">
        <f t="shared" si="10"/>
        <v>0</v>
      </c>
    </row>
    <row r="284" spans="1:11" x14ac:dyDescent="0.3">
      <c r="G284" s="26">
        <f t="shared" si="11"/>
        <v>0</v>
      </c>
      <c r="K284" s="63">
        <f t="shared" si="10"/>
        <v>0</v>
      </c>
    </row>
    <row r="285" spans="1:11" x14ac:dyDescent="0.3">
      <c r="G285" s="26">
        <f t="shared" si="11"/>
        <v>0</v>
      </c>
      <c r="K285" s="63">
        <f t="shared" si="10"/>
        <v>0</v>
      </c>
    </row>
    <row r="286" spans="1:11" x14ac:dyDescent="0.3">
      <c r="G286" s="26">
        <f t="shared" si="11"/>
        <v>0</v>
      </c>
      <c r="K286" s="63">
        <f t="shared" si="10"/>
        <v>0</v>
      </c>
    </row>
    <row r="287" spans="1:11" x14ac:dyDescent="0.3">
      <c r="G287" s="26">
        <f t="shared" si="11"/>
        <v>0</v>
      </c>
      <c r="K287" s="63">
        <f t="shared" si="10"/>
        <v>0</v>
      </c>
    </row>
    <row r="288" spans="1:11" x14ac:dyDescent="0.3">
      <c r="G288" s="26">
        <f t="shared" si="11"/>
        <v>0</v>
      </c>
      <c r="K288" s="63">
        <f t="shared" si="10"/>
        <v>0</v>
      </c>
    </row>
    <row r="289" spans="7:11" x14ac:dyDescent="0.3">
      <c r="G289" s="26">
        <f t="shared" si="11"/>
        <v>0</v>
      </c>
      <c r="K289" s="63">
        <f t="shared" si="10"/>
        <v>0</v>
      </c>
    </row>
    <row r="290" spans="7:11" x14ac:dyDescent="0.3">
      <c r="G290" s="26">
        <f t="shared" si="11"/>
        <v>0</v>
      </c>
      <c r="K290" s="63">
        <f t="shared" si="10"/>
        <v>0</v>
      </c>
    </row>
    <row r="291" spans="7:11" x14ac:dyDescent="0.3">
      <c r="G291" s="26">
        <f t="shared" si="11"/>
        <v>0</v>
      </c>
      <c r="K291" s="63">
        <f t="shared" si="10"/>
        <v>0</v>
      </c>
    </row>
    <row r="292" spans="7:11" x14ac:dyDescent="0.3">
      <c r="G292" s="26">
        <f t="shared" si="11"/>
        <v>0</v>
      </c>
      <c r="K292" s="63">
        <f t="shared" si="10"/>
        <v>0</v>
      </c>
    </row>
    <row r="293" spans="7:11" x14ac:dyDescent="0.3">
      <c r="G293" s="26">
        <f t="shared" si="11"/>
        <v>0</v>
      </c>
      <c r="K293" s="63">
        <f t="shared" si="10"/>
        <v>0</v>
      </c>
    </row>
    <row r="294" spans="7:11" x14ac:dyDescent="0.3">
      <c r="G294" s="26">
        <f t="shared" si="11"/>
        <v>0</v>
      </c>
      <c r="K294" s="63">
        <f t="shared" si="10"/>
        <v>0</v>
      </c>
    </row>
    <row r="295" spans="7:11" x14ac:dyDescent="0.3">
      <c r="G295" s="26">
        <f t="shared" si="11"/>
        <v>0</v>
      </c>
      <c r="K295" s="63">
        <f t="shared" si="10"/>
        <v>0</v>
      </c>
    </row>
    <row r="296" spans="7:11" x14ac:dyDescent="0.3">
      <c r="G296" s="26">
        <f t="shared" si="11"/>
        <v>0</v>
      </c>
      <c r="K296" s="63">
        <f t="shared" si="10"/>
        <v>0</v>
      </c>
    </row>
    <row r="297" spans="7:11" x14ac:dyDescent="0.3">
      <c r="G297" s="26">
        <f t="shared" si="11"/>
        <v>0</v>
      </c>
      <c r="K297" s="63">
        <f t="shared" si="10"/>
        <v>0</v>
      </c>
    </row>
    <row r="298" spans="7:11" x14ac:dyDescent="0.3">
      <c r="G298" s="26">
        <f t="shared" si="11"/>
        <v>0</v>
      </c>
      <c r="K298" s="63">
        <f t="shared" si="10"/>
        <v>0</v>
      </c>
    </row>
    <row r="299" spans="7:11" x14ac:dyDescent="0.3">
      <c r="G299" s="26">
        <f t="shared" si="11"/>
        <v>0</v>
      </c>
      <c r="K299" s="63">
        <f t="shared" si="10"/>
        <v>0</v>
      </c>
    </row>
    <row r="300" spans="7:11" x14ac:dyDescent="0.3">
      <c r="G300" s="26">
        <f t="shared" si="11"/>
        <v>0</v>
      </c>
      <c r="K300" s="63">
        <f t="shared" si="10"/>
        <v>0</v>
      </c>
    </row>
    <row r="301" spans="7:11" x14ac:dyDescent="0.3">
      <c r="G301" s="26">
        <f t="shared" si="11"/>
        <v>0</v>
      </c>
      <c r="K301" s="63">
        <f t="shared" si="10"/>
        <v>0</v>
      </c>
    </row>
    <row r="302" spans="7:11" x14ac:dyDescent="0.3">
      <c r="G302" s="26">
        <f t="shared" si="11"/>
        <v>0</v>
      </c>
      <c r="K302" s="63">
        <f t="shared" si="10"/>
        <v>0</v>
      </c>
    </row>
    <row r="303" spans="7:11" x14ac:dyDescent="0.3">
      <c r="G303" s="26">
        <f t="shared" si="11"/>
        <v>0</v>
      </c>
      <c r="K303" s="63">
        <f t="shared" si="10"/>
        <v>0</v>
      </c>
    </row>
    <row r="304" spans="7:11" x14ac:dyDescent="0.3">
      <c r="G304" s="26">
        <f t="shared" si="11"/>
        <v>0</v>
      </c>
      <c r="K304" s="63">
        <f t="shared" si="10"/>
        <v>0</v>
      </c>
    </row>
    <row r="305" spans="7:11" x14ac:dyDescent="0.3">
      <c r="G305" s="26">
        <f t="shared" si="11"/>
        <v>0</v>
      </c>
      <c r="K305" s="63">
        <f t="shared" si="10"/>
        <v>0</v>
      </c>
    </row>
    <row r="306" spans="7:11" x14ac:dyDescent="0.3">
      <c r="G306" s="26">
        <f t="shared" si="11"/>
        <v>0</v>
      </c>
      <c r="K306" s="63">
        <f t="shared" si="10"/>
        <v>0</v>
      </c>
    </row>
    <row r="307" spans="7:11" x14ac:dyDescent="0.3">
      <c r="G307" s="26">
        <f t="shared" si="11"/>
        <v>0</v>
      </c>
      <c r="K307" s="63">
        <f t="shared" si="10"/>
        <v>0</v>
      </c>
    </row>
    <row r="308" spans="7:11" x14ac:dyDescent="0.3">
      <c r="G308" s="26">
        <f t="shared" si="11"/>
        <v>0</v>
      </c>
      <c r="K308" s="63">
        <f t="shared" si="10"/>
        <v>0</v>
      </c>
    </row>
    <row r="309" spans="7:11" x14ac:dyDescent="0.3">
      <c r="G309" s="26">
        <f t="shared" si="11"/>
        <v>0</v>
      </c>
      <c r="K309" s="63">
        <f t="shared" si="10"/>
        <v>0</v>
      </c>
    </row>
    <row r="310" spans="7:11" x14ac:dyDescent="0.3">
      <c r="G310" s="26">
        <f t="shared" si="11"/>
        <v>0</v>
      </c>
      <c r="K310" s="63">
        <f t="shared" si="10"/>
        <v>0</v>
      </c>
    </row>
    <row r="311" spans="7:11" x14ac:dyDescent="0.3">
      <c r="G311" s="26">
        <f t="shared" si="11"/>
        <v>0</v>
      </c>
      <c r="K311" s="63">
        <f t="shared" si="10"/>
        <v>0</v>
      </c>
    </row>
    <row r="312" spans="7:11" x14ac:dyDescent="0.3">
      <c r="G312" s="26">
        <f t="shared" si="11"/>
        <v>0</v>
      </c>
      <c r="K312" s="63">
        <f t="shared" si="10"/>
        <v>0</v>
      </c>
    </row>
    <row r="313" spans="7:11" x14ac:dyDescent="0.3">
      <c r="G313" s="26">
        <f t="shared" si="11"/>
        <v>0</v>
      </c>
      <c r="K313" s="63">
        <f t="shared" si="10"/>
        <v>0</v>
      </c>
    </row>
    <row r="314" spans="7:11" x14ac:dyDescent="0.3">
      <c r="G314" s="26">
        <f t="shared" si="11"/>
        <v>0</v>
      </c>
      <c r="K314" s="63">
        <f t="shared" si="10"/>
        <v>0</v>
      </c>
    </row>
    <row r="315" spans="7:11" x14ac:dyDescent="0.3">
      <c r="G315" s="26">
        <f t="shared" si="11"/>
        <v>0</v>
      </c>
      <c r="K315" s="63">
        <f t="shared" si="10"/>
        <v>0</v>
      </c>
    </row>
    <row r="316" spans="7:11" x14ac:dyDescent="0.3">
      <c r="G316" s="26">
        <f t="shared" si="11"/>
        <v>0</v>
      </c>
      <c r="K316" s="63">
        <f t="shared" si="10"/>
        <v>0</v>
      </c>
    </row>
    <row r="317" spans="7:11" x14ac:dyDescent="0.3">
      <c r="G317" s="26">
        <f t="shared" si="11"/>
        <v>0</v>
      </c>
      <c r="K317" s="63">
        <f t="shared" si="10"/>
        <v>0</v>
      </c>
    </row>
    <row r="318" spans="7:11" x14ac:dyDescent="0.3">
      <c r="G318" s="26">
        <f t="shared" si="11"/>
        <v>0</v>
      </c>
      <c r="K318" s="63">
        <f t="shared" si="10"/>
        <v>0</v>
      </c>
    </row>
    <row r="319" spans="7:11" x14ac:dyDescent="0.3">
      <c r="G319" s="26">
        <f t="shared" si="11"/>
        <v>0</v>
      </c>
      <c r="K319" s="63">
        <f t="shared" si="10"/>
        <v>0</v>
      </c>
    </row>
    <row r="320" spans="7:11" x14ac:dyDescent="0.3">
      <c r="G320" s="26">
        <f t="shared" si="11"/>
        <v>0</v>
      </c>
      <c r="K320" s="63">
        <f t="shared" si="10"/>
        <v>0</v>
      </c>
    </row>
    <row r="321" spans="7:11" x14ac:dyDescent="0.3">
      <c r="G321" s="26">
        <f t="shared" si="11"/>
        <v>0</v>
      </c>
      <c r="K321" s="63">
        <f t="shared" si="10"/>
        <v>0</v>
      </c>
    </row>
    <row r="322" spans="7:11" x14ac:dyDescent="0.3">
      <c r="G322" s="26">
        <f t="shared" si="11"/>
        <v>0</v>
      </c>
      <c r="K322" s="63">
        <f t="shared" ref="K322:K363" si="12">F322+I322</f>
        <v>0</v>
      </c>
    </row>
    <row r="323" spans="7:11" x14ac:dyDescent="0.3">
      <c r="G323" s="26">
        <f t="shared" si="11"/>
        <v>0</v>
      </c>
      <c r="K323" s="63">
        <f t="shared" si="12"/>
        <v>0</v>
      </c>
    </row>
    <row r="324" spans="7:11" x14ac:dyDescent="0.3">
      <c r="G324" s="26">
        <f t="shared" si="11"/>
        <v>0</v>
      </c>
      <c r="K324" s="63">
        <f t="shared" si="12"/>
        <v>0</v>
      </c>
    </row>
    <row r="325" spans="7:11" x14ac:dyDescent="0.3">
      <c r="G325" s="26">
        <f t="shared" ref="G325:G361" si="13">D325-F325-I325</f>
        <v>0</v>
      </c>
      <c r="K325" s="63">
        <f t="shared" si="12"/>
        <v>0</v>
      </c>
    </row>
    <row r="326" spans="7:11" x14ac:dyDescent="0.3">
      <c r="G326" s="26">
        <f t="shared" si="13"/>
        <v>0</v>
      </c>
      <c r="K326" s="63">
        <f t="shared" si="12"/>
        <v>0</v>
      </c>
    </row>
    <row r="327" spans="7:11" x14ac:dyDescent="0.3">
      <c r="G327" s="26">
        <f t="shared" si="13"/>
        <v>0</v>
      </c>
      <c r="K327" s="63">
        <f t="shared" si="12"/>
        <v>0</v>
      </c>
    </row>
    <row r="328" spans="7:11" x14ac:dyDescent="0.3">
      <c r="G328" s="26">
        <f t="shared" si="13"/>
        <v>0</v>
      </c>
      <c r="K328" s="63">
        <f t="shared" si="12"/>
        <v>0</v>
      </c>
    </row>
    <row r="329" spans="7:11" x14ac:dyDescent="0.3">
      <c r="G329" s="26">
        <f t="shared" si="13"/>
        <v>0</v>
      </c>
      <c r="K329" s="63">
        <f t="shared" si="12"/>
        <v>0</v>
      </c>
    </row>
    <row r="330" spans="7:11" x14ac:dyDescent="0.3">
      <c r="G330" s="26">
        <f t="shared" si="13"/>
        <v>0</v>
      </c>
      <c r="K330" s="63">
        <f t="shared" si="12"/>
        <v>0</v>
      </c>
    </row>
    <row r="331" spans="7:11" x14ac:dyDescent="0.3">
      <c r="G331" s="26">
        <f t="shared" si="13"/>
        <v>0</v>
      </c>
      <c r="K331" s="63">
        <f t="shared" si="12"/>
        <v>0</v>
      </c>
    </row>
    <row r="332" spans="7:11" x14ac:dyDescent="0.3">
      <c r="G332" s="26">
        <f t="shared" si="13"/>
        <v>0</v>
      </c>
      <c r="K332" s="63">
        <f t="shared" si="12"/>
        <v>0</v>
      </c>
    </row>
    <row r="333" spans="7:11" x14ac:dyDescent="0.3">
      <c r="G333" s="26">
        <f t="shared" si="13"/>
        <v>0</v>
      </c>
      <c r="K333" s="63">
        <f t="shared" si="12"/>
        <v>0</v>
      </c>
    </row>
    <row r="334" spans="7:11" x14ac:dyDescent="0.3">
      <c r="G334" s="26">
        <f t="shared" si="13"/>
        <v>0</v>
      </c>
      <c r="K334" s="63">
        <f t="shared" si="12"/>
        <v>0</v>
      </c>
    </row>
    <row r="335" spans="7:11" x14ac:dyDescent="0.3">
      <c r="G335" s="26">
        <f t="shared" si="13"/>
        <v>0</v>
      </c>
      <c r="K335" s="63">
        <f t="shared" si="12"/>
        <v>0</v>
      </c>
    </row>
    <row r="336" spans="7:11" x14ac:dyDescent="0.3">
      <c r="G336" s="26">
        <f t="shared" si="13"/>
        <v>0</v>
      </c>
      <c r="K336" s="63">
        <f t="shared" si="12"/>
        <v>0</v>
      </c>
    </row>
    <row r="337" spans="7:11" x14ac:dyDescent="0.3">
      <c r="G337" s="26">
        <f t="shared" si="13"/>
        <v>0</v>
      </c>
      <c r="K337" s="63">
        <f t="shared" si="12"/>
        <v>0</v>
      </c>
    </row>
    <row r="338" spans="7:11" x14ac:dyDescent="0.3">
      <c r="G338" s="26">
        <f t="shared" si="13"/>
        <v>0</v>
      </c>
      <c r="K338" s="63">
        <f t="shared" si="12"/>
        <v>0</v>
      </c>
    </row>
    <row r="339" spans="7:11" x14ac:dyDescent="0.3">
      <c r="G339" s="26">
        <f t="shared" si="13"/>
        <v>0</v>
      </c>
      <c r="K339" s="63">
        <f t="shared" si="12"/>
        <v>0</v>
      </c>
    </row>
    <row r="340" spans="7:11" x14ac:dyDescent="0.3">
      <c r="G340" s="26">
        <f t="shared" si="13"/>
        <v>0</v>
      </c>
      <c r="K340" s="63">
        <f t="shared" si="12"/>
        <v>0</v>
      </c>
    </row>
    <row r="341" spans="7:11" x14ac:dyDescent="0.3">
      <c r="G341" s="26">
        <f t="shared" si="13"/>
        <v>0</v>
      </c>
      <c r="K341" s="63">
        <f t="shared" si="12"/>
        <v>0</v>
      </c>
    </row>
    <row r="342" spans="7:11" x14ac:dyDescent="0.3">
      <c r="G342" s="26">
        <f t="shared" si="13"/>
        <v>0</v>
      </c>
      <c r="K342" s="63">
        <f t="shared" si="12"/>
        <v>0</v>
      </c>
    </row>
    <row r="343" spans="7:11" x14ac:dyDescent="0.3">
      <c r="G343" s="26">
        <f t="shared" si="13"/>
        <v>0</v>
      </c>
      <c r="K343" s="63">
        <f t="shared" si="12"/>
        <v>0</v>
      </c>
    </row>
    <row r="344" spans="7:11" x14ac:dyDescent="0.3">
      <c r="G344" s="26">
        <f t="shared" si="13"/>
        <v>0</v>
      </c>
      <c r="K344" s="63">
        <f t="shared" si="12"/>
        <v>0</v>
      </c>
    </row>
    <row r="345" spans="7:11" x14ac:dyDescent="0.3">
      <c r="G345" s="26">
        <f t="shared" si="13"/>
        <v>0</v>
      </c>
      <c r="K345" s="63">
        <f t="shared" si="12"/>
        <v>0</v>
      </c>
    </row>
    <row r="346" spans="7:11" x14ac:dyDescent="0.3">
      <c r="G346" s="26">
        <f t="shared" si="13"/>
        <v>0</v>
      </c>
      <c r="K346" s="63">
        <f t="shared" si="12"/>
        <v>0</v>
      </c>
    </row>
    <row r="347" spans="7:11" x14ac:dyDescent="0.3">
      <c r="G347" s="26">
        <f t="shared" si="13"/>
        <v>0</v>
      </c>
      <c r="K347" s="63">
        <f t="shared" si="12"/>
        <v>0</v>
      </c>
    </row>
    <row r="348" spans="7:11" x14ac:dyDescent="0.3">
      <c r="G348" s="26">
        <f t="shared" si="13"/>
        <v>0</v>
      </c>
      <c r="K348" s="63">
        <f t="shared" si="12"/>
        <v>0</v>
      </c>
    </row>
    <row r="349" spans="7:11" x14ac:dyDescent="0.3">
      <c r="G349" s="26">
        <f t="shared" si="13"/>
        <v>0</v>
      </c>
      <c r="K349" s="63">
        <f t="shared" si="12"/>
        <v>0</v>
      </c>
    </row>
    <row r="350" spans="7:11" x14ac:dyDescent="0.3">
      <c r="G350" s="26">
        <f t="shared" si="13"/>
        <v>0</v>
      </c>
      <c r="K350" s="63">
        <f t="shared" si="12"/>
        <v>0</v>
      </c>
    </row>
    <row r="351" spans="7:11" x14ac:dyDescent="0.3">
      <c r="G351" s="26">
        <f t="shared" si="13"/>
        <v>0</v>
      </c>
      <c r="K351" s="63">
        <f t="shared" si="12"/>
        <v>0</v>
      </c>
    </row>
    <row r="352" spans="7:11" x14ac:dyDescent="0.3">
      <c r="G352" s="26">
        <f t="shared" si="13"/>
        <v>0</v>
      </c>
      <c r="K352" s="63">
        <f t="shared" si="12"/>
        <v>0</v>
      </c>
    </row>
    <row r="353" spans="7:11" x14ac:dyDescent="0.3">
      <c r="G353" s="26">
        <f t="shared" si="13"/>
        <v>0</v>
      </c>
      <c r="K353" s="63">
        <f t="shared" si="12"/>
        <v>0</v>
      </c>
    </row>
    <row r="354" spans="7:11" x14ac:dyDescent="0.3">
      <c r="G354" s="26">
        <f t="shared" si="13"/>
        <v>0</v>
      </c>
      <c r="K354" s="63">
        <f t="shared" si="12"/>
        <v>0</v>
      </c>
    </row>
    <row r="355" spans="7:11" x14ac:dyDescent="0.3">
      <c r="G355" s="26">
        <f t="shared" si="13"/>
        <v>0</v>
      </c>
      <c r="K355" s="63">
        <f t="shared" si="12"/>
        <v>0</v>
      </c>
    </row>
    <row r="356" spans="7:11" x14ac:dyDescent="0.3">
      <c r="G356" s="26">
        <f t="shared" si="13"/>
        <v>0</v>
      </c>
      <c r="K356" s="63">
        <f t="shared" si="12"/>
        <v>0</v>
      </c>
    </row>
    <row r="357" spans="7:11" x14ac:dyDescent="0.3">
      <c r="G357" s="26">
        <f t="shared" si="13"/>
        <v>0</v>
      </c>
      <c r="K357" s="63">
        <f t="shared" si="12"/>
        <v>0</v>
      </c>
    </row>
    <row r="358" spans="7:11" x14ac:dyDescent="0.3">
      <c r="G358" s="26">
        <f t="shared" si="13"/>
        <v>0</v>
      </c>
      <c r="K358" s="63">
        <f t="shared" si="12"/>
        <v>0</v>
      </c>
    </row>
    <row r="359" spans="7:11" x14ac:dyDescent="0.3">
      <c r="G359" s="26">
        <f t="shared" si="13"/>
        <v>0</v>
      </c>
      <c r="K359" s="63">
        <f t="shared" si="12"/>
        <v>0</v>
      </c>
    </row>
    <row r="360" spans="7:11" x14ac:dyDescent="0.3">
      <c r="G360" s="26">
        <f t="shared" si="13"/>
        <v>0</v>
      </c>
      <c r="K360" s="63">
        <f t="shared" si="12"/>
        <v>0</v>
      </c>
    </row>
    <row r="361" spans="7:11" x14ac:dyDescent="0.3">
      <c r="G361" s="26">
        <f t="shared" si="13"/>
        <v>0</v>
      </c>
      <c r="K361" s="63">
        <f t="shared" si="12"/>
        <v>0</v>
      </c>
    </row>
    <row r="362" spans="7:11" x14ac:dyDescent="0.3">
      <c r="K362" s="63">
        <f t="shared" si="12"/>
        <v>0</v>
      </c>
    </row>
    <row r="363" spans="7:11" x14ac:dyDescent="0.3">
      <c r="K363" s="63">
        <f t="shared" si="12"/>
        <v>0</v>
      </c>
    </row>
  </sheetData>
  <mergeCells count="1"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zoomScale="85" zoomScaleNormal="85" workbookViewId="0">
      <pane ySplit="1" topLeftCell="A2" activePane="bottomLeft" state="frozen"/>
      <selection pane="bottomLeft" activeCell="C27" sqref="C27"/>
    </sheetView>
  </sheetViews>
  <sheetFormatPr defaultColWidth="8.88671875" defaultRowHeight="13.8" x14ac:dyDescent="0.3"/>
  <cols>
    <col min="1" max="1" width="26.6640625" style="16" customWidth="1"/>
    <col min="2" max="2" width="10.88671875" style="17" customWidth="1"/>
    <col min="3" max="3" width="18.44140625" style="50" customWidth="1"/>
    <col min="4" max="4" width="10.6640625" style="54" customWidth="1"/>
    <col min="5" max="5" width="18.44140625" style="55" customWidth="1"/>
    <col min="6" max="6" width="18.44140625" style="21" customWidth="1"/>
    <col min="7" max="7" width="16.33203125" style="19" customWidth="1"/>
    <col min="8" max="8" width="21.6640625" style="19" customWidth="1"/>
    <col min="9" max="9" width="19.33203125" style="19" customWidth="1"/>
    <col min="10" max="10" width="20.6640625" style="19" customWidth="1"/>
    <col min="11" max="16384" width="8.88671875" style="19"/>
  </cols>
  <sheetData>
    <row r="1" spans="1:10" s="22" customFormat="1" ht="33" customHeight="1" thickBot="1" x14ac:dyDescent="0.35">
      <c r="A1" s="33" t="s">
        <v>9</v>
      </c>
      <c r="B1" s="34" t="s">
        <v>10</v>
      </c>
      <c r="C1" s="35" t="s">
        <v>12</v>
      </c>
      <c r="D1" s="51" t="s">
        <v>11</v>
      </c>
      <c r="E1" s="59" t="s">
        <v>14</v>
      </c>
      <c r="F1" s="36" t="s">
        <v>13</v>
      </c>
      <c r="G1" s="39" t="s">
        <v>28</v>
      </c>
      <c r="H1" s="40">
        <f>SUM(E:E)</f>
        <v>0</v>
      </c>
      <c r="I1" s="37" t="s">
        <v>29</v>
      </c>
      <c r="J1" s="38">
        <f>SUM(F:F)</f>
        <v>0</v>
      </c>
    </row>
    <row r="2" spans="1:10" ht="14.4" thickTop="1" x14ac:dyDescent="0.3">
      <c r="A2" s="47"/>
      <c r="B2" s="48"/>
      <c r="C2" s="49"/>
      <c r="D2" s="52"/>
      <c r="E2" s="53"/>
      <c r="F2" s="32">
        <f t="shared" ref="F2:F33" si="0">C2-E2</f>
        <v>0</v>
      </c>
    </row>
    <row r="3" spans="1:10" x14ac:dyDescent="0.3">
      <c r="F3" s="18">
        <f t="shared" si="0"/>
        <v>0</v>
      </c>
    </row>
    <row r="4" spans="1:10" x14ac:dyDescent="0.3">
      <c r="F4" s="18">
        <f t="shared" si="0"/>
        <v>0</v>
      </c>
    </row>
    <row r="5" spans="1:10" x14ac:dyDescent="0.3">
      <c r="F5" s="18">
        <f t="shared" si="0"/>
        <v>0</v>
      </c>
    </row>
    <row r="6" spans="1:10" x14ac:dyDescent="0.3">
      <c r="F6" s="18">
        <f t="shared" si="0"/>
        <v>0</v>
      </c>
    </row>
    <row r="7" spans="1:10" x14ac:dyDescent="0.3">
      <c r="F7" s="18">
        <f t="shared" si="0"/>
        <v>0</v>
      </c>
    </row>
    <row r="8" spans="1:10" x14ac:dyDescent="0.3">
      <c r="F8" s="18">
        <f t="shared" si="0"/>
        <v>0</v>
      </c>
    </row>
    <row r="9" spans="1:10" x14ac:dyDescent="0.3">
      <c r="F9" s="18">
        <f t="shared" si="0"/>
        <v>0</v>
      </c>
    </row>
    <row r="10" spans="1:10" x14ac:dyDescent="0.3">
      <c r="F10" s="18">
        <f t="shared" si="0"/>
        <v>0</v>
      </c>
    </row>
    <row r="11" spans="1:10" x14ac:dyDescent="0.3">
      <c r="F11" s="18">
        <f t="shared" si="0"/>
        <v>0</v>
      </c>
      <c r="G11" s="20"/>
    </row>
    <row r="12" spans="1:10" x14ac:dyDescent="0.3">
      <c r="F12" s="18">
        <f t="shared" si="0"/>
        <v>0</v>
      </c>
    </row>
    <row r="13" spans="1:10" x14ac:dyDescent="0.3">
      <c r="F13" s="18">
        <f t="shared" si="0"/>
        <v>0</v>
      </c>
    </row>
    <row r="14" spans="1:10" x14ac:dyDescent="0.3">
      <c r="F14" s="18">
        <f t="shared" si="0"/>
        <v>0</v>
      </c>
    </row>
    <row r="15" spans="1:10" x14ac:dyDescent="0.3">
      <c r="F15" s="18">
        <f t="shared" si="0"/>
        <v>0</v>
      </c>
    </row>
    <row r="16" spans="1:10" x14ac:dyDescent="0.3">
      <c r="F16" s="18">
        <f t="shared" si="0"/>
        <v>0</v>
      </c>
    </row>
    <row r="17" spans="6:6" x14ac:dyDescent="0.3">
      <c r="F17" s="18">
        <f t="shared" si="0"/>
        <v>0</v>
      </c>
    </row>
    <row r="18" spans="6:6" x14ac:dyDescent="0.3">
      <c r="F18" s="18">
        <f t="shared" si="0"/>
        <v>0</v>
      </c>
    </row>
    <row r="19" spans="6:6" x14ac:dyDescent="0.3">
      <c r="F19" s="18">
        <f t="shared" si="0"/>
        <v>0</v>
      </c>
    </row>
    <row r="20" spans="6:6" x14ac:dyDescent="0.3">
      <c r="F20" s="18">
        <f t="shared" si="0"/>
        <v>0</v>
      </c>
    </row>
    <row r="21" spans="6:6" x14ac:dyDescent="0.3">
      <c r="F21" s="18">
        <f t="shared" si="0"/>
        <v>0</v>
      </c>
    </row>
    <row r="22" spans="6:6" x14ac:dyDescent="0.3">
      <c r="F22" s="18">
        <f t="shared" si="0"/>
        <v>0</v>
      </c>
    </row>
    <row r="23" spans="6:6" x14ac:dyDescent="0.3">
      <c r="F23" s="18">
        <f t="shared" si="0"/>
        <v>0</v>
      </c>
    </row>
    <row r="24" spans="6:6" x14ac:dyDescent="0.3">
      <c r="F24" s="18">
        <f t="shared" si="0"/>
        <v>0</v>
      </c>
    </row>
    <row r="25" spans="6:6" x14ac:dyDescent="0.3">
      <c r="F25" s="18">
        <f t="shared" si="0"/>
        <v>0</v>
      </c>
    </row>
    <row r="26" spans="6:6" x14ac:dyDescent="0.3">
      <c r="F26" s="18">
        <f t="shared" si="0"/>
        <v>0</v>
      </c>
    </row>
    <row r="27" spans="6:6" x14ac:dyDescent="0.3">
      <c r="F27" s="18">
        <f t="shared" si="0"/>
        <v>0</v>
      </c>
    </row>
    <row r="28" spans="6:6" x14ac:dyDescent="0.3">
      <c r="F28" s="18">
        <f t="shared" si="0"/>
        <v>0</v>
      </c>
    </row>
    <row r="29" spans="6:6" x14ac:dyDescent="0.3">
      <c r="F29" s="18">
        <f t="shared" si="0"/>
        <v>0</v>
      </c>
    </row>
    <row r="30" spans="6:6" x14ac:dyDescent="0.3">
      <c r="F30" s="18">
        <f t="shared" si="0"/>
        <v>0</v>
      </c>
    </row>
    <row r="31" spans="6:6" x14ac:dyDescent="0.3">
      <c r="F31" s="18">
        <f t="shared" si="0"/>
        <v>0</v>
      </c>
    </row>
    <row r="32" spans="6:6" x14ac:dyDescent="0.3">
      <c r="F32" s="18">
        <f t="shared" si="0"/>
        <v>0</v>
      </c>
    </row>
    <row r="33" spans="6:6" x14ac:dyDescent="0.3">
      <c r="F33" s="18">
        <f t="shared" si="0"/>
        <v>0</v>
      </c>
    </row>
    <row r="34" spans="6:6" x14ac:dyDescent="0.3">
      <c r="F34" s="18">
        <f t="shared" ref="F34:F53" si="1">C34-E34</f>
        <v>0</v>
      </c>
    </row>
    <row r="35" spans="6:6" x14ac:dyDescent="0.3">
      <c r="F35" s="18">
        <f t="shared" si="1"/>
        <v>0</v>
      </c>
    </row>
    <row r="36" spans="6:6" x14ac:dyDescent="0.3">
      <c r="F36" s="18">
        <f t="shared" si="1"/>
        <v>0</v>
      </c>
    </row>
    <row r="37" spans="6:6" x14ac:dyDescent="0.3">
      <c r="F37" s="18">
        <f t="shared" si="1"/>
        <v>0</v>
      </c>
    </row>
    <row r="38" spans="6:6" x14ac:dyDescent="0.3">
      <c r="F38" s="18">
        <f t="shared" si="1"/>
        <v>0</v>
      </c>
    </row>
    <row r="39" spans="6:6" x14ac:dyDescent="0.3">
      <c r="F39" s="18">
        <f t="shared" si="1"/>
        <v>0</v>
      </c>
    </row>
    <row r="40" spans="6:6" x14ac:dyDescent="0.3">
      <c r="F40" s="18">
        <f t="shared" si="1"/>
        <v>0</v>
      </c>
    </row>
    <row r="41" spans="6:6" x14ac:dyDescent="0.3">
      <c r="F41" s="18">
        <f t="shared" si="1"/>
        <v>0</v>
      </c>
    </row>
    <row r="42" spans="6:6" x14ac:dyDescent="0.3">
      <c r="F42" s="18">
        <f t="shared" si="1"/>
        <v>0</v>
      </c>
    </row>
    <row r="43" spans="6:6" x14ac:dyDescent="0.3">
      <c r="F43" s="18">
        <f t="shared" si="1"/>
        <v>0</v>
      </c>
    </row>
    <row r="44" spans="6:6" x14ac:dyDescent="0.3">
      <c r="F44" s="18">
        <f t="shared" si="1"/>
        <v>0</v>
      </c>
    </row>
    <row r="45" spans="6:6" x14ac:dyDescent="0.3">
      <c r="F45" s="18">
        <f t="shared" si="1"/>
        <v>0</v>
      </c>
    </row>
    <row r="46" spans="6:6" x14ac:dyDescent="0.3">
      <c r="F46" s="18">
        <f t="shared" si="1"/>
        <v>0</v>
      </c>
    </row>
    <row r="47" spans="6:6" x14ac:dyDescent="0.3">
      <c r="F47" s="18">
        <f t="shared" si="1"/>
        <v>0</v>
      </c>
    </row>
    <row r="48" spans="6:6" x14ac:dyDescent="0.3">
      <c r="F48" s="18">
        <f t="shared" si="1"/>
        <v>0</v>
      </c>
    </row>
    <row r="49" spans="6:6" x14ac:dyDescent="0.3">
      <c r="F49" s="18">
        <f t="shared" si="1"/>
        <v>0</v>
      </c>
    </row>
    <row r="50" spans="6:6" x14ac:dyDescent="0.3">
      <c r="F50" s="18">
        <f t="shared" si="1"/>
        <v>0</v>
      </c>
    </row>
    <row r="51" spans="6:6" x14ac:dyDescent="0.3">
      <c r="F51" s="18">
        <f t="shared" si="1"/>
        <v>0</v>
      </c>
    </row>
    <row r="52" spans="6:6" x14ac:dyDescent="0.3">
      <c r="F52" s="18">
        <f t="shared" si="1"/>
        <v>0</v>
      </c>
    </row>
    <row r="53" spans="6:6" x14ac:dyDescent="0.3">
      <c r="F53" s="18">
        <f t="shared" si="1"/>
        <v>0</v>
      </c>
    </row>
  </sheetData>
  <sheetProtection algorithmName="SHA-512" hashValue="1wjkkHp0CokjkV12wPQNZJxTSu0eLd9xF13nNXVR6HVrDIZ2cIReDeVRhGf/mVr6F9S9jepNKwk6vO1NIARXzQ==" saltValue="BnbzKmN6NzeCsCUKREvzjw==" spinCount="100000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232"/>
  <sheetViews>
    <sheetView zoomScaleNormal="100" workbookViewId="0">
      <pane ySplit="1" topLeftCell="A2" activePane="bottomLeft" state="frozen"/>
      <selection pane="bottomLeft" activeCell="AA1" sqref="AA1"/>
    </sheetView>
  </sheetViews>
  <sheetFormatPr defaultColWidth="8.88671875" defaultRowHeight="13.8" x14ac:dyDescent="0.25"/>
  <cols>
    <col min="1" max="1" width="5.33203125" style="87" customWidth="1"/>
    <col min="2" max="2" width="32" style="191" customWidth="1"/>
    <col min="3" max="3" width="12.6640625" style="151" customWidth="1"/>
    <col min="4" max="4" width="15.33203125" style="152" customWidth="1"/>
    <col min="5" max="5" width="12" style="152" customWidth="1"/>
    <col min="6" max="6" width="21.6640625" style="190" customWidth="1"/>
    <col min="7" max="7" width="12.6640625" style="154" customWidth="1"/>
    <col min="8" max="8" width="14.44140625" style="154" customWidth="1"/>
    <col min="9" max="9" width="15.109375" style="132" customWidth="1"/>
    <col min="10" max="10" width="4.33203125" style="132" customWidth="1"/>
    <col min="11" max="11" width="7.88671875" style="132" customWidth="1"/>
    <col min="12" max="12" width="12.44140625" style="132" customWidth="1"/>
    <col min="13" max="13" width="6.33203125" style="132" customWidth="1"/>
    <col min="14" max="14" width="7.33203125" style="132" customWidth="1"/>
    <col min="15" max="15" width="12.44140625" style="132" customWidth="1"/>
    <col min="16" max="16" width="6" style="132" customWidth="1"/>
    <col min="17" max="17" width="7.44140625" style="132" customWidth="1"/>
    <col min="18" max="18" width="12.44140625" style="132" customWidth="1"/>
    <col min="19" max="19" width="6.88671875" style="132" customWidth="1"/>
    <col min="20" max="20" width="8.33203125" style="132" customWidth="1"/>
    <col min="21" max="21" width="11.109375" style="132" customWidth="1"/>
    <col min="22" max="22" width="15.109375" style="128" customWidth="1"/>
    <col min="23" max="23" width="15.109375" style="45" customWidth="1"/>
    <col min="24" max="24" width="12.33203125" style="83" customWidth="1"/>
    <col min="25" max="25" width="17" style="84" customWidth="1"/>
    <col min="26" max="26" width="12.33203125" style="85" customWidth="1"/>
    <col min="27" max="27" width="17.109375" style="86" customWidth="1"/>
    <col min="28" max="28" width="17" style="87" customWidth="1"/>
    <col min="29" max="29" width="17.109375" style="87" customWidth="1"/>
    <col min="30" max="30" width="18.6640625" style="87" customWidth="1"/>
    <col min="31" max="31" width="21.109375" style="87" customWidth="1"/>
    <col min="32" max="32" width="14.88671875" style="87" customWidth="1"/>
    <col min="33" max="33" width="18.44140625" style="87" customWidth="1"/>
    <col min="34" max="16384" width="8.88671875" style="87"/>
  </cols>
  <sheetData>
    <row r="1" spans="1:33" s="82" customFormat="1" ht="48.75" customHeight="1" x14ac:dyDescent="0.3">
      <c r="A1" s="135" t="s">
        <v>17</v>
      </c>
      <c r="B1" s="136" t="s">
        <v>19</v>
      </c>
      <c r="C1" s="136" t="s">
        <v>36</v>
      </c>
      <c r="D1" s="136" t="s">
        <v>15</v>
      </c>
      <c r="E1" s="136" t="s">
        <v>68</v>
      </c>
      <c r="F1" s="80" t="s">
        <v>30</v>
      </c>
      <c r="G1" s="80" t="s">
        <v>20</v>
      </c>
      <c r="H1" s="80" t="s">
        <v>32</v>
      </c>
      <c r="I1" s="81" t="s">
        <v>24</v>
      </c>
      <c r="J1" s="81" t="s">
        <v>67</v>
      </c>
      <c r="K1" s="81" t="s">
        <v>81</v>
      </c>
      <c r="L1" s="81" t="s">
        <v>21</v>
      </c>
      <c r="M1" s="81" t="s">
        <v>67</v>
      </c>
      <c r="N1" s="81" t="s">
        <v>81</v>
      </c>
      <c r="O1" s="81" t="s">
        <v>18</v>
      </c>
      <c r="P1" s="81" t="s">
        <v>67</v>
      </c>
      <c r="Q1" s="81" t="s">
        <v>81</v>
      </c>
      <c r="R1" s="81" t="s">
        <v>66</v>
      </c>
      <c r="S1" s="81" t="s">
        <v>67</v>
      </c>
      <c r="T1" s="81" t="s">
        <v>81</v>
      </c>
      <c r="U1" s="81" t="s">
        <v>33</v>
      </c>
      <c r="V1" s="127" t="s">
        <v>8</v>
      </c>
      <c r="W1" s="73" t="s">
        <v>16</v>
      </c>
      <c r="X1" s="74" t="s">
        <v>25</v>
      </c>
      <c r="Y1" s="75">
        <f>SUM(V:V)</f>
        <v>103773</v>
      </c>
      <c r="Z1" s="76" t="s">
        <v>26</v>
      </c>
      <c r="AA1" s="77">
        <f>SUM(W:W)</f>
        <v>0</v>
      </c>
      <c r="AB1" s="78" t="s">
        <v>27</v>
      </c>
      <c r="AC1" s="79">
        <f>SUM(D:D)+SUM(E:E)</f>
        <v>103773</v>
      </c>
      <c r="AD1" s="80" t="s">
        <v>34</v>
      </c>
      <c r="AE1" s="72">
        <f>SUM(G:G)</f>
        <v>0</v>
      </c>
      <c r="AF1" s="81" t="s">
        <v>35</v>
      </c>
      <c r="AG1" s="129">
        <f>SUM(K:K)+SUM(N:N)+SUM(Q:Q)+SUM(T:T)</f>
        <v>0</v>
      </c>
    </row>
    <row r="2" spans="1:33" s="96" customFormat="1" ht="14.4" customHeight="1" thickBot="1" x14ac:dyDescent="0.3">
      <c r="A2" s="137">
        <v>1</v>
      </c>
      <c r="B2" s="138" t="s">
        <v>106</v>
      </c>
      <c r="C2" s="218">
        <v>45901</v>
      </c>
      <c r="D2" s="140">
        <v>103773</v>
      </c>
      <c r="E2" s="140"/>
      <c r="F2" s="141"/>
      <c r="G2" s="142"/>
      <c r="H2" s="142"/>
      <c r="I2" s="130"/>
      <c r="J2" s="130">
        <v>1.2</v>
      </c>
      <c r="K2" s="132">
        <f t="shared" ref="K2:K65" si="0">I2/J2</f>
        <v>0</v>
      </c>
      <c r="L2" s="132"/>
      <c r="M2" s="132">
        <v>1</v>
      </c>
      <c r="N2" s="132">
        <f t="shared" ref="N2:N65" si="1">L2/M2</f>
        <v>0</v>
      </c>
      <c r="O2" s="132"/>
      <c r="P2" s="132">
        <v>1</v>
      </c>
      <c r="Q2" s="132"/>
      <c r="R2" s="132"/>
      <c r="S2" s="132">
        <v>1</v>
      </c>
      <c r="T2" s="132">
        <f t="shared" ref="T2:T65" si="2">R2/S2</f>
        <v>0</v>
      </c>
      <c r="U2" s="130"/>
      <c r="V2" s="126">
        <f t="shared" ref="V2:V65" si="3">D2+E2-G2-I2/J2-L2/M2-O2/P2-R2/S2</f>
        <v>103773</v>
      </c>
      <c r="W2" s="92">
        <f t="shared" ref="W2:W65" si="4">G2+I2/J2+L2/M2+O2/P2+R2/S2</f>
        <v>0</v>
      </c>
      <c r="X2" s="93"/>
      <c r="Y2" s="210"/>
      <c r="Z2" s="94"/>
      <c r="AA2" s="95"/>
    </row>
    <row r="3" spans="1:33" s="91" customFormat="1" ht="14.4" customHeight="1" thickBot="1" x14ac:dyDescent="0.3">
      <c r="A3" s="143">
        <v>2</v>
      </c>
      <c r="B3" s="144"/>
      <c r="C3" s="219"/>
      <c r="D3" s="146"/>
      <c r="E3" s="146"/>
      <c r="F3" s="147"/>
      <c r="G3" s="148"/>
      <c r="H3" s="148"/>
      <c r="I3" s="131"/>
      <c r="J3" s="131">
        <v>1.2</v>
      </c>
      <c r="K3" s="132">
        <f t="shared" si="0"/>
        <v>0</v>
      </c>
      <c r="L3" s="132"/>
      <c r="M3" s="132">
        <v>1</v>
      </c>
      <c r="N3" s="132">
        <f t="shared" si="1"/>
        <v>0</v>
      </c>
      <c r="O3" s="132"/>
      <c r="P3" s="132">
        <v>1</v>
      </c>
      <c r="Q3" s="132">
        <f t="shared" ref="Q3:Q66" si="5">O3/P3</f>
        <v>0</v>
      </c>
      <c r="R3" s="132"/>
      <c r="S3" s="132">
        <v>1</v>
      </c>
      <c r="T3" s="132">
        <f t="shared" si="2"/>
        <v>0</v>
      </c>
      <c r="U3" s="131"/>
      <c r="V3" s="126">
        <f t="shared" si="3"/>
        <v>0</v>
      </c>
      <c r="W3" s="92">
        <f t="shared" si="4"/>
        <v>0</v>
      </c>
      <c r="X3" s="88"/>
      <c r="Y3" s="210"/>
      <c r="Z3" s="89"/>
      <c r="AA3" s="90"/>
    </row>
    <row r="4" spans="1:33" ht="14.4" customHeight="1" thickBot="1" x14ac:dyDescent="0.3">
      <c r="A4" s="149">
        <v>2</v>
      </c>
      <c r="B4" s="150"/>
      <c r="C4" s="220"/>
      <c r="F4" s="153"/>
      <c r="J4" s="132">
        <v>1.2</v>
      </c>
      <c r="K4" s="132">
        <f t="shared" si="0"/>
        <v>0</v>
      </c>
      <c r="M4" s="132">
        <v>1</v>
      </c>
      <c r="N4" s="132">
        <f t="shared" si="1"/>
        <v>0</v>
      </c>
      <c r="P4" s="132">
        <v>1</v>
      </c>
      <c r="Q4" s="132">
        <f t="shared" si="5"/>
        <v>0</v>
      </c>
      <c r="S4" s="132">
        <v>1</v>
      </c>
      <c r="T4" s="132">
        <f t="shared" si="2"/>
        <v>0</v>
      </c>
      <c r="V4" s="126">
        <f t="shared" si="3"/>
        <v>0</v>
      </c>
      <c r="W4" s="92">
        <f t="shared" si="4"/>
        <v>0</v>
      </c>
      <c r="Y4" s="210"/>
    </row>
    <row r="5" spans="1:33" s="96" customFormat="1" ht="14.4" customHeight="1" thickBot="1" x14ac:dyDescent="0.3">
      <c r="A5" s="137">
        <v>2</v>
      </c>
      <c r="B5" s="138"/>
      <c r="C5" s="218"/>
      <c r="D5" s="140"/>
      <c r="E5" s="140"/>
      <c r="F5" s="141"/>
      <c r="G5" s="142"/>
      <c r="H5" s="142"/>
      <c r="I5" s="130"/>
      <c r="J5" s="130">
        <v>1</v>
      </c>
      <c r="K5" s="132">
        <f t="shared" si="0"/>
        <v>0</v>
      </c>
      <c r="L5" s="132"/>
      <c r="M5" s="132">
        <v>1</v>
      </c>
      <c r="N5" s="132">
        <f t="shared" si="1"/>
        <v>0</v>
      </c>
      <c r="O5" s="132"/>
      <c r="P5" s="132">
        <v>1</v>
      </c>
      <c r="Q5" s="132">
        <f t="shared" si="5"/>
        <v>0</v>
      </c>
      <c r="R5" s="132"/>
      <c r="S5" s="132">
        <v>1</v>
      </c>
      <c r="T5" s="132">
        <f t="shared" si="2"/>
        <v>0</v>
      </c>
      <c r="U5" s="130"/>
      <c r="V5" s="126">
        <f t="shared" si="3"/>
        <v>0</v>
      </c>
      <c r="W5" s="92">
        <f t="shared" si="4"/>
        <v>0</v>
      </c>
      <c r="X5" s="93"/>
      <c r="Y5" s="210"/>
      <c r="Z5" s="94"/>
      <c r="AA5" s="95"/>
    </row>
    <row r="6" spans="1:33" s="100" customFormat="1" ht="14.4" customHeight="1" thickBot="1" x14ac:dyDescent="0.3">
      <c r="A6" s="155">
        <v>3</v>
      </c>
      <c r="B6" s="156"/>
      <c r="C6" s="221"/>
      <c r="D6" s="158"/>
      <c r="E6" s="158"/>
      <c r="F6" s="159"/>
      <c r="G6" s="160"/>
      <c r="H6" s="160"/>
      <c r="I6" s="133"/>
      <c r="J6" s="130">
        <v>1</v>
      </c>
      <c r="K6" s="132">
        <f t="shared" si="0"/>
        <v>0</v>
      </c>
      <c r="L6" s="132"/>
      <c r="M6" s="132">
        <v>1</v>
      </c>
      <c r="N6" s="132">
        <f t="shared" si="1"/>
        <v>0</v>
      </c>
      <c r="O6" s="132"/>
      <c r="P6" s="132">
        <v>1</v>
      </c>
      <c r="Q6" s="132">
        <f t="shared" si="5"/>
        <v>0</v>
      </c>
      <c r="R6" s="132"/>
      <c r="S6" s="132">
        <v>1</v>
      </c>
      <c r="T6" s="132">
        <f t="shared" si="2"/>
        <v>0</v>
      </c>
      <c r="U6" s="133"/>
      <c r="V6" s="126">
        <f t="shared" si="3"/>
        <v>0</v>
      </c>
      <c r="W6" s="92">
        <f t="shared" si="4"/>
        <v>0</v>
      </c>
      <c r="X6" s="97"/>
      <c r="Y6" s="210"/>
      <c r="Z6" s="98"/>
      <c r="AA6" s="99"/>
    </row>
    <row r="7" spans="1:33" s="91" customFormat="1" ht="14.4" customHeight="1" thickBot="1" x14ac:dyDescent="0.3">
      <c r="A7" s="143">
        <v>4</v>
      </c>
      <c r="B7" s="144"/>
      <c r="C7" s="222"/>
      <c r="D7" s="161"/>
      <c r="E7" s="146"/>
      <c r="F7" s="162"/>
      <c r="G7" s="148"/>
      <c r="H7" s="148"/>
      <c r="I7" s="131"/>
      <c r="J7" s="130">
        <v>1</v>
      </c>
      <c r="K7" s="132">
        <f t="shared" si="0"/>
        <v>0</v>
      </c>
      <c r="L7" s="132"/>
      <c r="M7" s="132">
        <v>1</v>
      </c>
      <c r="N7" s="132">
        <f t="shared" si="1"/>
        <v>0</v>
      </c>
      <c r="O7" s="132"/>
      <c r="P7" s="132">
        <v>1</v>
      </c>
      <c r="Q7" s="132">
        <f t="shared" si="5"/>
        <v>0</v>
      </c>
      <c r="R7" s="132"/>
      <c r="S7" s="132">
        <v>1</v>
      </c>
      <c r="T7" s="132">
        <f t="shared" si="2"/>
        <v>0</v>
      </c>
      <c r="U7" s="131"/>
      <c r="V7" s="126">
        <f t="shared" si="3"/>
        <v>0</v>
      </c>
      <c r="W7" s="92">
        <f t="shared" si="4"/>
        <v>0</v>
      </c>
      <c r="X7" s="88"/>
      <c r="Y7" s="210"/>
      <c r="Z7" s="89"/>
      <c r="AA7" s="90"/>
    </row>
    <row r="8" spans="1:33" s="96" customFormat="1" ht="14.4" customHeight="1" thickBot="1" x14ac:dyDescent="0.3">
      <c r="A8" s="137">
        <v>4</v>
      </c>
      <c r="B8" s="138"/>
      <c r="C8" s="223"/>
      <c r="D8" s="163"/>
      <c r="E8" s="140"/>
      <c r="F8" s="164"/>
      <c r="G8" s="142"/>
      <c r="H8" s="142"/>
      <c r="I8" s="130"/>
      <c r="J8" s="130">
        <v>1</v>
      </c>
      <c r="K8" s="132">
        <f t="shared" si="0"/>
        <v>0</v>
      </c>
      <c r="L8" s="132"/>
      <c r="M8" s="132">
        <v>1</v>
      </c>
      <c r="N8" s="132">
        <f t="shared" si="1"/>
        <v>0</v>
      </c>
      <c r="O8" s="132"/>
      <c r="P8" s="132">
        <v>1</v>
      </c>
      <c r="Q8" s="132">
        <f t="shared" si="5"/>
        <v>0</v>
      </c>
      <c r="R8" s="132"/>
      <c r="S8" s="132">
        <v>1</v>
      </c>
      <c r="T8" s="132">
        <f t="shared" si="2"/>
        <v>0</v>
      </c>
      <c r="U8" s="130"/>
      <c r="V8" s="126">
        <f t="shared" si="3"/>
        <v>0</v>
      </c>
      <c r="W8" s="92">
        <f t="shared" si="4"/>
        <v>0</v>
      </c>
      <c r="X8" s="93"/>
      <c r="Y8" s="210"/>
      <c r="Z8" s="94"/>
      <c r="AA8" s="95"/>
    </row>
    <row r="9" spans="1:33" s="91" customFormat="1" ht="14.4" customHeight="1" thickBot="1" x14ac:dyDescent="0.3">
      <c r="A9" s="143">
        <v>5</v>
      </c>
      <c r="B9" s="165"/>
      <c r="C9" s="222"/>
      <c r="D9" s="71"/>
      <c r="E9" s="146"/>
      <c r="F9" s="166"/>
      <c r="G9" s="148"/>
      <c r="H9" s="148"/>
      <c r="I9" s="131"/>
      <c r="J9" s="130">
        <v>1</v>
      </c>
      <c r="K9" s="132">
        <f t="shared" si="0"/>
        <v>0</v>
      </c>
      <c r="L9" s="132"/>
      <c r="M9" s="132">
        <v>1</v>
      </c>
      <c r="N9" s="132">
        <f t="shared" si="1"/>
        <v>0</v>
      </c>
      <c r="O9" s="132"/>
      <c r="P9" s="132">
        <v>1</v>
      </c>
      <c r="Q9" s="132">
        <f t="shared" si="5"/>
        <v>0</v>
      </c>
      <c r="R9" s="132"/>
      <c r="S9" s="132">
        <v>1</v>
      </c>
      <c r="T9" s="132">
        <f t="shared" si="2"/>
        <v>0</v>
      </c>
      <c r="U9" s="131"/>
      <c r="V9" s="126">
        <f t="shared" si="3"/>
        <v>0</v>
      </c>
      <c r="W9" s="92">
        <f t="shared" si="4"/>
        <v>0</v>
      </c>
      <c r="X9" s="88"/>
      <c r="Y9" s="210"/>
      <c r="Z9" s="89"/>
      <c r="AA9" s="90"/>
    </row>
    <row r="10" spans="1:33" ht="14.4" customHeight="1" thickBot="1" x14ac:dyDescent="0.3">
      <c r="A10" s="149">
        <v>5</v>
      </c>
      <c r="B10" s="167"/>
      <c r="C10" s="224"/>
      <c r="D10" s="69"/>
      <c r="F10" s="166"/>
      <c r="J10" s="130">
        <v>1</v>
      </c>
      <c r="K10" s="132">
        <f t="shared" si="0"/>
        <v>0</v>
      </c>
      <c r="M10" s="132">
        <v>1</v>
      </c>
      <c r="N10" s="132">
        <f t="shared" si="1"/>
        <v>0</v>
      </c>
      <c r="P10" s="132">
        <v>1</v>
      </c>
      <c r="Q10" s="132">
        <f t="shared" si="5"/>
        <v>0</v>
      </c>
      <c r="S10" s="132">
        <v>1</v>
      </c>
      <c r="T10" s="132">
        <f t="shared" si="2"/>
        <v>0</v>
      </c>
      <c r="V10" s="126">
        <f t="shared" si="3"/>
        <v>0</v>
      </c>
      <c r="W10" s="92">
        <f t="shared" si="4"/>
        <v>0</v>
      </c>
      <c r="Y10" s="210"/>
    </row>
    <row r="11" spans="1:33" s="96" customFormat="1" ht="14.4" customHeight="1" thickBot="1" x14ac:dyDescent="0.3">
      <c r="A11" s="137">
        <v>5</v>
      </c>
      <c r="B11" s="168"/>
      <c r="C11" s="223"/>
      <c r="D11" s="70"/>
      <c r="E11" s="140"/>
      <c r="F11" s="169"/>
      <c r="G11" s="142"/>
      <c r="H11" s="142"/>
      <c r="I11" s="130"/>
      <c r="J11" s="130">
        <v>1</v>
      </c>
      <c r="K11" s="132">
        <f t="shared" si="0"/>
        <v>0</v>
      </c>
      <c r="L11" s="132"/>
      <c r="M11" s="132">
        <v>1</v>
      </c>
      <c r="N11" s="132">
        <f t="shared" si="1"/>
        <v>0</v>
      </c>
      <c r="O11" s="132"/>
      <c r="P11" s="132">
        <v>1</v>
      </c>
      <c r="Q11" s="132">
        <f t="shared" si="5"/>
        <v>0</v>
      </c>
      <c r="R11" s="132"/>
      <c r="S11" s="132">
        <v>1</v>
      </c>
      <c r="T11" s="132">
        <f t="shared" si="2"/>
        <v>0</v>
      </c>
      <c r="U11" s="130"/>
      <c r="V11" s="126">
        <f t="shared" si="3"/>
        <v>0</v>
      </c>
      <c r="W11" s="92">
        <f t="shared" si="4"/>
        <v>0</v>
      </c>
      <c r="X11" s="93"/>
      <c r="Y11" s="210"/>
      <c r="Z11" s="94"/>
      <c r="AA11" s="95"/>
    </row>
    <row r="12" spans="1:33" s="91" customFormat="1" ht="14.4" customHeight="1" thickBot="1" x14ac:dyDescent="0.3">
      <c r="A12" s="143">
        <v>6</v>
      </c>
      <c r="B12" s="165"/>
      <c r="C12" s="222"/>
      <c r="D12" s="71"/>
      <c r="E12" s="146"/>
      <c r="F12" s="170"/>
      <c r="G12" s="148"/>
      <c r="H12" s="148"/>
      <c r="I12" s="131"/>
      <c r="J12" s="130">
        <v>1</v>
      </c>
      <c r="K12" s="132">
        <f t="shared" si="0"/>
        <v>0</v>
      </c>
      <c r="L12" s="132"/>
      <c r="M12" s="132">
        <v>1</v>
      </c>
      <c r="N12" s="132">
        <f t="shared" si="1"/>
        <v>0</v>
      </c>
      <c r="O12" s="132"/>
      <c r="P12" s="132">
        <v>1</v>
      </c>
      <c r="Q12" s="132">
        <f t="shared" si="5"/>
        <v>0</v>
      </c>
      <c r="R12" s="132"/>
      <c r="S12" s="132">
        <v>1</v>
      </c>
      <c r="T12" s="132">
        <f t="shared" si="2"/>
        <v>0</v>
      </c>
      <c r="U12" s="131"/>
      <c r="V12" s="126">
        <f t="shared" si="3"/>
        <v>0</v>
      </c>
      <c r="W12" s="92">
        <f t="shared" si="4"/>
        <v>0</v>
      </c>
      <c r="X12" s="88"/>
      <c r="Y12" s="210"/>
      <c r="Z12" s="89"/>
      <c r="AA12" s="90"/>
    </row>
    <row r="13" spans="1:33" s="96" customFormat="1" ht="14.4" customHeight="1" thickBot="1" x14ac:dyDescent="0.3">
      <c r="A13" s="137">
        <v>6</v>
      </c>
      <c r="B13" s="168"/>
      <c r="C13" s="223"/>
      <c r="D13" s="70"/>
      <c r="E13" s="140"/>
      <c r="F13" s="171"/>
      <c r="G13" s="142"/>
      <c r="H13" s="142"/>
      <c r="I13" s="130"/>
      <c r="J13" s="130">
        <v>1</v>
      </c>
      <c r="K13" s="132">
        <f t="shared" si="0"/>
        <v>0</v>
      </c>
      <c r="L13" s="132"/>
      <c r="M13" s="132">
        <v>1</v>
      </c>
      <c r="N13" s="132">
        <f t="shared" si="1"/>
        <v>0</v>
      </c>
      <c r="O13" s="132"/>
      <c r="P13" s="132">
        <v>1</v>
      </c>
      <c r="Q13" s="132">
        <f t="shared" si="5"/>
        <v>0</v>
      </c>
      <c r="R13" s="132"/>
      <c r="S13" s="132">
        <v>1</v>
      </c>
      <c r="T13" s="132">
        <f t="shared" si="2"/>
        <v>0</v>
      </c>
      <c r="U13" s="130"/>
      <c r="V13" s="126">
        <f t="shared" si="3"/>
        <v>0</v>
      </c>
      <c r="W13" s="92">
        <f t="shared" si="4"/>
        <v>0</v>
      </c>
      <c r="X13" s="93"/>
      <c r="Y13" s="210"/>
      <c r="Z13" s="94"/>
      <c r="AA13" s="95"/>
    </row>
    <row r="14" spans="1:33" s="91" customFormat="1" ht="14.4" customHeight="1" thickBot="1" x14ac:dyDescent="0.3">
      <c r="A14" s="143">
        <v>7</v>
      </c>
      <c r="B14" s="165"/>
      <c r="C14" s="222"/>
      <c r="D14" s="71"/>
      <c r="E14" s="146"/>
      <c r="F14" s="166"/>
      <c r="G14" s="148"/>
      <c r="H14" s="148"/>
      <c r="I14" s="131"/>
      <c r="J14" s="130">
        <v>1</v>
      </c>
      <c r="K14" s="132">
        <f t="shared" si="0"/>
        <v>0</v>
      </c>
      <c r="L14" s="132"/>
      <c r="M14" s="132">
        <v>1</v>
      </c>
      <c r="N14" s="132">
        <f t="shared" si="1"/>
        <v>0</v>
      </c>
      <c r="O14" s="132"/>
      <c r="P14" s="132">
        <v>1</v>
      </c>
      <c r="Q14" s="132">
        <f t="shared" si="5"/>
        <v>0</v>
      </c>
      <c r="R14" s="132"/>
      <c r="S14" s="132">
        <v>1</v>
      </c>
      <c r="T14" s="132">
        <f t="shared" si="2"/>
        <v>0</v>
      </c>
      <c r="U14" s="131"/>
      <c r="V14" s="126">
        <f t="shared" si="3"/>
        <v>0</v>
      </c>
      <c r="W14" s="92">
        <f t="shared" si="4"/>
        <v>0</v>
      </c>
      <c r="X14" s="88"/>
      <c r="Y14" s="210"/>
      <c r="Z14" s="89"/>
      <c r="AA14" s="90"/>
    </row>
    <row r="15" spans="1:33" ht="14.4" customHeight="1" thickBot="1" x14ac:dyDescent="0.3">
      <c r="A15" s="149">
        <v>7</v>
      </c>
      <c r="B15" s="167"/>
      <c r="C15" s="225"/>
      <c r="D15" s="172"/>
      <c r="F15" s="173"/>
      <c r="J15" s="130">
        <v>1</v>
      </c>
      <c r="K15" s="132">
        <f t="shared" si="0"/>
        <v>0</v>
      </c>
      <c r="M15" s="132">
        <v>1</v>
      </c>
      <c r="N15" s="132">
        <f t="shared" si="1"/>
        <v>0</v>
      </c>
      <c r="P15" s="132">
        <v>1</v>
      </c>
      <c r="Q15" s="132">
        <f t="shared" si="5"/>
        <v>0</v>
      </c>
      <c r="S15" s="132">
        <v>1</v>
      </c>
      <c r="T15" s="132">
        <f t="shared" si="2"/>
        <v>0</v>
      </c>
      <c r="V15" s="126">
        <f t="shared" si="3"/>
        <v>0</v>
      </c>
      <c r="W15" s="92">
        <f t="shared" si="4"/>
        <v>0</v>
      </c>
      <c r="Y15" s="210"/>
    </row>
    <row r="16" spans="1:33" s="96" customFormat="1" ht="14.4" customHeight="1" thickBot="1" x14ac:dyDescent="0.3">
      <c r="A16" s="137">
        <v>7</v>
      </c>
      <c r="B16" s="168"/>
      <c r="C16" s="223"/>
      <c r="D16" s="70"/>
      <c r="E16" s="140"/>
      <c r="F16" s="169"/>
      <c r="G16" s="142"/>
      <c r="H16" s="142"/>
      <c r="I16" s="130"/>
      <c r="J16" s="130">
        <v>1</v>
      </c>
      <c r="K16" s="132">
        <f t="shared" si="0"/>
        <v>0</v>
      </c>
      <c r="L16" s="132"/>
      <c r="M16" s="132">
        <v>1</v>
      </c>
      <c r="N16" s="132">
        <f t="shared" si="1"/>
        <v>0</v>
      </c>
      <c r="O16" s="132"/>
      <c r="P16" s="132">
        <v>1</v>
      </c>
      <c r="Q16" s="132">
        <f t="shared" si="5"/>
        <v>0</v>
      </c>
      <c r="R16" s="132"/>
      <c r="S16" s="132">
        <v>1</v>
      </c>
      <c r="T16" s="132">
        <f t="shared" si="2"/>
        <v>0</v>
      </c>
      <c r="U16" s="130"/>
      <c r="V16" s="126">
        <f t="shared" si="3"/>
        <v>0</v>
      </c>
      <c r="W16" s="92">
        <f t="shared" si="4"/>
        <v>0</v>
      </c>
      <c r="X16" s="93"/>
      <c r="Y16" s="210"/>
      <c r="Z16" s="94"/>
      <c r="AA16" s="95"/>
    </row>
    <row r="17" spans="1:27" s="100" customFormat="1" ht="14.4" customHeight="1" thickBot="1" x14ac:dyDescent="0.3">
      <c r="A17" s="155">
        <v>8</v>
      </c>
      <c r="B17" s="174"/>
      <c r="C17" s="226"/>
      <c r="D17" s="176"/>
      <c r="E17" s="158"/>
      <c r="F17" s="177"/>
      <c r="G17" s="160"/>
      <c r="H17" s="160"/>
      <c r="I17" s="133"/>
      <c r="J17" s="130">
        <v>1</v>
      </c>
      <c r="K17" s="132">
        <f t="shared" si="0"/>
        <v>0</v>
      </c>
      <c r="L17" s="132"/>
      <c r="M17" s="132">
        <v>1</v>
      </c>
      <c r="N17" s="132">
        <f t="shared" si="1"/>
        <v>0</v>
      </c>
      <c r="O17" s="132"/>
      <c r="P17" s="132">
        <v>1</v>
      </c>
      <c r="Q17" s="132">
        <f t="shared" si="5"/>
        <v>0</v>
      </c>
      <c r="R17" s="132"/>
      <c r="S17" s="132">
        <v>1</v>
      </c>
      <c r="T17" s="132">
        <f t="shared" si="2"/>
        <v>0</v>
      </c>
      <c r="U17" s="133"/>
      <c r="V17" s="126">
        <f t="shared" si="3"/>
        <v>0</v>
      </c>
      <c r="W17" s="92">
        <f t="shared" si="4"/>
        <v>0</v>
      </c>
      <c r="X17" s="97"/>
      <c r="Y17" s="210"/>
      <c r="Z17" s="98"/>
      <c r="AA17" s="99"/>
    </row>
    <row r="18" spans="1:27" s="91" customFormat="1" ht="14.4" customHeight="1" thickBot="1" x14ac:dyDescent="0.3">
      <c r="A18" s="143">
        <v>9</v>
      </c>
      <c r="B18" s="178"/>
      <c r="C18" s="227"/>
      <c r="D18" s="161"/>
      <c r="E18" s="146"/>
      <c r="F18" s="162"/>
      <c r="G18" s="148"/>
      <c r="H18" s="148"/>
      <c r="I18" s="131"/>
      <c r="J18" s="130">
        <v>1</v>
      </c>
      <c r="K18" s="132">
        <f t="shared" si="0"/>
        <v>0</v>
      </c>
      <c r="L18" s="132"/>
      <c r="M18" s="132">
        <v>1</v>
      </c>
      <c r="N18" s="132">
        <f t="shared" si="1"/>
        <v>0</v>
      </c>
      <c r="O18" s="132"/>
      <c r="P18" s="132">
        <v>1</v>
      </c>
      <c r="Q18" s="132">
        <f t="shared" si="5"/>
        <v>0</v>
      </c>
      <c r="R18" s="132"/>
      <c r="S18" s="132">
        <v>1</v>
      </c>
      <c r="T18" s="132">
        <f t="shared" si="2"/>
        <v>0</v>
      </c>
      <c r="U18" s="131"/>
      <c r="V18" s="126">
        <f t="shared" si="3"/>
        <v>0</v>
      </c>
      <c r="W18" s="92">
        <f t="shared" si="4"/>
        <v>0</v>
      </c>
      <c r="X18" s="88"/>
      <c r="Y18" s="210"/>
      <c r="Z18" s="89"/>
      <c r="AA18" s="90"/>
    </row>
    <row r="19" spans="1:27" ht="14.4" customHeight="1" thickBot="1" x14ac:dyDescent="0.3">
      <c r="A19" s="149">
        <v>9</v>
      </c>
      <c r="B19" s="167"/>
      <c r="C19" s="228"/>
      <c r="D19" s="181"/>
      <c r="F19" s="182"/>
      <c r="J19" s="130">
        <v>1</v>
      </c>
      <c r="K19" s="132">
        <f t="shared" si="0"/>
        <v>0</v>
      </c>
      <c r="M19" s="132">
        <v>1</v>
      </c>
      <c r="N19" s="132">
        <f t="shared" si="1"/>
        <v>0</v>
      </c>
      <c r="P19" s="132">
        <v>1</v>
      </c>
      <c r="Q19" s="132">
        <f t="shared" si="5"/>
        <v>0</v>
      </c>
      <c r="S19" s="132">
        <v>1</v>
      </c>
      <c r="T19" s="132">
        <f t="shared" si="2"/>
        <v>0</v>
      </c>
      <c r="V19" s="126">
        <f t="shared" si="3"/>
        <v>0</v>
      </c>
      <c r="W19" s="92">
        <f t="shared" si="4"/>
        <v>0</v>
      </c>
      <c r="Y19" s="210"/>
    </row>
    <row r="20" spans="1:27" ht="14.4" customHeight="1" thickBot="1" x14ac:dyDescent="0.3">
      <c r="A20" s="149">
        <v>9</v>
      </c>
      <c r="B20" s="150"/>
      <c r="C20" s="180"/>
      <c r="D20" s="181"/>
      <c r="F20" s="182"/>
      <c r="J20" s="130">
        <v>1</v>
      </c>
      <c r="K20" s="132">
        <f t="shared" si="0"/>
        <v>0</v>
      </c>
      <c r="M20" s="132">
        <v>1</v>
      </c>
      <c r="N20" s="132">
        <f t="shared" si="1"/>
        <v>0</v>
      </c>
      <c r="P20" s="132">
        <v>1</v>
      </c>
      <c r="Q20" s="132">
        <f t="shared" si="5"/>
        <v>0</v>
      </c>
      <c r="S20" s="132">
        <v>1</v>
      </c>
      <c r="T20" s="132">
        <f t="shared" si="2"/>
        <v>0</v>
      </c>
      <c r="V20" s="126">
        <f t="shared" si="3"/>
        <v>0</v>
      </c>
      <c r="W20" s="92">
        <f t="shared" si="4"/>
        <v>0</v>
      </c>
      <c r="Y20" s="210"/>
    </row>
    <row r="21" spans="1:27" s="96" customFormat="1" ht="14.4" customHeight="1" thickBot="1" x14ac:dyDescent="0.3">
      <c r="A21" s="137" t="s">
        <v>69</v>
      </c>
      <c r="B21" s="138"/>
      <c r="C21" s="183"/>
      <c r="D21" s="163"/>
      <c r="E21" s="140"/>
      <c r="F21" s="164"/>
      <c r="G21" s="142"/>
      <c r="H21" s="142"/>
      <c r="I21" s="130"/>
      <c r="J21" s="130">
        <v>1</v>
      </c>
      <c r="K21" s="132">
        <f t="shared" si="0"/>
        <v>0</v>
      </c>
      <c r="L21" s="132"/>
      <c r="M21" s="132">
        <v>1</v>
      </c>
      <c r="N21" s="132">
        <f t="shared" si="1"/>
        <v>0</v>
      </c>
      <c r="O21" s="132"/>
      <c r="P21" s="132">
        <v>1</v>
      </c>
      <c r="Q21" s="132">
        <f t="shared" si="5"/>
        <v>0</v>
      </c>
      <c r="R21" s="132"/>
      <c r="S21" s="132">
        <v>1</v>
      </c>
      <c r="T21" s="132">
        <f t="shared" si="2"/>
        <v>0</v>
      </c>
      <c r="U21" s="130"/>
      <c r="V21" s="126">
        <f t="shared" si="3"/>
        <v>0</v>
      </c>
      <c r="W21" s="92">
        <f t="shared" si="4"/>
        <v>0</v>
      </c>
      <c r="X21" s="93"/>
      <c r="Y21" s="210"/>
      <c r="Z21" s="94"/>
      <c r="AA21" s="95"/>
    </row>
    <row r="22" spans="1:27" s="100" customFormat="1" ht="14.4" customHeight="1" thickBot="1" x14ac:dyDescent="0.3">
      <c r="A22" s="155">
        <v>10</v>
      </c>
      <c r="B22" s="156"/>
      <c r="C22" s="175"/>
      <c r="D22" s="176"/>
      <c r="E22" s="158"/>
      <c r="F22" s="184"/>
      <c r="G22" s="160"/>
      <c r="H22" s="160"/>
      <c r="I22" s="133"/>
      <c r="J22" s="130">
        <v>1</v>
      </c>
      <c r="K22" s="132">
        <f t="shared" si="0"/>
        <v>0</v>
      </c>
      <c r="L22" s="132"/>
      <c r="M22" s="132">
        <v>1</v>
      </c>
      <c r="N22" s="132">
        <f t="shared" si="1"/>
        <v>0</v>
      </c>
      <c r="O22" s="209"/>
      <c r="P22" s="132">
        <v>1</v>
      </c>
      <c r="Q22" s="132">
        <f t="shared" si="5"/>
        <v>0</v>
      </c>
      <c r="R22" s="132"/>
      <c r="S22" s="132">
        <v>1</v>
      </c>
      <c r="T22" s="132">
        <f t="shared" si="2"/>
        <v>0</v>
      </c>
      <c r="U22" s="133"/>
      <c r="V22" s="126">
        <f t="shared" si="3"/>
        <v>0</v>
      </c>
      <c r="W22" s="92">
        <f t="shared" si="4"/>
        <v>0</v>
      </c>
      <c r="X22" s="97"/>
      <c r="Y22" s="210"/>
      <c r="Z22" s="98"/>
      <c r="AA22" s="99"/>
    </row>
    <row r="23" spans="1:27" s="100" customFormat="1" ht="14.4" customHeight="1" thickBot="1" x14ac:dyDescent="0.3">
      <c r="A23" s="155">
        <v>11</v>
      </c>
      <c r="B23" s="156"/>
      <c r="C23" s="157"/>
      <c r="D23" s="158"/>
      <c r="E23" s="158"/>
      <c r="F23" s="159"/>
      <c r="G23" s="160"/>
      <c r="H23" s="160"/>
      <c r="I23" s="133"/>
      <c r="J23" s="130">
        <v>1</v>
      </c>
      <c r="K23" s="132">
        <f t="shared" si="0"/>
        <v>0</v>
      </c>
      <c r="L23" s="132"/>
      <c r="M23" s="132">
        <v>1</v>
      </c>
      <c r="N23" s="132">
        <f t="shared" si="1"/>
        <v>0</v>
      </c>
      <c r="O23" s="132"/>
      <c r="P23" s="132">
        <v>1</v>
      </c>
      <c r="Q23" s="132">
        <f t="shared" si="5"/>
        <v>0</v>
      </c>
      <c r="R23" s="132"/>
      <c r="S23" s="132">
        <v>1</v>
      </c>
      <c r="T23" s="132">
        <f t="shared" si="2"/>
        <v>0</v>
      </c>
      <c r="U23" s="133"/>
      <c r="V23" s="126">
        <f t="shared" si="3"/>
        <v>0</v>
      </c>
      <c r="W23" s="92">
        <f t="shared" si="4"/>
        <v>0</v>
      </c>
      <c r="X23" s="97"/>
      <c r="Y23" s="210"/>
      <c r="Z23" s="98"/>
      <c r="AA23" s="99"/>
    </row>
    <row r="24" spans="1:27" s="91" customFormat="1" ht="14.4" customHeight="1" thickBot="1" x14ac:dyDescent="0.3">
      <c r="A24" s="143">
        <v>12</v>
      </c>
      <c r="B24" s="185"/>
      <c r="C24" s="145"/>
      <c r="D24" s="146"/>
      <c r="E24" s="146"/>
      <c r="F24" s="147"/>
      <c r="G24" s="148"/>
      <c r="H24" s="148"/>
      <c r="I24" s="131"/>
      <c r="J24" s="130">
        <v>1</v>
      </c>
      <c r="K24" s="132">
        <f t="shared" si="0"/>
        <v>0</v>
      </c>
      <c r="L24" s="132"/>
      <c r="M24" s="132">
        <v>1</v>
      </c>
      <c r="N24" s="132">
        <f t="shared" si="1"/>
        <v>0</v>
      </c>
      <c r="O24" s="132"/>
      <c r="P24" s="132">
        <v>1</v>
      </c>
      <c r="Q24" s="132">
        <f t="shared" si="5"/>
        <v>0</v>
      </c>
      <c r="R24" s="132"/>
      <c r="S24" s="132">
        <v>1</v>
      </c>
      <c r="T24" s="132">
        <f t="shared" si="2"/>
        <v>0</v>
      </c>
      <c r="U24" s="131"/>
      <c r="V24" s="126">
        <f t="shared" si="3"/>
        <v>0</v>
      </c>
      <c r="W24" s="92">
        <f t="shared" si="4"/>
        <v>0</v>
      </c>
      <c r="X24" s="88"/>
      <c r="Y24" s="210"/>
      <c r="Z24" s="89"/>
      <c r="AA24" s="90"/>
    </row>
    <row r="25" spans="1:27" s="96" customFormat="1" ht="14.4" customHeight="1" thickBot="1" x14ac:dyDescent="0.3">
      <c r="A25" s="137">
        <v>13</v>
      </c>
      <c r="B25" s="186"/>
      <c r="C25" s="139"/>
      <c r="D25" s="140"/>
      <c r="E25" s="140"/>
      <c r="F25" s="187"/>
      <c r="G25" s="142"/>
      <c r="H25" s="142"/>
      <c r="I25" s="130"/>
      <c r="J25" s="130">
        <v>1</v>
      </c>
      <c r="K25" s="132">
        <f t="shared" si="0"/>
        <v>0</v>
      </c>
      <c r="L25" s="132"/>
      <c r="M25" s="132">
        <v>1</v>
      </c>
      <c r="N25" s="132">
        <f t="shared" si="1"/>
        <v>0</v>
      </c>
      <c r="O25" s="132"/>
      <c r="P25" s="132">
        <v>1</v>
      </c>
      <c r="Q25" s="132">
        <f t="shared" si="5"/>
        <v>0</v>
      </c>
      <c r="R25" s="132"/>
      <c r="S25" s="132">
        <v>1</v>
      </c>
      <c r="T25" s="132">
        <f t="shared" si="2"/>
        <v>0</v>
      </c>
      <c r="U25" s="130"/>
      <c r="V25" s="126">
        <f t="shared" si="3"/>
        <v>0</v>
      </c>
      <c r="W25" s="92">
        <f t="shared" si="4"/>
        <v>0</v>
      </c>
      <c r="X25" s="93"/>
      <c r="Y25" s="210"/>
      <c r="Z25" s="94"/>
      <c r="AA25" s="95"/>
    </row>
    <row r="26" spans="1:27" s="100" customFormat="1" ht="14.4" customHeight="1" thickBot="1" x14ac:dyDescent="0.3">
      <c r="A26" s="155">
        <v>14</v>
      </c>
      <c r="B26" s="174"/>
      <c r="C26" s="175"/>
      <c r="D26" s="176"/>
      <c r="E26" s="158"/>
      <c r="F26" s="159"/>
      <c r="G26" s="160"/>
      <c r="H26" s="160"/>
      <c r="I26" s="133"/>
      <c r="J26" s="130">
        <v>1</v>
      </c>
      <c r="K26" s="132">
        <f t="shared" si="0"/>
        <v>0</v>
      </c>
      <c r="L26" s="132"/>
      <c r="M26" s="132">
        <v>1</v>
      </c>
      <c r="N26" s="132">
        <f t="shared" si="1"/>
        <v>0</v>
      </c>
      <c r="O26" s="132"/>
      <c r="P26" s="132">
        <v>1</v>
      </c>
      <c r="Q26" s="132">
        <f t="shared" si="5"/>
        <v>0</v>
      </c>
      <c r="R26" s="132"/>
      <c r="S26" s="132">
        <v>1</v>
      </c>
      <c r="T26" s="132">
        <f t="shared" si="2"/>
        <v>0</v>
      </c>
      <c r="U26" s="133"/>
      <c r="V26" s="126">
        <f t="shared" si="3"/>
        <v>0</v>
      </c>
      <c r="W26" s="92">
        <f t="shared" si="4"/>
        <v>0</v>
      </c>
      <c r="X26" s="97"/>
      <c r="Y26" s="210"/>
      <c r="Z26" s="98"/>
      <c r="AA26" s="99"/>
    </row>
    <row r="27" spans="1:27" s="91" customFormat="1" ht="14.4" customHeight="1" thickBot="1" x14ac:dyDescent="0.3">
      <c r="A27" s="143">
        <v>15</v>
      </c>
      <c r="B27" s="185"/>
      <c r="C27" s="145"/>
      <c r="D27" s="146"/>
      <c r="E27" s="146"/>
      <c r="F27" s="187"/>
      <c r="G27" s="148"/>
      <c r="H27" s="148"/>
      <c r="I27" s="131"/>
      <c r="J27" s="130">
        <v>1</v>
      </c>
      <c r="K27" s="132">
        <f t="shared" si="0"/>
        <v>0</v>
      </c>
      <c r="L27" s="132"/>
      <c r="M27" s="132">
        <v>1</v>
      </c>
      <c r="N27" s="132">
        <f t="shared" si="1"/>
        <v>0</v>
      </c>
      <c r="O27" s="132"/>
      <c r="P27" s="132">
        <v>1</v>
      </c>
      <c r="Q27" s="132">
        <f t="shared" si="5"/>
        <v>0</v>
      </c>
      <c r="R27" s="132"/>
      <c r="S27" s="132">
        <v>1</v>
      </c>
      <c r="T27" s="132">
        <f t="shared" si="2"/>
        <v>0</v>
      </c>
      <c r="U27" s="131"/>
      <c r="V27" s="126">
        <f t="shared" si="3"/>
        <v>0</v>
      </c>
      <c r="W27" s="92">
        <f t="shared" si="4"/>
        <v>0</v>
      </c>
      <c r="X27" s="88"/>
      <c r="Y27" s="210"/>
      <c r="Z27" s="89"/>
      <c r="AA27" s="90"/>
    </row>
    <row r="28" spans="1:27" s="96" customFormat="1" ht="14.4" customHeight="1" thickBot="1" x14ac:dyDescent="0.3">
      <c r="A28" s="137">
        <v>15</v>
      </c>
      <c r="B28" s="186"/>
      <c r="C28" s="139"/>
      <c r="D28" s="140"/>
      <c r="E28" s="140"/>
      <c r="F28" s="188"/>
      <c r="G28" s="142"/>
      <c r="H28" s="142"/>
      <c r="I28" s="130"/>
      <c r="J28" s="130">
        <v>1</v>
      </c>
      <c r="K28" s="132">
        <f t="shared" si="0"/>
        <v>0</v>
      </c>
      <c r="L28" s="132"/>
      <c r="M28" s="132">
        <v>1</v>
      </c>
      <c r="N28" s="132">
        <f t="shared" si="1"/>
        <v>0</v>
      </c>
      <c r="O28" s="132"/>
      <c r="P28" s="132">
        <v>1</v>
      </c>
      <c r="Q28" s="132">
        <f t="shared" si="5"/>
        <v>0</v>
      </c>
      <c r="R28" s="132"/>
      <c r="S28" s="132">
        <v>1</v>
      </c>
      <c r="T28" s="132">
        <f t="shared" si="2"/>
        <v>0</v>
      </c>
      <c r="U28" s="130"/>
      <c r="V28" s="126">
        <f t="shared" si="3"/>
        <v>0</v>
      </c>
      <c r="W28" s="92">
        <f t="shared" si="4"/>
        <v>0</v>
      </c>
      <c r="X28" s="93"/>
      <c r="Y28" s="210"/>
      <c r="Z28" s="94"/>
      <c r="AA28" s="95"/>
    </row>
    <row r="29" spans="1:27" s="100" customFormat="1" ht="14.4" customHeight="1" thickBot="1" x14ac:dyDescent="0.3">
      <c r="A29" s="155">
        <v>16</v>
      </c>
      <c r="B29" s="174"/>
      <c r="C29" s="157"/>
      <c r="D29" s="158"/>
      <c r="E29" s="158"/>
      <c r="F29" s="189"/>
      <c r="G29" s="160"/>
      <c r="H29" s="160"/>
      <c r="I29" s="133"/>
      <c r="J29" s="130">
        <v>1</v>
      </c>
      <c r="K29" s="132">
        <f t="shared" si="0"/>
        <v>0</v>
      </c>
      <c r="L29" s="132"/>
      <c r="M29" s="132">
        <v>1</v>
      </c>
      <c r="N29" s="132">
        <f t="shared" si="1"/>
        <v>0</v>
      </c>
      <c r="O29" s="132"/>
      <c r="P29" s="132">
        <v>1</v>
      </c>
      <c r="Q29" s="132">
        <f t="shared" si="5"/>
        <v>0</v>
      </c>
      <c r="R29" s="132"/>
      <c r="S29" s="132">
        <v>1</v>
      </c>
      <c r="T29" s="132">
        <f t="shared" si="2"/>
        <v>0</v>
      </c>
      <c r="U29" s="133"/>
      <c r="V29" s="126">
        <f t="shared" si="3"/>
        <v>0</v>
      </c>
      <c r="W29" s="92">
        <f t="shared" si="4"/>
        <v>0</v>
      </c>
      <c r="X29" s="97"/>
      <c r="Y29" s="210"/>
      <c r="Z29" s="98"/>
      <c r="AA29" s="99"/>
    </row>
    <row r="30" spans="1:27" s="100" customFormat="1" ht="14.4" customHeight="1" thickBot="1" x14ac:dyDescent="0.3">
      <c r="A30" s="155">
        <v>17</v>
      </c>
      <c r="B30" s="174"/>
      <c r="C30" s="175"/>
      <c r="D30" s="176"/>
      <c r="E30" s="158"/>
      <c r="F30" s="177"/>
      <c r="G30" s="160"/>
      <c r="H30" s="160"/>
      <c r="I30" s="133"/>
      <c r="J30" s="130">
        <v>1</v>
      </c>
      <c r="K30" s="132">
        <f t="shared" si="0"/>
        <v>0</v>
      </c>
      <c r="L30" s="132"/>
      <c r="M30" s="132">
        <v>1</v>
      </c>
      <c r="N30" s="132">
        <f t="shared" si="1"/>
        <v>0</v>
      </c>
      <c r="O30" s="132"/>
      <c r="P30" s="132">
        <v>1</v>
      </c>
      <c r="Q30" s="132">
        <f t="shared" si="5"/>
        <v>0</v>
      </c>
      <c r="R30" s="132"/>
      <c r="S30" s="132">
        <v>1</v>
      </c>
      <c r="T30" s="132">
        <f t="shared" si="2"/>
        <v>0</v>
      </c>
      <c r="U30" s="133"/>
      <c r="V30" s="126">
        <f t="shared" si="3"/>
        <v>0</v>
      </c>
      <c r="W30" s="92">
        <f t="shared" si="4"/>
        <v>0</v>
      </c>
      <c r="X30" s="97"/>
      <c r="Y30" s="210"/>
      <c r="Z30" s="98"/>
      <c r="AA30" s="99"/>
    </row>
    <row r="31" spans="1:27" s="100" customFormat="1" ht="14.4" customHeight="1" thickBot="1" x14ac:dyDescent="0.3">
      <c r="A31" s="155">
        <v>18</v>
      </c>
      <c r="B31" s="174"/>
      <c r="C31" s="175"/>
      <c r="D31" s="176"/>
      <c r="E31" s="158"/>
      <c r="F31" s="159"/>
      <c r="G31" s="160"/>
      <c r="H31" s="160"/>
      <c r="I31" s="133"/>
      <c r="J31" s="130">
        <v>1</v>
      </c>
      <c r="K31" s="132">
        <f t="shared" si="0"/>
        <v>0</v>
      </c>
      <c r="L31" s="132"/>
      <c r="M31" s="132">
        <v>1</v>
      </c>
      <c r="N31" s="132">
        <f t="shared" si="1"/>
        <v>0</v>
      </c>
      <c r="O31" s="132"/>
      <c r="P31" s="132">
        <v>1</v>
      </c>
      <c r="Q31" s="132">
        <f t="shared" si="5"/>
        <v>0</v>
      </c>
      <c r="R31" s="132"/>
      <c r="S31" s="132">
        <v>1</v>
      </c>
      <c r="T31" s="132">
        <f t="shared" si="2"/>
        <v>0</v>
      </c>
      <c r="U31" s="133"/>
      <c r="V31" s="126">
        <f t="shared" si="3"/>
        <v>0</v>
      </c>
      <c r="W31" s="92">
        <f t="shared" si="4"/>
        <v>0</v>
      </c>
      <c r="X31" s="97"/>
      <c r="Y31" s="210"/>
      <c r="Z31" s="98"/>
      <c r="AA31" s="99"/>
    </row>
    <row r="32" spans="1:27" s="91" customFormat="1" ht="14.4" customHeight="1" thickBot="1" x14ac:dyDescent="0.3">
      <c r="A32" s="143">
        <v>19</v>
      </c>
      <c r="B32" s="144"/>
      <c r="C32" s="179"/>
      <c r="D32" s="161"/>
      <c r="E32" s="146"/>
      <c r="F32" s="187"/>
      <c r="G32" s="148"/>
      <c r="H32" s="148"/>
      <c r="I32" s="131"/>
      <c r="J32" s="130">
        <v>1</v>
      </c>
      <c r="K32" s="132">
        <f t="shared" si="0"/>
        <v>0</v>
      </c>
      <c r="L32" s="132"/>
      <c r="M32" s="132">
        <v>1</v>
      </c>
      <c r="N32" s="132">
        <f t="shared" si="1"/>
        <v>0</v>
      </c>
      <c r="O32" s="132"/>
      <c r="P32" s="132">
        <v>1</v>
      </c>
      <c r="Q32" s="132">
        <f t="shared" si="5"/>
        <v>0</v>
      </c>
      <c r="R32" s="132"/>
      <c r="S32" s="132">
        <v>1</v>
      </c>
      <c r="T32" s="132">
        <f t="shared" si="2"/>
        <v>0</v>
      </c>
      <c r="U32" s="131"/>
      <c r="V32" s="126">
        <f t="shared" si="3"/>
        <v>0</v>
      </c>
      <c r="W32" s="92">
        <f t="shared" si="4"/>
        <v>0</v>
      </c>
      <c r="X32" s="88"/>
      <c r="Y32" s="210"/>
      <c r="Z32" s="89"/>
      <c r="AA32" s="90"/>
    </row>
    <row r="33" spans="1:27" ht="14.4" customHeight="1" thickBot="1" x14ac:dyDescent="0.3">
      <c r="A33" s="149">
        <v>19</v>
      </c>
      <c r="B33" s="150"/>
      <c r="C33" s="180"/>
      <c r="D33" s="181"/>
      <c r="J33" s="130">
        <v>1</v>
      </c>
      <c r="K33" s="132">
        <f t="shared" si="0"/>
        <v>0</v>
      </c>
      <c r="M33" s="132">
        <v>1</v>
      </c>
      <c r="N33" s="132">
        <f t="shared" si="1"/>
        <v>0</v>
      </c>
      <c r="P33" s="132">
        <v>1</v>
      </c>
      <c r="Q33" s="132">
        <f t="shared" si="5"/>
        <v>0</v>
      </c>
      <c r="S33" s="132">
        <v>1</v>
      </c>
      <c r="T33" s="132">
        <f t="shared" si="2"/>
        <v>0</v>
      </c>
      <c r="V33" s="126">
        <f t="shared" si="3"/>
        <v>0</v>
      </c>
      <c r="W33" s="92">
        <f t="shared" si="4"/>
        <v>0</v>
      </c>
      <c r="Y33" s="210"/>
    </row>
    <row r="34" spans="1:27" ht="14.4" customHeight="1" thickBot="1" x14ac:dyDescent="0.3">
      <c r="A34" s="149">
        <v>19</v>
      </c>
      <c r="C34" s="180"/>
      <c r="D34" s="181"/>
      <c r="J34" s="130">
        <v>1</v>
      </c>
      <c r="K34" s="132">
        <f t="shared" si="0"/>
        <v>0</v>
      </c>
      <c r="M34" s="132">
        <v>1</v>
      </c>
      <c r="N34" s="132">
        <f t="shared" si="1"/>
        <v>0</v>
      </c>
      <c r="P34" s="132">
        <v>1</v>
      </c>
      <c r="Q34" s="132">
        <f t="shared" si="5"/>
        <v>0</v>
      </c>
      <c r="S34" s="132">
        <v>1</v>
      </c>
      <c r="T34" s="132">
        <f t="shared" si="2"/>
        <v>0</v>
      </c>
      <c r="V34" s="126">
        <f t="shared" si="3"/>
        <v>0</v>
      </c>
      <c r="W34" s="92">
        <f t="shared" si="4"/>
        <v>0</v>
      </c>
      <c r="Y34" s="210"/>
    </row>
    <row r="35" spans="1:27" s="96" customFormat="1" ht="14.4" customHeight="1" thickBot="1" x14ac:dyDescent="0.3">
      <c r="A35" s="137">
        <v>19</v>
      </c>
      <c r="B35" s="186"/>
      <c r="C35" s="183"/>
      <c r="D35" s="163"/>
      <c r="E35" s="140"/>
      <c r="F35" s="188"/>
      <c r="G35" s="142"/>
      <c r="H35" s="142"/>
      <c r="I35" s="130"/>
      <c r="J35" s="130">
        <v>1</v>
      </c>
      <c r="K35" s="132">
        <f t="shared" si="0"/>
        <v>0</v>
      </c>
      <c r="L35" s="132"/>
      <c r="M35" s="132">
        <v>1</v>
      </c>
      <c r="N35" s="132">
        <f t="shared" si="1"/>
        <v>0</v>
      </c>
      <c r="O35" s="132"/>
      <c r="P35" s="132">
        <v>1</v>
      </c>
      <c r="Q35" s="132">
        <f t="shared" si="5"/>
        <v>0</v>
      </c>
      <c r="R35" s="132"/>
      <c r="S35" s="132">
        <v>1</v>
      </c>
      <c r="T35" s="132">
        <f t="shared" si="2"/>
        <v>0</v>
      </c>
      <c r="U35" s="130"/>
      <c r="V35" s="126">
        <f t="shared" si="3"/>
        <v>0</v>
      </c>
      <c r="W35" s="92">
        <f t="shared" si="4"/>
        <v>0</v>
      </c>
      <c r="X35" s="93"/>
      <c r="Y35" s="210"/>
      <c r="Z35" s="94"/>
      <c r="AA35" s="95"/>
    </row>
    <row r="36" spans="1:27" s="100" customFormat="1" ht="14.4" customHeight="1" thickBot="1" x14ac:dyDescent="0.3">
      <c r="A36" s="155">
        <v>20</v>
      </c>
      <c r="B36" s="174"/>
      <c r="C36" s="157"/>
      <c r="D36" s="158"/>
      <c r="E36" s="158"/>
      <c r="F36" s="177"/>
      <c r="G36" s="160"/>
      <c r="H36" s="160"/>
      <c r="I36" s="133"/>
      <c r="J36" s="130">
        <v>1</v>
      </c>
      <c r="K36" s="132">
        <f t="shared" si="0"/>
        <v>0</v>
      </c>
      <c r="L36" s="132"/>
      <c r="M36" s="132">
        <v>1</v>
      </c>
      <c r="N36" s="132">
        <f t="shared" si="1"/>
        <v>0</v>
      </c>
      <c r="O36" s="132"/>
      <c r="P36" s="132">
        <v>1</v>
      </c>
      <c r="Q36" s="132">
        <f t="shared" si="5"/>
        <v>0</v>
      </c>
      <c r="R36" s="132"/>
      <c r="S36" s="132">
        <v>1</v>
      </c>
      <c r="T36" s="132">
        <f t="shared" si="2"/>
        <v>0</v>
      </c>
      <c r="U36" s="133"/>
      <c r="V36" s="126">
        <f t="shared" si="3"/>
        <v>0</v>
      </c>
      <c r="W36" s="92">
        <f t="shared" si="4"/>
        <v>0</v>
      </c>
      <c r="X36" s="97"/>
      <c r="Y36" s="210"/>
      <c r="Z36" s="98"/>
      <c r="AA36" s="99"/>
    </row>
    <row r="37" spans="1:27" s="91" customFormat="1" ht="14.4" customHeight="1" thickBot="1" x14ac:dyDescent="0.3">
      <c r="A37" s="143">
        <v>21</v>
      </c>
      <c r="B37" s="144"/>
      <c r="C37" s="145"/>
      <c r="D37" s="146"/>
      <c r="E37" s="146"/>
      <c r="F37" s="187"/>
      <c r="G37" s="148"/>
      <c r="H37" s="192"/>
      <c r="I37" s="131"/>
      <c r="J37" s="130">
        <v>1</v>
      </c>
      <c r="K37" s="132">
        <f t="shared" si="0"/>
        <v>0</v>
      </c>
      <c r="L37" s="132"/>
      <c r="M37" s="132">
        <v>1</v>
      </c>
      <c r="N37" s="132">
        <f t="shared" si="1"/>
        <v>0</v>
      </c>
      <c r="O37" s="132"/>
      <c r="P37" s="132">
        <v>1</v>
      </c>
      <c r="Q37" s="132">
        <f t="shared" si="5"/>
        <v>0</v>
      </c>
      <c r="R37" s="132"/>
      <c r="S37" s="132">
        <v>1</v>
      </c>
      <c r="T37" s="132">
        <f t="shared" si="2"/>
        <v>0</v>
      </c>
      <c r="U37" s="131"/>
      <c r="V37" s="126">
        <f t="shared" si="3"/>
        <v>0</v>
      </c>
      <c r="W37" s="92">
        <f t="shared" si="4"/>
        <v>0</v>
      </c>
      <c r="X37" s="88"/>
      <c r="Y37" s="210"/>
      <c r="Z37" s="89"/>
      <c r="AA37" s="90"/>
    </row>
    <row r="38" spans="1:27" ht="14.4" customHeight="1" thickBot="1" x14ac:dyDescent="0.3">
      <c r="A38" s="149">
        <v>21</v>
      </c>
      <c r="B38" s="150"/>
      <c r="H38" s="193"/>
      <c r="J38" s="130">
        <v>1</v>
      </c>
      <c r="K38" s="132">
        <f t="shared" si="0"/>
        <v>0</v>
      </c>
      <c r="M38" s="132">
        <v>1</v>
      </c>
      <c r="N38" s="132">
        <f t="shared" si="1"/>
        <v>0</v>
      </c>
      <c r="P38" s="132">
        <v>1</v>
      </c>
      <c r="Q38" s="132">
        <f t="shared" si="5"/>
        <v>0</v>
      </c>
      <c r="S38" s="132">
        <v>1</v>
      </c>
      <c r="T38" s="132">
        <f t="shared" si="2"/>
        <v>0</v>
      </c>
      <c r="V38" s="126">
        <f t="shared" si="3"/>
        <v>0</v>
      </c>
      <c r="W38" s="92">
        <f t="shared" si="4"/>
        <v>0</v>
      </c>
      <c r="Y38" s="210"/>
    </row>
    <row r="39" spans="1:27" s="96" customFormat="1" ht="14.4" customHeight="1" thickBot="1" x14ac:dyDescent="0.3">
      <c r="A39" s="137">
        <v>21</v>
      </c>
      <c r="B39" s="186"/>
      <c r="C39" s="139"/>
      <c r="D39" s="140"/>
      <c r="E39" s="140"/>
      <c r="F39" s="188"/>
      <c r="G39" s="142"/>
      <c r="H39" s="194"/>
      <c r="I39" s="130"/>
      <c r="J39" s="130">
        <v>1</v>
      </c>
      <c r="K39" s="132">
        <f t="shared" si="0"/>
        <v>0</v>
      </c>
      <c r="L39" s="132"/>
      <c r="M39" s="132">
        <v>1</v>
      </c>
      <c r="N39" s="132">
        <f t="shared" si="1"/>
        <v>0</v>
      </c>
      <c r="O39" s="132"/>
      <c r="P39" s="132">
        <v>1</v>
      </c>
      <c r="Q39" s="132">
        <f t="shared" si="5"/>
        <v>0</v>
      </c>
      <c r="R39" s="132"/>
      <c r="S39" s="132">
        <v>1</v>
      </c>
      <c r="T39" s="132">
        <f t="shared" si="2"/>
        <v>0</v>
      </c>
      <c r="U39" s="130"/>
      <c r="V39" s="126">
        <f t="shared" si="3"/>
        <v>0</v>
      </c>
      <c r="W39" s="92">
        <f t="shared" si="4"/>
        <v>0</v>
      </c>
      <c r="X39" s="93"/>
      <c r="Y39" s="210"/>
      <c r="Z39" s="94"/>
      <c r="AA39" s="95"/>
    </row>
    <row r="40" spans="1:27" s="100" customFormat="1" ht="14.4" customHeight="1" thickBot="1" x14ac:dyDescent="0.3">
      <c r="A40" s="155">
        <v>22</v>
      </c>
      <c r="B40" s="174"/>
      <c r="C40" s="157"/>
      <c r="D40" s="158"/>
      <c r="E40" s="158"/>
      <c r="F40" s="159"/>
      <c r="G40" s="160"/>
      <c r="H40" s="195"/>
      <c r="I40" s="133"/>
      <c r="J40" s="130">
        <v>1</v>
      </c>
      <c r="K40" s="132">
        <f t="shared" si="0"/>
        <v>0</v>
      </c>
      <c r="L40" s="132"/>
      <c r="M40" s="132">
        <v>1</v>
      </c>
      <c r="N40" s="132">
        <f t="shared" si="1"/>
        <v>0</v>
      </c>
      <c r="O40" s="132"/>
      <c r="P40" s="132">
        <v>1</v>
      </c>
      <c r="Q40" s="132">
        <f t="shared" si="5"/>
        <v>0</v>
      </c>
      <c r="R40" s="132"/>
      <c r="S40" s="132">
        <v>1</v>
      </c>
      <c r="T40" s="132">
        <f t="shared" si="2"/>
        <v>0</v>
      </c>
      <c r="U40" s="133"/>
      <c r="V40" s="126">
        <f t="shared" si="3"/>
        <v>0</v>
      </c>
      <c r="W40" s="92">
        <f t="shared" si="4"/>
        <v>0</v>
      </c>
      <c r="X40" s="97"/>
      <c r="Y40" s="210"/>
      <c r="Z40" s="98"/>
      <c r="AA40" s="99"/>
    </row>
    <row r="41" spans="1:27" s="100" customFormat="1" ht="14.4" customHeight="1" thickBot="1" x14ac:dyDescent="0.3">
      <c r="A41" s="155">
        <v>23</v>
      </c>
      <c r="B41" s="174"/>
      <c r="C41" s="157"/>
      <c r="D41" s="158"/>
      <c r="E41" s="158"/>
      <c r="F41" s="189"/>
      <c r="G41" s="160"/>
      <c r="H41" s="195"/>
      <c r="I41" s="133"/>
      <c r="J41" s="130">
        <v>1</v>
      </c>
      <c r="K41" s="132">
        <f t="shared" si="0"/>
        <v>0</v>
      </c>
      <c r="L41" s="132"/>
      <c r="M41" s="132">
        <v>1</v>
      </c>
      <c r="N41" s="132">
        <f t="shared" si="1"/>
        <v>0</v>
      </c>
      <c r="O41" s="132"/>
      <c r="P41" s="132">
        <v>1</v>
      </c>
      <c r="Q41" s="132">
        <f t="shared" si="5"/>
        <v>0</v>
      </c>
      <c r="R41" s="132"/>
      <c r="S41" s="132">
        <v>1</v>
      </c>
      <c r="T41" s="132">
        <f t="shared" si="2"/>
        <v>0</v>
      </c>
      <c r="U41" s="133"/>
      <c r="V41" s="126">
        <f t="shared" si="3"/>
        <v>0</v>
      </c>
      <c r="W41" s="92">
        <f t="shared" si="4"/>
        <v>0</v>
      </c>
      <c r="X41" s="97"/>
      <c r="Y41" s="210"/>
      <c r="Z41" s="98"/>
      <c r="AA41" s="99"/>
    </row>
    <row r="42" spans="1:27" s="91" customFormat="1" ht="14.4" customHeight="1" thickBot="1" x14ac:dyDescent="0.3">
      <c r="A42" s="143">
        <v>24</v>
      </c>
      <c r="B42" s="144"/>
      <c r="C42" s="145"/>
      <c r="D42" s="146"/>
      <c r="E42" s="146"/>
      <c r="F42" s="147"/>
      <c r="G42" s="148"/>
      <c r="H42" s="192"/>
      <c r="I42" s="131"/>
      <c r="J42" s="130">
        <v>1</v>
      </c>
      <c r="K42" s="132">
        <f t="shared" si="0"/>
        <v>0</v>
      </c>
      <c r="L42" s="132"/>
      <c r="M42" s="132">
        <v>1</v>
      </c>
      <c r="N42" s="132">
        <f t="shared" si="1"/>
        <v>0</v>
      </c>
      <c r="O42" s="132"/>
      <c r="P42" s="132">
        <v>1</v>
      </c>
      <c r="Q42" s="132">
        <f t="shared" si="5"/>
        <v>0</v>
      </c>
      <c r="R42" s="132"/>
      <c r="S42" s="132">
        <v>1</v>
      </c>
      <c r="T42" s="132">
        <f t="shared" si="2"/>
        <v>0</v>
      </c>
      <c r="U42" s="131"/>
      <c r="V42" s="126">
        <f t="shared" si="3"/>
        <v>0</v>
      </c>
      <c r="W42" s="92">
        <f t="shared" si="4"/>
        <v>0</v>
      </c>
      <c r="X42" s="88"/>
      <c r="Y42" s="210"/>
      <c r="Z42" s="89"/>
      <c r="AA42" s="90"/>
    </row>
    <row r="43" spans="1:27" ht="14.4" customHeight="1" thickBot="1" x14ac:dyDescent="0.3">
      <c r="A43" s="149">
        <v>24</v>
      </c>
      <c r="F43" s="153"/>
      <c r="H43" s="193"/>
      <c r="J43" s="130">
        <v>1</v>
      </c>
      <c r="K43" s="132">
        <f t="shared" si="0"/>
        <v>0</v>
      </c>
      <c r="M43" s="132">
        <v>1</v>
      </c>
      <c r="N43" s="132">
        <f t="shared" si="1"/>
        <v>0</v>
      </c>
      <c r="P43" s="132">
        <v>1</v>
      </c>
      <c r="Q43" s="132">
        <f t="shared" si="5"/>
        <v>0</v>
      </c>
      <c r="S43" s="132">
        <v>1</v>
      </c>
      <c r="T43" s="132">
        <f t="shared" si="2"/>
        <v>0</v>
      </c>
      <c r="V43" s="126">
        <f t="shared" si="3"/>
        <v>0</v>
      </c>
      <c r="W43" s="92">
        <f t="shared" si="4"/>
        <v>0</v>
      </c>
      <c r="Y43" s="210"/>
    </row>
    <row r="44" spans="1:27" s="96" customFormat="1" ht="14.4" customHeight="1" thickBot="1" x14ac:dyDescent="0.3">
      <c r="A44" s="137">
        <v>24</v>
      </c>
      <c r="B44" s="186"/>
      <c r="C44" s="139"/>
      <c r="D44" s="140"/>
      <c r="E44" s="140"/>
      <c r="F44" s="141"/>
      <c r="G44" s="142"/>
      <c r="H44" s="194"/>
      <c r="I44" s="130"/>
      <c r="J44" s="130">
        <v>1</v>
      </c>
      <c r="K44" s="132">
        <f t="shared" si="0"/>
        <v>0</v>
      </c>
      <c r="L44" s="132"/>
      <c r="M44" s="132">
        <v>1</v>
      </c>
      <c r="N44" s="132">
        <f t="shared" si="1"/>
        <v>0</v>
      </c>
      <c r="O44" s="132"/>
      <c r="P44" s="132">
        <v>1</v>
      </c>
      <c r="Q44" s="132">
        <f t="shared" si="5"/>
        <v>0</v>
      </c>
      <c r="R44" s="132"/>
      <c r="S44" s="132">
        <v>1</v>
      </c>
      <c r="T44" s="132">
        <f t="shared" si="2"/>
        <v>0</v>
      </c>
      <c r="U44" s="130"/>
      <c r="V44" s="126">
        <f t="shared" si="3"/>
        <v>0</v>
      </c>
      <c r="W44" s="92">
        <f t="shared" si="4"/>
        <v>0</v>
      </c>
      <c r="X44" s="93"/>
      <c r="Y44" s="210"/>
      <c r="Z44" s="94"/>
      <c r="AA44" s="95"/>
    </row>
    <row r="45" spans="1:27" s="91" customFormat="1" ht="14.4" customHeight="1" thickBot="1" x14ac:dyDescent="0.3">
      <c r="A45" s="143">
        <v>25</v>
      </c>
      <c r="B45" s="178"/>
      <c r="C45" s="145"/>
      <c r="D45" s="146"/>
      <c r="E45" s="146"/>
      <c r="F45" s="187"/>
      <c r="G45" s="148"/>
      <c r="H45" s="192"/>
      <c r="I45" s="131"/>
      <c r="J45" s="130">
        <v>1</v>
      </c>
      <c r="K45" s="132">
        <f t="shared" si="0"/>
        <v>0</v>
      </c>
      <c r="L45" s="132"/>
      <c r="M45" s="132">
        <v>1</v>
      </c>
      <c r="N45" s="132">
        <f t="shared" si="1"/>
        <v>0</v>
      </c>
      <c r="O45" s="132"/>
      <c r="P45" s="132">
        <v>1</v>
      </c>
      <c r="Q45" s="132">
        <f t="shared" si="5"/>
        <v>0</v>
      </c>
      <c r="R45" s="132"/>
      <c r="S45" s="132">
        <v>1</v>
      </c>
      <c r="T45" s="132">
        <f t="shared" si="2"/>
        <v>0</v>
      </c>
      <c r="U45" s="131"/>
      <c r="V45" s="126">
        <f t="shared" si="3"/>
        <v>0</v>
      </c>
      <c r="W45" s="92">
        <f t="shared" si="4"/>
        <v>0</v>
      </c>
      <c r="X45" s="88"/>
      <c r="Y45" s="210"/>
      <c r="Z45" s="89"/>
      <c r="AA45" s="90"/>
    </row>
    <row r="46" spans="1:27" ht="14.4" customHeight="1" thickBot="1" x14ac:dyDescent="0.3">
      <c r="A46" s="149">
        <v>25</v>
      </c>
      <c r="B46" s="43"/>
      <c r="H46" s="193"/>
      <c r="J46" s="130">
        <v>1</v>
      </c>
      <c r="K46" s="132">
        <f t="shared" si="0"/>
        <v>0</v>
      </c>
      <c r="M46" s="132">
        <v>1</v>
      </c>
      <c r="N46" s="132">
        <f t="shared" si="1"/>
        <v>0</v>
      </c>
      <c r="P46" s="132">
        <v>1</v>
      </c>
      <c r="Q46" s="132">
        <f t="shared" si="5"/>
        <v>0</v>
      </c>
      <c r="S46" s="132">
        <v>1</v>
      </c>
      <c r="T46" s="132">
        <f t="shared" si="2"/>
        <v>0</v>
      </c>
      <c r="V46" s="126">
        <f t="shared" si="3"/>
        <v>0</v>
      </c>
      <c r="W46" s="92">
        <f t="shared" si="4"/>
        <v>0</v>
      </c>
      <c r="Y46" s="210"/>
    </row>
    <row r="47" spans="1:27" s="96" customFormat="1" ht="14.4" customHeight="1" thickBot="1" x14ac:dyDescent="0.3">
      <c r="A47" s="137">
        <v>25</v>
      </c>
      <c r="B47" s="186"/>
      <c r="C47" s="139"/>
      <c r="D47" s="140"/>
      <c r="E47" s="140"/>
      <c r="F47" s="196"/>
      <c r="G47" s="142"/>
      <c r="H47" s="194"/>
      <c r="I47" s="130"/>
      <c r="J47" s="130">
        <v>1</v>
      </c>
      <c r="K47" s="132">
        <f t="shared" si="0"/>
        <v>0</v>
      </c>
      <c r="L47" s="132"/>
      <c r="M47" s="132">
        <v>1</v>
      </c>
      <c r="N47" s="132">
        <f t="shared" si="1"/>
        <v>0</v>
      </c>
      <c r="O47" s="132"/>
      <c r="P47" s="132">
        <v>1</v>
      </c>
      <c r="Q47" s="132">
        <f t="shared" si="5"/>
        <v>0</v>
      </c>
      <c r="R47" s="132"/>
      <c r="S47" s="132">
        <v>1</v>
      </c>
      <c r="T47" s="132">
        <f t="shared" si="2"/>
        <v>0</v>
      </c>
      <c r="U47" s="130"/>
      <c r="V47" s="126">
        <f t="shared" si="3"/>
        <v>0</v>
      </c>
      <c r="W47" s="92">
        <f t="shared" si="4"/>
        <v>0</v>
      </c>
      <c r="X47" s="93"/>
      <c r="Y47" s="210"/>
      <c r="Z47" s="94"/>
      <c r="AA47" s="95"/>
    </row>
    <row r="48" spans="1:27" s="100" customFormat="1" ht="14.4" customHeight="1" thickBot="1" x14ac:dyDescent="0.3">
      <c r="A48" s="155">
        <v>26</v>
      </c>
      <c r="B48" s="174"/>
      <c r="C48" s="157"/>
      <c r="D48" s="158"/>
      <c r="E48" s="158"/>
      <c r="F48" s="189"/>
      <c r="G48" s="160"/>
      <c r="H48" s="195"/>
      <c r="I48" s="133"/>
      <c r="J48" s="130">
        <v>1</v>
      </c>
      <c r="K48" s="132">
        <f t="shared" si="0"/>
        <v>0</v>
      </c>
      <c r="L48" s="132"/>
      <c r="M48" s="132">
        <v>1</v>
      </c>
      <c r="N48" s="132">
        <f t="shared" si="1"/>
        <v>0</v>
      </c>
      <c r="O48" s="132"/>
      <c r="P48" s="132">
        <v>1</v>
      </c>
      <c r="Q48" s="132">
        <f t="shared" si="5"/>
        <v>0</v>
      </c>
      <c r="R48" s="132"/>
      <c r="S48" s="132">
        <v>1</v>
      </c>
      <c r="T48" s="132">
        <f t="shared" si="2"/>
        <v>0</v>
      </c>
      <c r="U48" s="133"/>
      <c r="V48" s="126">
        <f t="shared" si="3"/>
        <v>0</v>
      </c>
      <c r="W48" s="92">
        <f t="shared" si="4"/>
        <v>0</v>
      </c>
      <c r="X48" s="97"/>
      <c r="Y48" s="210"/>
      <c r="Z48" s="98"/>
      <c r="AA48" s="99"/>
    </row>
    <row r="49" spans="1:27" s="100" customFormat="1" ht="14.4" customHeight="1" thickBot="1" x14ac:dyDescent="0.3">
      <c r="A49" s="155">
        <v>27</v>
      </c>
      <c r="B49" s="174"/>
      <c r="C49" s="157"/>
      <c r="D49" s="158"/>
      <c r="E49" s="158"/>
      <c r="F49" s="189"/>
      <c r="G49" s="160"/>
      <c r="H49" s="195"/>
      <c r="I49" s="133"/>
      <c r="J49" s="130">
        <v>1</v>
      </c>
      <c r="K49" s="132">
        <f t="shared" si="0"/>
        <v>0</v>
      </c>
      <c r="L49" s="132"/>
      <c r="M49" s="132">
        <v>1</v>
      </c>
      <c r="N49" s="132">
        <f t="shared" si="1"/>
        <v>0</v>
      </c>
      <c r="O49" s="132"/>
      <c r="P49" s="132">
        <v>1</v>
      </c>
      <c r="Q49" s="132">
        <f t="shared" si="5"/>
        <v>0</v>
      </c>
      <c r="R49" s="132"/>
      <c r="S49" s="132">
        <v>1</v>
      </c>
      <c r="T49" s="132">
        <f t="shared" si="2"/>
        <v>0</v>
      </c>
      <c r="U49" s="133"/>
      <c r="V49" s="126">
        <f t="shared" si="3"/>
        <v>0</v>
      </c>
      <c r="W49" s="92">
        <f t="shared" si="4"/>
        <v>0</v>
      </c>
      <c r="X49" s="97"/>
      <c r="Y49" s="210"/>
      <c r="Z49" s="98"/>
      <c r="AA49" s="99"/>
    </row>
    <row r="50" spans="1:27" s="100" customFormat="1" ht="14.4" customHeight="1" thickBot="1" x14ac:dyDescent="0.3">
      <c r="A50" s="155">
        <v>28</v>
      </c>
      <c r="B50" s="174"/>
      <c r="C50" s="157"/>
      <c r="D50" s="158"/>
      <c r="E50" s="158"/>
      <c r="F50" s="189"/>
      <c r="G50" s="160"/>
      <c r="H50" s="195"/>
      <c r="I50" s="133"/>
      <c r="J50" s="130">
        <v>1</v>
      </c>
      <c r="K50" s="132">
        <f t="shared" si="0"/>
        <v>0</v>
      </c>
      <c r="L50" s="132"/>
      <c r="M50" s="132">
        <v>1</v>
      </c>
      <c r="N50" s="132">
        <f t="shared" si="1"/>
        <v>0</v>
      </c>
      <c r="O50" s="132"/>
      <c r="P50" s="132">
        <v>1</v>
      </c>
      <c r="Q50" s="132">
        <f t="shared" si="5"/>
        <v>0</v>
      </c>
      <c r="R50" s="132"/>
      <c r="S50" s="132">
        <v>1</v>
      </c>
      <c r="T50" s="132">
        <f t="shared" si="2"/>
        <v>0</v>
      </c>
      <c r="U50" s="133"/>
      <c r="V50" s="126">
        <f t="shared" si="3"/>
        <v>0</v>
      </c>
      <c r="W50" s="92">
        <f t="shared" si="4"/>
        <v>0</v>
      </c>
      <c r="X50" s="97"/>
      <c r="Y50" s="210"/>
      <c r="Z50" s="98"/>
      <c r="AA50" s="99"/>
    </row>
    <row r="51" spans="1:27" s="100" customFormat="1" ht="14.4" customHeight="1" thickBot="1" x14ac:dyDescent="0.3">
      <c r="A51" s="155">
        <v>29</v>
      </c>
      <c r="B51" s="174"/>
      <c r="C51" s="157"/>
      <c r="D51" s="158"/>
      <c r="E51" s="158"/>
      <c r="F51" s="189"/>
      <c r="G51" s="160"/>
      <c r="H51" s="195"/>
      <c r="I51" s="133"/>
      <c r="J51" s="130">
        <v>1</v>
      </c>
      <c r="K51" s="132">
        <f t="shared" si="0"/>
        <v>0</v>
      </c>
      <c r="L51" s="132"/>
      <c r="M51" s="132">
        <v>1</v>
      </c>
      <c r="N51" s="132">
        <f t="shared" si="1"/>
        <v>0</v>
      </c>
      <c r="O51" s="132"/>
      <c r="P51" s="132">
        <v>1</v>
      </c>
      <c r="Q51" s="132">
        <f t="shared" si="5"/>
        <v>0</v>
      </c>
      <c r="R51" s="132"/>
      <c r="S51" s="132">
        <v>1</v>
      </c>
      <c r="T51" s="132">
        <f t="shared" si="2"/>
        <v>0</v>
      </c>
      <c r="U51" s="133"/>
      <c r="V51" s="126">
        <f t="shared" si="3"/>
        <v>0</v>
      </c>
      <c r="W51" s="92">
        <f t="shared" si="4"/>
        <v>0</v>
      </c>
      <c r="X51" s="97"/>
      <c r="Y51" s="210"/>
      <c r="Z51" s="98"/>
      <c r="AA51" s="99"/>
    </row>
    <row r="52" spans="1:27" s="91" customFormat="1" ht="14.4" customHeight="1" thickBot="1" x14ac:dyDescent="0.3">
      <c r="A52" s="143">
        <v>30</v>
      </c>
      <c r="B52" s="185"/>
      <c r="C52" s="145"/>
      <c r="D52" s="146"/>
      <c r="E52" s="146"/>
      <c r="F52" s="147"/>
      <c r="G52" s="148"/>
      <c r="H52" s="192"/>
      <c r="I52" s="131"/>
      <c r="J52" s="130">
        <v>1</v>
      </c>
      <c r="K52" s="132">
        <f t="shared" si="0"/>
        <v>0</v>
      </c>
      <c r="L52" s="132"/>
      <c r="M52" s="132">
        <v>1</v>
      </c>
      <c r="N52" s="132">
        <f t="shared" si="1"/>
        <v>0</v>
      </c>
      <c r="O52" s="132"/>
      <c r="P52" s="132">
        <v>1</v>
      </c>
      <c r="Q52" s="132">
        <f t="shared" si="5"/>
        <v>0</v>
      </c>
      <c r="R52" s="132"/>
      <c r="S52" s="132">
        <v>1</v>
      </c>
      <c r="T52" s="132">
        <f t="shared" si="2"/>
        <v>0</v>
      </c>
      <c r="U52" s="131"/>
      <c r="V52" s="126">
        <f t="shared" si="3"/>
        <v>0</v>
      </c>
      <c r="W52" s="92">
        <f t="shared" si="4"/>
        <v>0</v>
      </c>
      <c r="X52" s="88"/>
      <c r="Y52" s="210"/>
      <c r="Z52" s="89"/>
      <c r="AA52" s="90"/>
    </row>
    <row r="53" spans="1:27" ht="14.4" customHeight="1" thickBot="1" x14ac:dyDescent="0.3">
      <c r="A53" s="149">
        <v>30</v>
      </c>
      <c r="B53" s="150"/>
      <c r="F53" s="147"/>
      <c r="H53" s="193"/>
      <c r="J53" s="130">
        <v>1</v>
      </c>
      <c r="K53" s="132">
        <f t="shared" si="0"/>
        <v>0</v>
      </c>
      <c r="M53" s="132">
        <v>1</v>
      </c>
      <c r="N53" s="132">
        <f t="shared" si="1"/>
        <v>0</v>
      </c>
      <c r="P53" s="132">
        <v>1</v>
      </c>
      <c r="Q53" s="132">
        <f t="shared" si="5"/>
        <v>0</v>
      </c>
      <c r="S53" s="132">
        <v>1</v>
      </c>
      <c r="T53" s="132">
        <f t="shared" si="2"/>
        <v>0</v>
      </c>
      <c r="V53" s="126">
        <f t="shared" si="3"/>
        <v>0</v>
      </c>
      <c r="W53" s="92">
        <f t="shared" si="4"/>
        <v>0</v>
      </c>
      <c r="Y53" s="210"/>
    </row>
    <row r="54" spans="1:27" s="96" customFormat="1" ht="14.4" customHeight="1" thickBot="1" x14ac:dyDescent="0.3">
      <c r="A54" s="137">
        <v>30</v>
      </c>
      <c r="B54" s="186"/>
      <c r="C54" s="139"/>
      <c r="D54" s="140"/>
      <c r="E54" s="140"/>
      <c r="F54" s="147"/>
      <c r="G54" s="142"/>
      <c r="H54" s="194"/>
      <c r="I54" s="130"/>
      <c r="J54" s="130">
        <v>1</v>
      </c>
      <c r="K54" s="132">
        <f t="shared" si="0"/>
        <v>0</v>
      </c>
      <c r="L54" s="132"/>
      <c r="M54" s="132">
        <v>1</v>
      </c>
      <c r="N54" s="132">
        <f t="shared" si="1"/>
        <v>0</v>
      </c>
      <c r="O54" s="132"/>
      <c r="P54" s="132">
        <v>1</v>
      </c>
      <c r="Q54" s="132">
        <f t="shared" si="5"/>
        <v>0</v>
      </c>
      <c r="R54" s="132"/>
      <c r="S54" s="132">
        <v>1</v>
      </c>
      <c r="T54" s="132">
        <f t="shared" si="2"/>
        <v>0</v>
      </c>
      <c r="U54" s="130"/>
      <c r="V54" s="126">
        <f t="shared" si="3"/>
        <v>0</v>
      </c>
      <c r="W54" s="92">
        <f t="shared" si="4"/>
        <v>0</v>
      </c>
      <c r="X54" s="93"/>
      <c r="Y54" s="210"/>
      <c r="Z54" s="94"/>
      <c r="AA54" s="95"/>
    </row>
    <row r="55" spans="1:27" s="91" customFormat="1" ht="14.4" customHeight="1" thickBot="1" x14ac:dyDescent="0.3">
      <c r="A55" s="143">
        <v>31</v>
      </c>
      <c r="B55" s="185"/>
      <c r="C55" s="145"/>
      <c r="D55" s="146"/>
      <c r="E55" s="146"/>
      <c r="F55" s="147"/>
      <c r="G55" s="148"/>
      <c r="H55" s="148"/>
      <c r="I55" s="131"/>
      <c r="J55" s="130">
        <v>1</v>
      </c>
      <c r="K55" s="132">
        <f t="shared" si="0"/>
        <v>0</v>
      </c>
      <c r="L55" s="132"/>
      <c r="M55" s="132">
        <v>1</v>
      </c>
      <c r="N55" s="132">
        <f t="shared" si="1"/>
        <v>0</v>
      </c>
      <c r="O55" s="132"/>
      <c r="P55" s="132">
        <v>1</v>
      </c>
      <c r="Q55" s="132">
        <f t="shared" si="5"/>
        <v>0</v>
      </c>
      <c r="R55" s="132"/>
      <c r="S55" s="132">
        <v>1</v>
      </c>
      <c r="T55" s="132">
        <f t="shared" si="2"/>
        <v>0</v>
      </c>
      <c r="U55" s="131"/>
      <c r="V55" s="126">
        <f t="shared" si="3"/>
        <v>0</v>
      </c>
      <c r="W55" s="92">
        <f t="shared" si="4"/>
        <v>0</v>
      </c>
      <c r="X55" s="88"/>
      <c r="Y55" s="210"/>
      <c r="Z55" s="89"/>
      <c r="AA55" s="90"/>
    </row>
    <row r="56" spans="1:27" s="96" customFormat="1" ht="14.4" customHeight="1" thickBot="1" x14ac:dyDescent="0.3">
      <c r="A56" s="137">
        <v>31</v>
      </c>
      <c r="B56" s="186"/>
      <c r="C56" s="139"/>
      <c r="D56" s="140"/>
      <c r="E56" s="140"/>
      <c r="F56" s="141"/>
      <c r="G56" s="142"/>
      <c r="H56" s="142"/>
      <c r="I56" s="130"/>
      <c r="J56" s="130">
        <v>1</v>
      </c>
      <c r="K56" s="132">
        <f t="shared" si="0"/>
        <v>0</v>
      </c>
      <c r="L56" s="132"/>
      <c r="M56" s="132">
        <v>1</v>
      </c>
      <c r="N56" s="132">
        <f t="shared" si="1"/>
        <v>0</v>
      </c>
      <c r="O56" s="132"/>
      <c r="P56" s="132">
        <v>1</v>
      </c>
      <c r="Q56" s="132">
        <f t="shared" si="5"/>
        <v>0</v>
      </c>
      <c r="R56" s="132"/>
      <c r="S56" s="132">
        <v>1</v>
      </c>
      <c r="T56" s="132">
        <f t="shared" si="2"/>
        <v>0</v>
      </c>
      <c r="U56" s="130"/>
      <c r="V56" s="126">
        <f t="shared" si="3"/>
        <v>0</v>
      </c>
      <c r="W56" s="92">
        <f t="shared" si="4"/>
        <v>0</v>
      </c>
      <c r="X56" s="93"/>
      <c r="Y56" s="210"/>
      <c r="Z56" s="94"/>
      <c r="AA56" s="95"/>
    </row>
    <row r="57" spans="1:27" s="91" customFormat="1" ht="14.4" customHeight="1" thickBot="1" x14ac:dyDescent="0.3">
      <c r="A57" s="143">
        <v>32</v>
      </c>
      <c r="B57" s="185"/>
      <c r="C57" s="145"/>
      <c r="D57" s="146"/>
      <c r="E57" s="146"/>
      <c r="F57" s="147"/>
      <c r="G57" s="148"/>
      <c r="H57" s="192"/>
      <c r="I57" s="131"/>
      <c r="J57" s="130">
        <v>1</v>
      </c>
      <c r="K57" s="132">
        <f t="shared" si="0"/>
        <v>0</v>
      </c>
      <c r="L57" s="132"/>
      <c r="M57" s="132">
        <v>1</v>
      </c>
      <c r="N57" s="132">
        <f t="shared" si="1"/>
        <v>0</v>
      </c>
      <c r="O57" s="132"/>
      <c r="P57" s="132">
        <v>1</v>
      </c>
      <c r="Q57" s="132">
        <f t="shared" si="5"/>
        <v>0</v>
      </c>
      <c r="R57" s="132"/>
      <c r="S57" s="132">
        <v>1</v>
      </c>
      <c r="T57" s="132">
        <f t="shared" si="2"/>
        <v>0</v>
      </c>
      <c r="U57" s="131"/>
      <c r="V57" s="126">
        <f t="shared" si="3"/>
        <v>0</v>
      </c>
      <c r="W57" s="92">
        <f t="shared" si="4"/>
        <v>0</v>
      </c>
      <c r="X57" s="88"/>
      <c r="Y57" s="210"/>
      <c r="Z57" s="89"/>
      <c r="AA57" s="90"/>
    </row>
    <row r="58" spans="1:27" s="96" customFormat="1" ht="15" customHeight="1" thickBot="1" x14ac:dyDescent="0.3">
      <c r="A58" s="137">
        <v>32</v>
      </c>
      <c r="B58" s="138"/>
      <c r="C58" s="139"/>
      <c r="D58" s="140"/>
      <c r="E58" s="140"/>
      <c r="F58" s="141"/>
      <c r="G58" s="142"/>
      <c r="H58" s="194"/>
      <c r="I58" s="130"/>
      <c r="J58" s="130">
        <v>1</v>
      </c>
      <c r="K58" s="132">
        <f t="shared" si="0"/>
        <v>0</v>
      </c>
      <c r="L58" s="132"/>
      <c r="M58" s="132">
        <v>1</v>
      </c>
      <c r="N58" s="132">
        <f t="shared" si="1"/>
        <v>0</v>
      </c>
      <c r="O58" s="132"/>
      <c r="P58" s="132">
        <v>1</v>
      </c>
      <c r="Q58" s="132">
        <f t="shared" si="5"/>
        <v>0</v>
      </c>
      <c r="R58" s="132"/>
      <c r="S58" s="132">
        <v>1</v>
      </c>
      <c r="T58" s="132">
        <f t="shared" si="2"/>
        <v>0</v>
      </c>
      <c r="U58" s="130"/>
      <c r="V58" s="126">
        <f t="shared" si="3"/>
        <v>0</v>
      </c>
      <c r="W58" s="92">
        <f t="shared" si="4"/>
        <v>0</v>
      </c>
      <c r="X58" s="93"/>
      <c r="Y58" s="210"/>
      <c r="Z58" s="94"/>
      <c r="AA58" s="95"/>
    </row>
    <row r="59" spans="1:27" s="91" customFormat="1" ht="14.4" customHeight="1" thickBot="1" x14ac:dyDescent="0.3">
      <c r="A59" s="143">
        <v>33</v>
      </c>
      <c r="B59" s="185"/>
      <c r="C59" s="145"/>
      <c r="D59" s="146"/>
      <c r="E59" s="146"/>
      <c r="F59" s="187"/>
      <c r="G59" s="148"/>
      <c r="H59" s="192"/>
      <c r="I59" s="131"/>
      <c r="J59" s="130">
        <v>1</v>
      </c>
      <c r="K59" s="132">
        <f t="shared" si="0"/>
        <v>0</v>
      </c>
      <c r="L59" s="132"/>
      <c r="M59" s="132">
        <v>1</v>
      </c>
      <c r="N59" s="132">
        <f t="shared" si="1"/>
        <v>0</v>
      </c>
      <c r="O59" s="132"/>
      <c r="P59" s="132">
        <v>1</v>
      </c>
      <c r="Q59" s="132">
        <f t="shared" si="5"/>
        <v>0</v>
      </c>
      <c r="R59" s="132"/>
      <c r="S59" s="132">
        <v>1</v>
      </c>
      <c r="T59" s="132">
        <f t="shared" si="2"/>
        <v>0</v>
      </c>
      <c r="U59" s="131"/>
      <c r="V59" s="126">
        <f t="shared" si="3"/>
        <v>0</v>
      </c>
      <c r="W59" s="92">
        <f t="shared" si="4"/>
        <v>0</v>
      </c>
      <c r="X59" s="113"/>
      <c r="Y59" s="210"/>
      <c r="Z59" s="89"/>
      <c r="AA59" s="90"/>
    </row>
    <row r="60" spans="1:27" ht="14.4" customHeight="1" thickBot="1" x14ac:dyDescent="0.3">
      <c r="A60" s="149">
        <v>33</v>
      </c>
      <c r="H60" s="193"/>
      <c r="J60" s="130">
        <v>1</v>
      </c>
      <c r="K60" s="132">
        <f t="shared" si="0"/>
        <v>0</v>
      </c>
      <c r="M60" s="132">
        <v>1</v>
      </c>
      <c r="N60" s="132">
        <f t="shared" si="1"/>
        <v>0</v>
      </c>
      <c r="P60" s="132">
        <v>1</v>
      </c>
      <c r="Q60" s="132">
        <f t="shared" si="5"/>
        <v>0</v>
      </c>
      <c r="S60" s="132">
        <v>1</v>
      </c>
      <c r="T60" s="132">
        <f t="shared" si="2"/>
        <v>0</v>
      </c>
      <c r="V60" s="126">
        <f t="shared" si="3"/>
        <v>0</v>
      </c>
      <c r="W60" s="92">
        <f t="shared" si="4"/>
        <v>0</v>
      </c>
      <c r="X60" s="113"/>
      <c r="Y60" s="210"/>
    </row>
    <row r="61" spans="1:27" s="96" customFormat="1" ht="15" customHeight="1" thickBot="1" x14ac:dyDescent="0.3">
      <c r="A61" s="137">
        <v>33</v>
      </c>
      <c r="B61" s="186"/>
      <c r="C61" s="139"/>
      <c r="D61" s="140"/>
      <c r="E61" s="140"/>
      <c r="F61" s="188"/>
      <c r="G61" s="142"/>
      <c r="H61" s="194"/>
      <c r="I61" s="130"/>
      <c r="J61" s="130">
        <v>1</v>
      </c>
      <c r="K61" s="132">
        <f t="shared" si="0"/>
        <v>0</v>
      </c>
      <c r="L61" s="132"/>
      <c r="M61" s="132">
        <v>1</v>
      </c>
      <c r="N61" s="132">
        <f t="shared" si="1"/>
        <v>0</v>
      </c>
      <c r="O61" s="132"/>
      <c r="P61" s="132">
        <v>1</v>
      </c>
      <c r="Q61" s="132">
        <f t="shared" si="5"/>
        <v>0</v>
      </c>
      <c r="R61" s="132"/>
      <c r="S61" s="132">
        <v>1</v>
      </c>
      <c r="T61" s="132">
        <f t="shared" si="2"/>
        <v>0</v>
      </c>
      <c r="U61" s="130"/>
      <c r="V61" s="126">
        <f t="shared" si="3"/>
        <v>0</v>
      </c>
      <c r="W61" s="92">
        <f t="shared" si="4"/>
        <v>0</v>
      </c>
      <c r="X61" s="113"/>
      <c r="Y61" s="210"/>
      <c r="Z61" s="94"/>
      <c r="AA61" s="95"/>
    </row>
    <row r="62" spans="1:27" s="104" customFormat="1" ht="15" customHeight="1" thickBot="1" x14ac:dyDescent="0.3">
      <c r="A62" s="197">
        <v>34</v>
      </c>
      <c r="B62" s="198"/>
      <c r="C62" s="199"/>
      <c r="D62" s="200"/>
      <c r="E62" s="200"/>
      <c r="F62" s="201"/>
      <c r="G62" s="202"/>
      <c r="H62" s="202"/>
      <c r="I62" s="134"/>
      <c r="J62" s="130">
        <v>1</v>
      </c>
      <c r="K62" s="132">
        <f t="shared" si="0"/>
        <v>0</v>
      </c>
      <c r="L62" s="132"/>
      <c r="M62" s="132">
        <v>1</v>
      </c>
      <c r="N62" s="132">
        <f t="shared" si="1"/>
        <v>0</v>
      </c>
      <c r="O62" s="132"/>
      <c r="P62" s="132">
        <v>1</v>
      </c>
      <c r="Q62" s="132">
        <f t="shared" si="5"/>
        <v>0</v>
      </c>
      <c r="R62" s="132"/>
      <c r="S62" s="132">
        <v>1</v>
      </c>
      <c r="T62" s="132">
        <f t="shared" si="2"/>
        <v>0</v>
      </c>
      <c r="U62" s="134"/>
      <c r="V62" s="126">
        <f t="shared" si="3"/>
        <v>0</v>
      </c>
      <c r="W62" s="92">
        <f t="shared" si="4"/>
        <v>0</v>
      </c>
      <c r="X62" s="101"/>
      <c r="Y62" s="210"/>
      <c r="Z62" s="102"/>
      <c r="AA62" s="103"/>
    </row>
    <row r="63" spans="1:27" s="100" customFormat="1" ht="15" customHeight="1" thickBot="1" x14ac:dyDescent="0.3">
      <c r="A63" s="155">
        <v>35</v>
      </c>
      <c r="B63" s="156"/>
      <c r="C63" s="157"/>
      <c r="D63" s="158"/>
      <c r="E63" s="158"/>
      <c r="F63" s="159"/>
      <c r="G63" s="160"/>
      <c r="H63" s="160"/>
      <c r="I63" s="133"/>
      <c r="J63" s="130">
        <v>1</v>
      </c>
      <c r="K63" s="132">
        <f t="shared" si="0"/>
        <v>0</v>
      </c>
      <c r="L63" s="132"/>
      <c r="M63" s="132">
        <v>1</v>
      </c>
      <c r="N63" s="132">
        <f t="shared" si="1"/>
        <v>0</v>
      </c>
      <c r="O63" s="132"/>
      <c r="P63" s="132">
        <v>1</v>
      </c>
      <c r="Q63" s="132">
        <f t="shared" si="5"/>
        <v>0</v>
      </c>
      <c r="R63" s="132"/>
      <c r="S63" s="132">
        <v>1</v>
      </c>
      <c r="T63" s="132">
        <f t="shared" si="2"/>
        <v>0</v>
      </c>
      <c r="U63" s="133"/>
      <c r="V63" s="126">
        <f t="shared" si="3"/>
        <v>0</v>
      </c>
      <c r="W63" s="92">
        <f t="shared" si="4"/>
        <v>0</v>
      </c>
      <c r="X63" s="97"/>
      <c r="Y63" s="210"/>
      <c r="Z63" s="98"/>
      <c r="AA63" s="99"/>
    </row>
    <row r="64" spans="1:27" s="100" customFormat="1" ht="15" customHeight="1" thickBot="1" x14ac:dyDescent="0.3">
      <c r="A64" s="155">
        <v>36</v>
      </c>
      <c r="B64" s="174"/>
      <c r="C64" s="157"/>
      <c r="D64" s="158"/>
      <c r="E64" s="158"/>
      <c r="F64" s="189"/>
      <c r="G64" s="160"/>
      <c r="H64" s="160"/>
      <c r="I64" s="133"/>
      <c r="J64" s="130">
        <v>1</v>
      </c>
      <c r="K64" s="132">
        <f t="shared" si="0"/>
        <v>0</v>
      </c>
      <c r="L64" s="132"/>
      <c r="M64" s="132">
        <v>1</v>
      </c>
      <c r="N64" s="132">
        <f t="shared" si="1"/>
        <v>0</v>
      </c>
      <c r="O64" s="132"/>
      <c r="P64" s="132">
        <v>1</v>
      </c>
      <c r="Q64" s="132">
        <f t="shared" si="5"/>
        <v>0</v>
      </c>
      <c r="R64" s="132"/>
      <c r="S64" s="132">
        <v>1</v>
      </c>
      <c r="T64" s="132">
        <f t="shared" si="2"/>
        <v>0</v>
      </c>
      <c r="U64" s="133"/>
      <c r="V64" s="126">
        <f t="shared" si="3"/>
        <v>0</v>
      </c>
      <c r="W64" s="92">
        <f t="shared" si="4"/>
        <v>0</v>
      </c>
      <c r="X64" s="97"/>
      <c r="Y64" s="210"/>
      <c r="Z64" s="98"/>
      <c r="AA64" s="99"/>
    </row>
    <row r="65" spans="1:27" s="91" customFormat="1" ht="14.4" customHeight="1" thickBot="1" x14ac:dyDescent="0.3">
      <c r="A65" s="143">
        <v>38</v>
      </c>
      <c r="B65" s="185"/>
      <c r="C65" s="145"/>
      <c r="D65" s="146"/>
      <c r="E65" s="146"/>
      <c r="F65" s="187"/>
      <c r="G65" s="148"/>
      <c r="H65" s="148"/>
      <c r="I65" s="131"/>
      <c r="J65" s="130">
        <v>1</v>
      </c>
      <c r="K65" s="132">
        <f t="shared" si="0"/>
        <v>0</v>
      </c>
      <c r="L65" s="132"/>
      <c r="M65" s="132">
        <v>1</v>
      </c>
      <c r="N65" s="132">
        <f t="shared" si="1"/>
        <v>0</v>
      </c>
      <c r="O65" s="132"/>
      <c r="P65" s="132">
        <v>1</v>
      </c>
      <c r="Q65" s="132">
        <f t="shared" si="5"/>
        <v>0</v>
      </c>
      <c r="R65" s="132"/>
      <c r="S65" s="132">
        <v>1</v>
      </c>
      <c r="T65" s="132">
        <f t="shared" si="2"/>
        <v>0</v>
      </c>
      <c r="U65" s="131"/>
      <c r="V65" s="126">
        <f t="shared" si="3"/>
        <v>0</v>
      </c>
      <c r="W65" s="92">
        <f t="shared" si="4"/>
        <v>0</v>
      </c>
      <c r="X65" s="113"/>
      <c r="Y65" s="210"/>
      <c r="Z65" s="89"/>
      <c r="AA65" s="90"/>
    </row>
    <row r="66" spans="1:27" ht="14.4" customHeight="1" thickBot="1" x14ac:dyDescent="0.3">
      <c r="A66" s="149">
        <v>38</v>
      </c>
      <c r="J66" s="130">
        <v>1</v>
      </c>
      <c r="K66" s="132">
        <f t="shared" ref="K66:K129" si="6">I66/J66</f>
        <v>0</v>
      </c>
      <c r="M66" s="132">
        <v>1</v>
      </c>
      <c r="N66" s="132">
        <f t="shared" ref="N66:N129" si="7">L66/M66</f>
        <v>0</v>
      </c>
      <c r="P66" s="132">
        <v>1</v>
      </c>
      <c r="Q66" s="132">
        <f t="shared" si="5"/>
        <v>0</v>
      </c>
      <c r="S66" s="132">
        <v>1</v>
      </c>
      <c r="T66" s="132">
        <f t="shared" ref="T66:T129" si="8">R66/S66</f>
        <v>0</v>
      </c>
      <c r="V66" s="126">
        <f t="shared" ref="V66:V129" si="9">D66+E66-G66-I66/J66-L66/M66-O66/P66-R66/S66</f>
        <v>0</v>
      </c>
      <c r="W66" s="92">
        <f t="shared" ref="W66:W129" si="10">G66+I66/J66+L66/M66+O66/P66+R66/S66</f>
        <v>0</v>
      </c>
      <c r="X66" s="113"/>
      <c r="Y66" s="210"/>
    </row>
    <row r="67" spans="1:27" s="96" customFormat="1" ht="15" customHeight="1" thickBot="1" x14ac:dyDescent="0.3">
      <c r="A67" s="137">
        <v>38</v>
      </c>
      <c r="B67" s="186"/>
      <c r="C67" s="139"/>
      <c r="D67" s="140"/>
      <c r="E67" s="140"/>
      <c r="F67" s="188"/>
      <c r="G67" s="142"/>
      <c r="H67" s="142"/>
      <c r="I67" s="130"/>
      <c r="J67" s="130">
        <v>1</v>
      </c>
      <c r="K67" s="132">
        <f t="shared" si="6"/>
        <v>0</v>
      </c>
      <c r="L67" s="132"/>
      <c r="M67" s="132">
        <v>1</v>
      </c>
      <c r="N67" s="132">
        <f t="shared" si="7"/>
        <v>0</v>
      </c>
      <c r="O67" s="132"/>
      <c r="P67" s="132">
        <v>1</v>
      </c>
      <c r="Q67" s="132">
        <f t="shared" ref="Q67:Q130" si="11">O67/P67</f>
        <v>0</v>
      </c>
      <c r="R67" s="132"/>
      <c r="S67" s="132">
        <v>1</v>
      </c>
      <c r="T67" s="132">
        <f t="shared" si="8"/>
        <v>0</v>
      </c>
      <c r="U67" s="130"/>
      <c r="V67" s="126">
        <f t="shared" si="9"/>
        <v>0</v>
      </c>
      <c r="W67" s="92">
        <f t="shared" si="10"/>
        <v>0</v>
      </c>
      <c r="X67" s="113"/>
      <c r="Y67" s="210"/>
      <c r="Z67" s="94"/>
      <c r="AA67" s="95"/>
    </row>
    <row r="68" spans="1:27" s="91" customFormat="1" ht="14.4" customHeight="1" thickBot="1" x14ac:dyDescent="0.3">
      <c r="A68" s="143">
        <v>39</v>
      </c>
      <c r="B68" s="185"/>
      <c r="C68" s="145"/>
      <c r="D68" s="146"/>
      <c r="E68" s="146"/>
      <c r="F68" s="147"/>
      <c r="G68" s="148"/>
      <c r="H68" s="148"/>
      <c r="I68" s="131"/>
      <c r="J68" s="130">
        <v>1</v>
      </c>
      <c r="K68" s="132">
        <f t="shared" si="6"/>
        <v>0</v>
      </c>
      <c r="L68" s="132"/>
      <c r="M68" s="132">
        <v>1</v>
      </c>
      <c r="N68" s="132">
        <f t="shared" si="7"/>
        <v>0</v>
      </c>
      <c r="O68" s="132"/>
      <c r="P68" s="132">
        <v>1</v>
      </c>
      <c r="Q68" s="132">
        <f t="shared" si="11"/>
        <v>0</v>
      </c>
      <c r="R68" s="132"/>
      <c r="S68" s="132">
        <v>1</v>
      </c>
      <c r="T68" s="132">
        <f t="shared" si="8"/>
        <v>0</v>
      </c>
      <c r="U68" s="131"/>
      <c r="V68" s="126">
        <f t="shared" si="9"/>
        <v>0</v>
      </c>
      <c r="W68" s="92">
        <f t="shared" si="10"/>
        <v>0</v>
      </c>
      <c r="X68" s="113"/>
      <c r="Y68" s="210"/>
      <c r="Z68" s="85"/>
      <c r="AA68" s="85"/>
    </row>
    <row r="69" spans="1:27" s="96" customFormat="1" ht="15" customHeight="1" thickBot="1" x14ac:dyDescent="0.3">
      <c r="A69" s="137">
        <v>39</v>
      </c>
      <c r="B69" s="186"/>
      <c r="C69" s="139"/>
      <c r="D69" s="140"/>
      <c r="E69" s="140"/>
      <c r="F69" s="141"/>
      <c r="G69" s="142"/>
      <c r="H69" s="142"/>
      <c r="I69" s="130"/>
      <c r="J69" s="130">
        <v>1</v>
      </c>
      <c r="K69" s="132">
        <f t="shared" si="6"/>
        <v>0</v>
      </c>
      <c r="L69" s="132"/>
      <c r="M69" s="132">
        <v>1</v>
      </c>
      <c r="N69" s="132">
        <f t="shared" si="7"/>
        <v>0</v>
      </c>
      <c r="O69" s="132"/>
      <c r="P69" s="132">
        <v>1</v>
      </c>
      <c r="Q69" s="132">
        <f t="shared" si="11"/>
        <v>0</v>
      </c>
      <c r="R69" s="132"/>
      <c r="S69" s="132">
        <v>1</v>
      </c>
      <c r="T69" s="132">
        <f t="shared" si="8"/>
        <v>0</v>
      </c>
      <c r="U69" s="130"/>
      <c r="V69" s="126">
        <f t="shared" si="9"/>
        <v>0</v>
      </c>
      <c r="W69" s="92">
        <f t="shared" si="10"/>
        <v>0</v>
      </c>
      <c r="X69" s="113"/>
      <c r="Y69" s="210"/>
      <c r="Z69" s="85"/>
      <c r="AA69" s="85"/>
    </row>
    <row r="70" spans="1:27" s="91" customFormat="1" ht="14.4" customHeight="1" thickBot="1" x14ac:dyDescent="0.3">
      <c r="A70" s="143">
        <v>40</v>
      </c>
      <c r="B70" s="185"/>
      <c r="C70" s="145"/>
      <c r="D70" s="146"/>
      <c r="E70" s="146"/>
      <c r="F70" s="147"/>
      <c r="G70" s="148"/>
      <c r="H70" s="148"/>
      <c r="I70" s="131"/>
      <c r="J70" s="130">
        <v>1</v>
      </c>
      <c r="K70" s="132">
        <f t="shared" si="6"/>
        <v>0</v>
      </c>
      <c r="L70" s="132"/>
      <c r="M70" s="132">
        <v>1</v>
      </c>
      <c r="N70" s="132">
        <f t="shared" si="7"/>
        <v>0</v>
      </c>
      <c r="O70" s="132"/>
      <c r="P70" s="132">
        <v>1</v>
      </c>
      <c r="Q70" s="132">
        <f t="shared" si="11"/>
        <v>0</v>
      </c>
      <c r="R70" s="132"/>
      <c r="S70" s="132">
        <v>1</v>
      </c>
      <c r="T70" s="132">
        <f t="shared" si="8"/>
        <v>0</v>
      </c>
      <c r="U70" s="131"/>
      <c r="V70" s="126">
        <f t="shared" si="9"/>
        <v>0</v>
      </c>
      <c r="W70" s="92">
        <f t="shared" si="10"/>
        <v>0</v>
      </c>
      <c r="X70" s="113"/>
      <c r="Y70" s="210"/>
      <c r="Z70" s="89"/>
      <c r="AA70" s="90"/>
    </row>
    <row r="71" spans="1:27" s="96" customFormat="1" ht="15" customHeight="1" thickBot="1" x14ac:dyDescent="0.3">
      <c r="A71" s="137">
        <v>40</v>
      </c>
      <c r="B71" s="186"/>
      <c r="C71" s="139"/>
      <c r="D71" s="140"/>
      <c r="E71" s="140"/>
      <c r="F71" s="141"/>
      <c r="G71" s="142"/>
      <c r="H71" s="142"/>
      <c r="I71" s="130"/>
      <c r="J71" s="130">
        <v>1</v>
      </c>
      <c r="K71" s="132">
        <f t="shared" si="6"/>
        <v>0</v>
      </c>
      <c r="L71" s="132"/>
      <c r="M71" s="132">
        <v>1</v>
      </c>
      <c r="N71" s="132">
        <f t="shared" si="7"/>
        <v>0</v>
      </c>
      <c r="O71" s="132"/>
      <c r="P71" s="132">
        <v>1</v>
      </c>
      <c r="Q71" s="132">
        <f t="shared" si="11"/>
        <v>0</v>
      </c>
      <c r="R71" s="132"/>
      <c r="S71" s="132">
        <v>1</v>
      </c>
      <c r="T71" s="132">
        <f t="shared" si="8"/>
        <v>0</v>
      </c>
      <c r="U71" s="130"/>
      <c r="V71" s="126">
        <f t="shared" si="9"/>
        <v>0</v>
      </c>
      <c r="W71" s="92">
        <f t="shared" si="10"/>
        <v>0</v>
      </c>
      <c r="X71" s="113"/>
      <c r="Y71" s="210"/>
      <c r="Z71" s="94"/>
      <c r="AA71" s="95"/>
    </row>
    <row r="72" spans="1:27" s="104" customFormat="1" ht="15" customHeight="1" thickBot="1" x14ac:dyDescent="0.3">
      <c r="A72" s="197">
        <v>41</v>
      </c>
      <c r="B72" s="198"/>
      <c r="C72" s="199"/>
      <c r="D72" s="200"/>
      <c r="E72" s="200"/>
      <c r="F72" s="203"/>
      <c r="G72" s="202"/>
      <c r="H72" s="202"/>
      <c r="I72" s="134"/>
      <c r="J72" s="130">
        <v>1</v>
      </c>
      <c r="K72" s="132">
        <f t="shared" si="6"/>
        <v>0</v>
      </c>
      <c r="L72" s="132"/>
      <c r="M72" s="132">
        <v>1</v>
      </c>
      <c r="N72" s="132">
        <f t="shared" si="7"/>
        <v>0</v>
      </c>
      <c r="O72" s="132"/>
      <c r="P72" s="132">
        <v>1</v>
      </c>
      <c r="Q72" s="132">
        <f t="shared" si="11"/>
        <v>0</v>
      </c>
      <c r="R72" s="132"/>
      <c r="S72" s="132">
        <v>1</v>
      </c>
      <c r="T72" s="132">
        <f t="shared" si="8"/>
        <v>0</v>
      </c>
      <c r="U72" s="134"/>
      <c r="V72" s="126">
        <f t="shared" si="9"/>
        <v>0</v>
      </c>
      <c r="W72" s="92">
        <f t="shared" si="10"/>
        <v>0</v>
      </c>
      <c r="X72" s="101"/>
      <c r="Y72" s="210"/>
      <c r="Z72" s="102"/>
      <c r="AA72" s="103"/>
    </row>
    <row r="73" spans="1:27" s="100" customFormat="1" ht="15" customHeight="1" thickBot="1" x14ac:dyDescent="0.3">
      <c r="A73" s="155">
        <v>42</v>
      </c>
      <c r="B73" s="204"/>
      <c r="C73" s="158"/>
      <c r="D73" s="158"/>
      <c r="E73" s="158"/>
      <c r="F73" s="159"/>
      <c r="G73" s="160"/>
      <c r="H73" s="160"/>
      <c r="I73" s="133"/>
      <c r="J73" s="130">
        <v>1</v>
      </c>
      <c r="K73" s="132">
        <f t="shared" si="6"/>
        <v>0</v>
      </c>
      <c r="L73" s="132"/>
      <c r="M73" s="132">
        <v>1</v>
      </c>
      <c r="N73" s="132">
        <f t="shared" si="7"/>
        <v>0</v>
      </c>
      <c r="O73" s="132"/>
      <c r="P73" s="132">
        <v>1</v>
      </c>
      <c r="Q73" s="132">
        <f t="shared" si="11"/>
        <v>0</v>
      </c>
      <c r="R73" s="132"/>
      <c r="S73" s="132">
        <v>1</v>
      </c>
      <c r="T73" s="132">
        <f t="shared" si="8"/>
        <v>0</v>
      </c>
      <c r="U73" s="133"/>
      <c r="V73" s="126">
        <f t="shared" si="9"/>
        <v>0</v>
      </c>
      <c r="W73" s="92">
        <f t="shared" si="10"/>
        <v>0</v>
      </c>
      <c r="X73" s="97"/>
      <c r="Y73" s="210"/>
      <c r="Z73" s="98"/>
      <c r="AA73" s="99"/>
    </row>
    <row r="74" spans="1:27" s="100" customFormat="1" ht="15" customHeight="1" thickBot="1" x14ac:dyDescent="0.3">
      <c r="A74" s="155">
        <v>43</v>
      </c>
      <c r="B74" s="156"/>
      <c r="C74" s="157"/>
      <c r="D74" s="158"/>
      <c r="E74" s="158"/>
      <c r="F74" s="159"/>
      <c r="G74" s="160"/>
      <c r="H74" s="160"/>
      <c r="I74" s="133"/>
      <c r="J74" s="130">
        <v>1</v>
      </c>
      <c r="K74" s="132">
        <f t="shared" si="6"/>
        <v>0</v>
      </c>
      <c r="L74" s="132"/>
      <c r="M74" s="132">
        <v>1</v>
      </c>
      <c r="N74" s="132">
        <f t="shared" si="7"/>
        <v>0</v>
      </c>
      <c r="O74" s="132"/>
      <c r="P74" s="132">
        <v>1</v>
      </c>
      <c r="Q74" s="132">
        <f t="shared" si="11"/>
        <v>0</v>
      </c>
      <c r="R74" s="132"/>
      <c r="S74" s="132">
        <v>1</v>
      </c>
      <c r="T74" s="132">
        <f t="shared" si="8"/>
        <v>0</v>
      </c>
      <c r="U74" s="133"/>
      <c r="V74" s="126">
        <f t="shared" si="9"/>
        <v>0</v>
      </c>
      <c r="W74" s="92">
        <f t="shared" si="10"/>
        <v>0</v>
      </c>
      <c r="X74" s="97"/>
      <c r="Y74" s="210"/>
      <c r="Z74" s="98"/>
      <c r="AA74" s="99"/>
    </row>
    <row r="75" spans="1:27" s="100" customFormat="1" ht="15" customHeight="1" thickBot="1" x14ac:dyDescent="0.3">
      <c r="A75" s="155">
        <v>44</v>
      </c>
      <c r="B75" s="174"/>
      <c r="C75" s="157"/>
      <c r="D75" s="158"/>
      <c r="E75" s="158"/>
      <c r="F75" s="189"/>
      <c r="G75" s="160"/>
      <c r="H75" s="160"/>
      <c r="I75" s="133"/>
      <c r="J75" s="130">
        <v>1</v>
      </c>
      <c r="K75" s="132">
        <f t="shared" si="6"/>
        <v>0</v>
      </c>
      <c r="L75" s="132"/>
      <c r="M75" s="132">
        <v>1</v>
      </c>
      <c r="N75" s="132">
        <f t="shared" si="7"/>
        <v>0</v>
      </c>
      <c r="O75" s="132"/>
      <c r="P75" s="132">
        <v>1</v>
      </c>
      <c r="Q75" s="132">
        <f t="shared" si="11"/>
        <v>0</v>
      </c>
      <c r="R75" s="132"/>
      <c r="S75" s="132">
        <v>1</v>
      </c>
      <c r="T75" s="132">
        <f t="shared" si="8"/>
        <v>0</v>
      </c>
      <c r="U75" s="133"/>
      <c r="V75" s="126">
        <f t="shared" si="9"/>
        <v>0</v>
      </c>
      <c r="W75" s="92">
        <f t="shared" si="10"/>
        <v>0</v>
      </c>
      <c r="X75" s="97"/>
      <c r="Y75" s="210"/>
      <c r="Z75" s="98"/>
      <c r="AA75" s="99"/>
    </row>
    <row r="76" spans="1:27" s="100" customFormat="1" ht="15" customHeight="1" thickBot="1" x14ac:dyDescent="0.3">
      <c r="A76" s="155">
        <v>45</v>
      </c>
      <c r="B76" s="174"/>
      <c r="C76" s="157"/>
      <c r="D76" s="158"/>
      <c r="E76" s="158"/>
      <c r="F76" s="159"/>
      <c r="G76" s="160"/>
      <c r="H76" s="160"/>
      <c r="I76" s="133"/>
      <c r="J76" s="130">
        <v>1</v>
      </c>
      <c r="K76" s="132">
        <f t="shared" si="6"/>
        <v>0</v>
      </c>
      <c r="L76" s="132"/>
      <c r="M76" s="132">
        <v>1</v>
      </c>
      <c r="N76" s="132">
        <f t="shared" si="7"/>
        <v>0</v>
      </c>
      <c r="O76" s="132"/>
      <c r="P76" s="132">
        <v>1</v>
      </c>
      <c r="Q76" s="132">
        <f t="shared" si="11"/>
        <v>0</v>
      </c>
      <c r="R76" s="132"/>
      <c r="S76" s="132">
        <v>1</v>
      </c>
      <c r="T76" s="132">
        <f t="shared" si="8"/>
        <v>0</v>
      </c>
      <c r="U76" s="133"/>
      <c r="V76" s="126">
        <f t="shared" si="9"/>
        <v>0</v>
      </c>
      <c r="W76" s="92">
        <f t="shared" si="10"/>
        <v>0</v>
      </c>
      <c r="X76" s="97"/>
      <c r="Y76" s="210"/>
      <c r="Z76" s="98"/>
      <c r="AA76" s="99"/>
    </row>
    <row r="77" spans="1:27" s="100" customFormat="1" ht="15" customHeight="1" thickBot="1" x14ac:dyDescent="0.3">
      <c r="A77" s="155">
        <v>46</v>
      </c>
      <c r="B77" s="174"/>
      <c r="C77" s="157"/>
      <c r="D77" s="158"/>
      <c r="E77" s="158"/>
      <c r="F77" s="189"/>
      <c r="G77" s="160"/>
      <c r="H77" s="160"/>
      <c r="I77" s="133"/>
      <c r="J77" s="130">
        <v>1</v>
      </c>
      <c r="K77" s="132">
        <f t="shared" si="6"/>
        <v>0</v>
      </c>
      <c r="L77" s="132"/>
      <c r="M77" s="132">
        <v>1</v>
      </c>
      <c r="N77" s="132">
        <f t="shared" si="7"/>
        <v>0</v>
      </c>
      <c r="O77" s="132"/>
      <c r="P77" s="132">
        <v>1</v>
      </c>
      <c r="Q77" s="132">
        <f t="shared" si="11"/>
        <v>0</v>
      </c>
      <c r="R77" s="132"/>
      <c r="S77" s="132">
        <v>1</v>
      </c>
      <c r="T77" s="132">
        <f t="shared" si="8"/>
        <v>0</v>
      </c>
      <c r="U77" s="133"/>
      <c r="V77" s="126">
        <f t="shared" si="9"/>
        <v>0</v>
      </c>
      <c r="W77" s="92">
        <f t="shared" si="10"/>
        <v>0</v>
      </c>
      <c r="X77" s="97"/>
      <c r="Y77" s="210"/>
      <c r="Z77" s="98"/>
      <c r="AA77" s="99"/>
    </row>
    <row r="78" spans="1:27" s="91" customFormat="1" ht="14.4" customHeight="1" thickBot="1" x14ac:dyDescent="0.3">
      <c r="A78" s="143">
        <v>47</v>
      </c>
      <c r="B78" s="165"/>
      <c r="C78" s="145"/>
      <c r="D78" s="146"/>
      <c r="E78" s="146"/>
      <c r="F78" s="187"/>
      <c r="G78" s="148"/>
      <c r="H78" s="148"/>
      <c r="I78" s="131"/>
      <c r="J78" s="130">
        <v>1</v>
      </c>
      <c r="K78" s="132">
        <f t="shared" si="6"/>
        <v>0</v>
      </c>
      <c r="L78" s="132"/>
      <c r="M78" s="132">
        <v>1</v>
      </c>
      <c r="N78" s="132">
        <f t="shared" si="7"/>
        <v>0</v>
      </c>
      <c r="O78" s="132"/>
      <c r="P78" s="132">
        <v>1</v>
      </c>
      <c r="Q78" s="132">
        <f t="shared" si="11"/>
        <v>0</v>
      </c>
      <c r="R78" s="132"/>
      <c r="S78" s="132">
        <v>1</v>
      </c>
      <c r="T78" s="132">
        <f t="shared" si="8"/>
        <v>0</v>
      </c>
      <c r="U78" s="131"/>
      <c r="V78" s="126">
        <f t="shared" si="9"/>
        <v>0</v>
      </c>
      <c r="W78" s="92">
        <f t="shared" si="10"/>
        <v>0</v>
      </c>
      <c r="X78" s="113"/>
      <c r="Y78" s="210"/>
      <c r="Z78" s="85"/>
      <c r="AA78" s="85"/>
    </row>
    <row r="79" spans="1:27" s="96" customFormat="1" ht="15" customHeight="1" thickBot="1" x14ac:dyDescent="0.3">
      <c r="A79" s="137">
        <v>47</v>
      </c>
      <c r="B79" s="168"/>
      <c r="C79" s="139"/>
      <c r="D79" s="140"/>
      <c r="E79" s="140"/>
      <c r="F79" s="188"/>
      <c r="G79" s="142"/>
      <c r="H79" s="142"/>
      <c r="I79" s="130"/>
      <c r="J79" s="130">
        <v>1</v>
      </c>
      <c r="K79" s="132">
        <f t="shared" si="6"/>
        <v>0</v>
      </c>
      <c r="L79" s="132"/>
      <c r="M79" s="132">
        <v>1</v>
      </c>
      <c r="N79" s="132">
        <f t="shared" si="7"/>
        <v>0</v>
      </c>
      <c r="O79" s="132"/>
      <c r="P79" s="132">
        <v>1</v>
      </c>
      <c r="Q79" s="132">
        <f t="shared" si="11"/>
        <v>0</v>
      </c>
      <c r="R79" s="132"/>
      <c r="S79" s="132">
        <v>1</v>
      </c>
      <c r="T79" s="132">
        <f t="shared" si="8"/>
        <v>0</v>
      </c>
      <c r="U79" s="130"/>
      <c r="V79" s="126">
        <f t="shared" si="9"/>
        <v>0</v>
      </c>
      <c r="W79" s="92">
        <f t="shared" si="10"/>
        <v>0</v>
      </c>
      <c r="X79" s="113"/>
      <c r="Y79" s="210"/>
      <c r="Z79" s="85"/>
      <c r="AA79" s="85"/>
    </row>
    <row r="80" spans="1:27" s="91" customFormat="1" ht="14.4" customHeight="1" thickBot="1" x14ac:dyDescent="0.3">
      <c r="A80" s="143">
        <v>48</v>
      </c>
      <c r="B80" s="178"/>
      <c r="C80" s="145"/>
      <c r="D80" s="146"/>
      <c r="E80" s="146"/>
      <c r="F80" s="187"/>
      <c r="G80" s="148"/>
      <c r="H80" s="148"/>
      <c r="I80" s="131"/>
      <c r="J80" s="130">
        <v>1</v>
      </c>
      <c r="K80" s="132">
        <f t="shared" si="6"/>
        <v>0</v>
      </c>
      <c r="L80" s="132"/>
      <c r="M80" s="132">
        <v>1</v>
      </c>
      <c r="N80" s="132">
        <f t="shared" si="7"/>
        <v>0</v>
      </c>
      <c r="O80" s="132"/>
      <c r="P80" s="132">
        <v>1</v>
      </c>
      <c r="Q80" s="132">
        <f t="shared" si="11"/>
        <v>0</v>
      </c>
      <c r="R80" s="132"/>
      <c r="S80" s="132">
        <v>1</v>
      </c>
      <c r="T80" s="132">
        <f t="shared" si="8"/>
        <v>0</v>
      </c>
      <c r="U80" s="131"/>
      <c r="V80" s="126">
        <f t="shared" si="9"/>
        <v>0</v>
      </c>
      <c r="W80" s="92">
        <f t="shared" si="10"/>
        <v>0</v>
      </c>
      <c r="X80" s="113"/>
      <c r="Y80" s="210"/>
      <c r="Z80" s="89"/>
      <c r="AA80" s="90"/>
    </row>
    <row r="81" spans="1:27" s="96" customFormat="1" ht="15" customHeight="1" thickBot="1" x14ac:dyDescent="0.3">
      <c r="A81" s="137">
        <v>48</v>
      </c>
      <c r="B81" s="205"/>
      <c r="C81" s="139"/>
      <c r="D81" s="140"/>
      <c r="E81" s="140"/>
      <c r="F81" s="188"/>
      <c r="G81" s="142"/>
      <c r="H81" s="142"/>
      <c r="I81" s="130"/>
      <c r="J81" s="130">
        <v>1</v>
      </c>
      <c r="K81" s="132">
        <f t="shared" si="6"/>
        <v>0</v>
      </c>
      <c r="L81" s="132"/>
      <c r="M81" s="132">
        <v>1</v>
      </c>
      <c r="N81" s="132">
        <f t="shared" si="7"/>
        <v>0</v>
      </c>
      <c r="O81" s="132"/>
      <c r="P81" s="132">
        <v>1</v>
      </c>
      <c r="Q81" s="132">
        <f t="shared" si="11"/>
        <v>0</v>
      </c>
      <c r="R81" s="132"/>
      <c r="S81" s="132">
        <v>1</v>
      </c>
      <c r="T81" s="132">
        <f t="shared" si="8"/>
        <v>0</v>
      </c>
      <c r="U81" s="130"/>
      <c r="V81" s="126">
        <f t="shared" si="9"/>
        <v>0</v>
      </c>
      <c r="W81" s="92">
        <f t="shared" si="10"/>
        <v>0</v>
      </c>
      <c r="X81" s="113"/>
      <c r="Y81" s="210"/>
      <c r="Z81" s="94"/>
      <c r="AA81" s="95"/>
    </row>
    <row r="82" spans="1:27" s="91" customFormat="1" ht="14.4" customHeight="1" thickBot="1" x14ac:dyDescent="0.3">
      <c r="A82" s="143">
        <v>49</v>
      </c>
      <c r="B82" s="144"/>
      <c r="C82" s="145"/>
      <c r="D82" s="146"/>
      <c r="E82" s="146"/>
      <c r="F82" s="147"/>
      <c r="G82" s="148"/>
      <c r="H82" s="148"/>
      <c r="I82" s="131"/>
      <c r="J82" s="130">
        <v>1</v>
      </c>
      <c r="K82" s="132">
        <f t="shared" si="6"/>
        <v>0</v>
      </c>
      <c r="L82" s="132"/>
      <c r="M82" s="132">
        <v>1</v>
      </c>
      <c r="N82" s="132">
        <f t="shared" si="7"/>
        <v>0</v>
      </c>
      <c r="O82" s="132"/>
      <c r="P82" s="132">
        <v>1</v>
      </c>
      <c r="Q82" s="132">
        <f t="shared" si="11"/>
        <v>0</v>
      </c>
      <c r="R82" s="132"/>
      <c r="S82" s="132">
        <v>1</v>
      </c>
      <c r="T82" s="132">
        <f t="shared" si="8"/>
        <v>0</v>
      </c>
      <c r="U82" s="131"/>
      <c r="V82" s="126">
        <f t="shared" si="9"/>
        <v>0</v>
      </c>
      <c r="W82" s="92">
        <f t="shared" si="10"/>
        <v>0</v>
      </c>
      <c r="X82" s="113"/>
      <c r="Y82" s="210"/>
      <c r="Z82" s="254"/>
      <c r="AA82" s="255"/>
    </row>
    <row r="83" spans="1:27" s="96" customFormat="1" ht="15" customHeight="1" thickBot="1" x14ac:dyDescent="0.3">
      <c r="A83" s="137">
        <v>49</v>
      </c>
      <c r="B83" s="186"/>
      <c r="C83" s="139"/>
      <c r="D83" s="140"/>
      <c r="E83" s="140"/>
      <c r="F83" s="141"/>
      <c r="G83" s="142"/>
      <c r="H83" s="142"/>
      <c r="I83" s="130"/>
      <c r="J83" s="130">
        <v>1</v>
      </c>
      <c r="K83" s="132">
        <f t="shared" si="6"/>
        <v>0</v>
      </c>
      <c r="L83" s="132"/>
      <c r="M83" s="132">
        <v>1</v>
      </c>
      <c r="N83" s="132">
        <f t="shared" si="7"/>
        <v>0</v>
      </c>
      <c r="O83" s="132"/>
      <c r="P83" s="132">
        <v>1</v>
      </c>
      <c r="Q83" s="132">
        <f t="shared" si="11"/>
        <v>0</v>
      </c>
      <c r="R83" s="132"/>
      <c r="S83" s="132">
        <v>1</v>
      </c>
      <c r="T83" s="132">
        <f t="shared" si="8"/>
        <v>0</v>
      </c>
      <c r="U83" s="130"/>
      <c r="V83" s="126">
        <f t="shared" si="9"/>
        <v>0</v>
      </c>
      <c r="W83" s="92">
        <f t="shared" si="10"/>
        <v>0</v>
      </c>
      <c r="X83" s="113"/>
      <c r="Y83" s="210"/>
      <c r="Z83" s="254"/>
      <c r="AA83" s="255"/>
    </row>
    <row r="84" spans="1:27" s="91" customFormat="1" ht="14.4" customHeight="1" thickBot="1" x14ac:dyDescent="0.3">
      <c r="A84" s="143">
        <v>50</v>
      </c>
      <c r="B84" s="185"/>
      <c r="C84" s="145"/>
      <c r="D84" s="146"/>
      <c r="E84" s="146"/>
      <c r="F84" s="187"/>
      <c r="G84" s="148"/>
      <c r="H84" s="148"/>
      <c r="I84" s="131"/>
      <c r="J84" s="130">
        <v>1</v>
      </c>
      <c r="K84" s="132">
        <f t="shared" si="6"/>
        <v>0</v>
      </c>
      <c r="L84" s="132"/>
      <c r="M84" s="132">
        <v>1</v>
      </c>
      <c r="N84" s="132">
        <f t="shared" si="7"/>
        <v>0</v>
      </c>
      <c r="O84" s="132"/>
      <c r="P84" s="132">
        <v>1</v>
      </c>
      <c r="Q84" s="132">
        <f t="shared" si="11"/>
        <v>0</v>
      </c>
      <c r="R84" s="132"/>
      <c r="S84" s="132">
        <v>1</v>
      </c>
      <c r="T84" s="132">
        <f t="shared" si="8"/>
        <v>0</v>
      </c>
      <c r="U84" s="131"/>
      <c r="V84" s="126">
        <f t="shared" si="9"/>
        <v>0</v>
      </c>
      <c r="W84" s="92">
        <f t="shared" si="10"/>
        <v>0</v>
      </c>
      <c r="X84" s="113"/>
      <c r="Y84" s="210"/>
      <c r="Z84" s="89"/>
      <c r="AA84" s="90"/>
    </row>
    <row r="85" spans="1:27" ht="14.4" customHeight="1" thickBot="1" x14ac:dyDescent="0.3">
      <c r="A85" s="149">
        <v>50</v>
      </c>
      <c r="J85" s="130">
        <v>1</v>
      </c>
      <c r="K85" s="132">
        <f t="shared" si="6"/>
        <v>0</v>
      </c>
      <c r="M85" s="132">
        <v>1</v>
      </c>
      <c r="N85" s="132">
        <f t="shared" si="7"/>
        <v>0</v>
      </c>
      <c r="P85" s="132">
        <v>1</v>
      </c>
      <c r="Q85" s="132">
        <f t="shared" si="11"/>
        <v>0</v>
      </c>
      <c r="S85" s="132">
        <v>1</v>
      </c>
      <c r="T85" s="132">
        <f t="shared" si="8"/>
        <v>0</v>
      </c>
      <c r="V85" s="126">
        <f t="shared" si="9"/>
        <v>0</v>
      </c>
      <c r="W85" s="92">
        <f t="shared" si="10"/>
        <v>0</v>
      </c>
      <c r="X85" s="113"/>
      <c r="Y85" s="210"/>
    </row>
    <row r="86" spans="1:27" ht="14.4" customHeight="1" thickBot="1" x14ac:dyDescent="0.3">
      <c r="A86" s="149">
        <v>50</v>
      </c>
      <c r="J86" s="130">
        <v>1</v>
      </c>
      <c r="K86" s="132">
        <f t="shared" si="6"/>
        <v>0</v>
      </c>
      <c r="M86" s="132">
        <v>1</v>
      </c>
      <c r="N86" s="132">
        <f t="shared" si="7"/>
        <v>0</v>
      </c>
      <c r="P86" s="132">
        <v>1</v>
      </c>
      <c r="Q86" s="132">
        <f t="shared" si="11"/>
        <v>0</v>
      </c>
      <c r="S86" s="132">
        <v>1</v>
      </c>
      <c r="T86" s="132">
        <f t="shared" si="8"/>
        <v>0</v>
      </c>
      <c r="V86" s="126">
        <f t="shared" si="9"/>
        <v>0</v>
      </c>
      <c r="W86" s="92">
        <f t="shared" si="10"/>
        <v>0</v>
      </c>
      <c r="X86" s="113"/>
      <c r="Y86" s="210"/>
    </row>
    <row r="87" spans="1:27" s="96" customFormat="1" ht="15" customHeight="1" thickBot="1" x14ac:dyDescent="0.3">
      <c r="A87" s="137">
        <v>50</v>
      </c>
      <c r="B87" s="186"/>
      <c r="C87" s="139"/>
      <c r="D87" s="140"/>
      <c r="E87" s="140"/>
      <c r="F87" s="188"/>
      <c r="G87" s="142"/>
      <c r="H87" s="142"/>
      <c r="I87" s="130"/>
      <c r="J87" s="130">
        <v>1</v>
      </c>
      <c r="K87" s="132">
        <f t="shared" si="6"/>
        <v>0</v>
      </c>
      <c r="L87" s="132"/>
      <c r="M87" s="132">
        <v>1</v>
      </c>
      <c r="N87" s="132">
        <f t="shared" si="7"/>
        <v>0</v>
      </c>
      <c r="O87" s="132"/>
      <c r="P87" s="132">
        <v>1</v>
      </c>
      <c r="Q87" s="132">
        <f t="shared" si="11"/>
        <v>0</v>
      </c>
      <c r="R87" s="132"/>
      <c r="S87" s="132">
        <v>1</v>
      </c>
      <c r="T87" s="132">
        <f t="shared" si="8"/>
        <v>0</v>
      </c>
      <c r="U87" s="130"/>
      <c r="V87" s="126">
        <f t="shared" si="9"/>
        <v>0</v>
      </c>
      <c r="W87" s="92">
        <f t="shared" si="10"/>
        <v>0</v>
      </c>
      <c r="X87" s="113"/>
      <c r="Y87" s="210"/>
      <c r="Z87" s="94"/>
      <c r="AA87" s="95"/>
    </row>
    <row r="88" spans="1:27" s="91" customFormat="1" ht="14.4" customHeight="1" thickBot="1" x14ac:dyDescent="0.3">
      <c r="A88" s="143">
        <v>51</v>
      </c>
      <c r="B88" s="144"/>
      <c r="C88" s="145"/>
      <c r="D88" s="146"/>
      <c r="E88" s="146"/>
      <c r="F88" s="147"/>
      <c r="G88" s="148"/>
      <c r="H88" s="148"/>
      <c r="I88" s="131"/>
      <c r="J88" s="130">
        <v>1</v>
      </c>
      <c r="K88" s="132">
        <f t="shared" si="6"/>
        <v>0</v>
      </c>
      <c r="L88" s="132"/>
      <c r="M88" s="132">
        <v>1</v>
      </c>
      <c r="N88" s="132">
        <f t="shared" si="7"/>
        <v>0</v>
      </c>
      <c r="O88" s="132"/>
      <c r="P88" s="132">
        <v>1</v>
      </c>
      <c r="Q88" s="132">
        <f t="shared" si="11"/>
        <v>0</v>
      </c>
      <c r="R88" s="132"/>
      <c r="S88" s="132">
        <v>1</v>
      </c>
      <c r="T88" s="132">
        <f t="shared" si="8"/>
        <v>0</v>
      </c>
      <c r="U88" s="131"/>
      <c r="V88" s="126">
        <f t="shared" si="9"/>
        <v>0</v>
      </c>
      <c r="W88" s="92">
        <f t="shared" si="10"/>
        <v>0</v>
      </c>
      <c r="X88" s="113"/>
      <c r="Y88" s="210"/>
      <c r="Z88" s="89"/>
      <c r="AA88" s="90"/>
    </row>
    <row r="89" spans="1:27" s="96" customFormat="1" ht="15" customHeight="1" thickBot="1" x14ac:dyDescent="0.3">
      <c r="A89" s="137">
        <v>51</v>
      </c>
      <c r="B89" s="138"/>
      <c r="C89" s="139"/>
      <c r="D89" s="140"/>
      <c r="E89" s="140"/>
      <c r="F89" s="141"/>
      <c r="G89" s="142"/>
      <c r="H89" s="142"/>
      <c r="I89" s="130"/>
      <c r="J89" s="130">
        <v>1</v>
      </c>
      <c r="K89" s="132">
        <f t="shared" si="6"/>
        <v>0</v>
      </c>
      <c r="L89" s="132"/>
      <c r="M89" s="132">
        <v>1</v>
      </c>
      <c r="N89" s="132">
        <f t="shared" si="7"/>
        <v>0</v>
      </c>
      <c r="O89" s="132"/>
      <c r="P89" s="132">
        <v>1</v>
      </c>
      <c r="Q89" s="132">
        <f t="shared" si="11"/>
        <v>0</v>
      </c>
      <c r="R89" s="132"/>
      <c r="S89" s="132">
        <v>1</v>
      </c>
      <c r="T89" s="132">
        <f t="shared" si="8"/>
        <v>0</v>
      </c>
      <c r="U89" s="130"/>
      <c r="V89" s="126">
        <f t="shared" si="9"/>
        <v>0</v>
      </c>
      <c r="W89" s="92">
        <f t="shared" si="10"/>
        <v>0</v>
      </c>
      <c r="X89" s="113"/>
      <c r="Y89" s="210"/>
      <c r="Z89" s="94"/>
      <c r="AA89" s="95"/>
    </row>
    <row r="90" spans="1:27" s="104" customFormat="1" ht="13.95" customHeight="1" thickBot="1" x14ac:dyDescent="0.3">
      <c r="A90" s="197">
        <v>52</v>
      </c>
      <c r="B90" s="206"/>
      <c r="C90" s="199"/>
      <c r="D90" s="200"/>
      <c r="E90" s="200"/>
      <c r="F90" s="203"/>
      <c r="G90" s="202"/>
      <c r="H90" s="202"/>
      <c r="I90" s="134"/>
      <c r="J90" s="130">
        <v>1</v>
      </c>
      <c r="K90" s="132">
        <f t="shared" si="6"/>
        <v>0</v>
      </c>
      <c r="L90" s="132"/>
      <c r="M90" s="132">
        <v>1</v>
      </c>
      <c r="N90" s="132">
        <f t="shared" si="7"/>
        <v>0</v>
      </c>
      <c r="O90" s="132"/>
      <c r="P90" s="132">
        <v>1</v>
      </c>
      <c r="Q90" s="132">
        <f t="shared" si="11"/>
        <v>0</v>
      </c>
      <c r="R90" s="132"/>
      <c r="S90" s="132">
        <v>1</v>
      </c>
      <c r="T90" s="132">
        <f t="shared" si="8"/>
        <v>0</v>
      </c>
      <c r="U90" s="134"/>
      <c r="V90" s="126">
        <f t="shared" si="9"/>
        <v>0</v>
      </c>
      <c r="W90" s="92">
        <f t="shared" si="10"/>
        <v>0</v>
      </c>
      <c r="X90" s="101"/>
      <c r="Y90" s="210"/>
      <c r="Z90" s="102"/>
      <c r="AA90" s="103"/>
    </row>
    <row r="91" spans="1:27" s="100" customFormat="1" ht="15" customHeight="1" thickBot="1" x14ac:dyDescent="0.3">
      <c r="A91" s="155">
        <v>53</v>
      </c>
      <c r="B91" s="174"/>
      <c r="C91" s="157"/>
      <c r="D91" s="158"/>
      <c r="E91" s="158"/>
      <c r="F91" s="189"/>
      <c r="G91" s="160"/>
      <c r="H91" s="160"/>
      <c r="I91" s="133"/>
      <c r="J91" s="130">
        <v>1</v>
      </c>
      <c r="K91" s="132">
        <f t="shared" si="6"/>
        <v>0</v>
      </c>
      <c r="L91" s="132"/>
      <c r="M91" s="132">
        <v>1</v>
      </c>
      <c r="N91" s="132">
        <f t="shared" si="7"/>
        <v>0</v>
      </c>
      <c r="O91" s="132"/>
      <c r="P91" s="132">
        <v>1</v>
      </c>
      <c r="Q91" s="132">
        <f t="shared" si="11"/>
        <v>0</v>
      </c>
      <c r="R91" s="132"/>
      <c r="S91" s="132">
        <v>1</v>
      </c>
      <c r="T91" s="132">
        <f t="shared" si="8"/>
        <v>0</v>
      </c>
      <c r="U91" s="133"/>
      <c r="V91" s="126">
        <f t="shared" si="9"/>
        <v>0</v>
      </c>
      <c r="W91" s="92">
        <f t="shared" si="10"/>
        <v>0</v>
      </c>
      <c r="X91" s="97"/>
      <c r="Y91" s="210"/>
      <c r="Z91" s="98"/>
      <c r="AA91" s="99"/>
    </row>
    <row r="92" spans="1:27" s="100" customFormat="1" ht="15" customHeight="1" thickBot="1" x14ac:dyDescent="0.3">
      <c r="A92" s="155">
        <v>54</v>
      </c>
      <c r="B92" s="174"/>
      <c r="C92" s="157"/>
      <c r="D92" s="158"/>
      <c r="E92" s="158"/>
      <c r="F92" s="189"/>
      <c r="G92" s="160"/>
      <c r="H92" s="160"/>
      <c r="I92" s="133"/>
      <c r="J92" s="130">
        <v>1</v>
      </c>
      <c r="K92" s="132">
        <f t="shared" si="6"/>
        <v>0</v>
      </c>
      <c r="L92" s="132"/>
      <c r="M92" s="132">
        <v>1</v>
      </c>
      <c r="N92" s="132">
        <f t="shared" si="7"/>
        <v>0</v>
      </c>
      <c r="O92" s="132"/>
      <c r="P92" s="132">
        <v>1</v>
      </c>
      <c r="Q92" s="132">
        <f t="shared" si="11"/>
        <v>0</v>
      </c>
      <c r="R92" s="132"/>
      <c r="S92" s="132">
        <v>1</v>
      </c>
      <c r="T92" s="132">
        <f t="shared" si="8"/>
        <v>0</v>
      </c>
      <c r="U92" s="133"/>
      <c r="V92" s="126">
        <f t="shared" si="9"/>
        <v>0</v>
      </c>
      <c r="W92" s="92">
        <f t="shared" si="10"/>
        <v>0</v>
      </c>
      <c r="X92" s="97"/>
      <c r="Y92" s="210"/>
      <c r="Z92" s="98"/>
      <c r="AA92" s="99"/>
    </row>
    <row r="93" spans="1:27" s="91" customFormat="1" ht="14.4" customHeight="1" thickBot="1" x14ac:dyDescent="0.3">
      <c r="A93" s="143">
        <v>55</v>
      </c>
      <c r="B93" s="144"/>
      <c r="C93" s="145"/>
      <c r="D93" s="146"/>
      <c r="E93" s="146"/>
      <c r="F93" s="187"/>
      <c r="G93" s="148"/>
      <c r="H93" s="148"/>
      <c r="I93" s="131"/>
      <c r="J93" s="130">
        <v>1</v>
      </c>
      <c r="K93" s="132">
        <f t="shared" si="6"/>
        <v>0</v>
      </c>
      <c r="L93" s="132"/>
      <c r="M93" s="132">
        <v>1</v>
      </c>
      <c r="N93" s="132">
        <f t="shared" si="7"/>
        <v>0</v>
      </c>
      <c r="O93" s="132"/>
      <c r="P93" s="132">
        <v>1</v>
      </c>
      <c r="Q93" s="132">
        <f t="shared" si="11"/>
        <v>0</v>
      </c>
      <c r="R93" s="132"/>
      <c r="S93" s="132">
        <v>1</v>
      </c>
      <c r="T93" s="132">
        <f t="shared" si="8"/>
        <v>0</v>
      </c>
      <c r="U93" s="131"/>
      <c r="V93" s="126">
        <f t="shared" si="9"/>
        <v>0</v>
      </c>
      <c r="W93" s="92">
        <f t="shared" si="10"/>
        <v>0</v>
      </c>
      <c r="X93" s="113"/>
      <c r="Y93" s="210"/>
      <c r="Z93" s="85"/>
      <c r="AA93" s="85"/>
    </row>
    <row r="94" spans="1:27" ht="14.4" customHeight="1" thickBot="1" x14ac:dyDescent="0.3">
      <c r="A94" s="149">
        <v>55</v>
      </c>
      <c r="B94" s="150"/>
      <c r="J94" s="130">
        <v>1</v>
      </c>
      <c r="K94" s="132">
        <f t="shared" si="6"/>
        <v>0</v>
      </c>
      <c r="M94" s="132">
        <v>1</v>
      </c>
      <c r="N94" s="132">
        <f t="shared" si="7"/>
        <v>0</v>
      </c>
      <c r="P94" s="132">
        <v>1</v>
      </c>
      <c r="Q94" s="132">
        <f t="shared" si="11"/>
        <v>0</v>
      </c>
      <c r="S94" s="132">
        <v>1</v>
      </c>
      <c r="T94" s="132">
        <f t="shared" si="8"/>
        <v>0</v>
      </c>
      <c r="V94" s="126">
        <f t="shared" si="9"/>
        <v>0</v>
      </c>
      <c r="W94" s="92">
        <f t="shared" si="10"/>
        <v>0</v>
      </c>
      <c r="X94" s="113"/>
      <c r="Y94" s="210"/>
      <c r="AA94" s="85"/>
    </row>
    <row r="95" spans="1:27" ht="14.4" customHeight="1" thickBot="1" x14ac:dyDescent="0.3">
      <c r="A95" s="149">
        <v>55</v>
      </c>
      <c r="B95" s="150"/>
      <c r="J95" s="130">
        <v>1</v>
      </c>
      <c r="K95" s="132">
        <f t="shared" si="6"/>
        <v>0</v>
      </c>
      <c r="M95" s="132">
        <v>1</v>
      </c>
      <c r="N95" s="132">
        <f t="shared" si="7"/>
        <v>0</v>
      </c>
      <c r="P95" s="132">
        <v>1</v>
      </c>
      <c r="Q95" s="132">
        <f t="shared" si="11"/>
        <v>0</v>
      </c>
      <c r="S95" s="132">
        <v>1</v>
      </c>
      <c r="T95" s="132">
        <f t="shared" si="8"/>
        <v>0</v>
      </c>
      <c r="V95" s="126">
        <f t="shared" si="9"/>
        <v>0</v>
      </c>
      <c r="W95" s="92">
        <f t="shared" si="10"/>
        <v>0</v>
      </c>
      <c r="X95" s="113"/>
      <c r="Y95" s="210"/>
      <c r="AA95" s="85"/>
    </row>
    <row r="96" spans="1:27" s="96" customFormat="1" ht="15" customHeight="1" thickBot="1" x14ac:dyDescent="0.3">
      <c r="A96" s="137">
        <v>55</v>
      </c>
      <c r="B96" s="186"/>
      <c r="C96" s="139"/>
      <c r="D96" s="140"/>
      <c r="E96" s="140"/>
      <c r="F96" s="188"/>
      <c r="G96" s="142"/>
      <c r="H96" s="142"/>
      <c r="I96" s="130"/>
      <c r="J96" s="130">
        <v>1</v>
      </c>
      <c r="K96" s="132">
        <f t="shared" si="6"/>
        <v>0</v>
      </c>
      <c r="L96" s="132"/>
      <c r="M96" s="132">
        <v>1</v>
      </c>
      <c r="N96" s="132">
        <f t="shared" si="7"/>
        <v>0</v>
      </c>
      <c r="O96" s="209"/>
      <c r="P96" s="132">
        <v>1</v>
      </c>
      <c r="Q96" s="132">
        <f t="shared" si="11"/>
        <v>0</v>
      </c>
      <c r="R96" s="132"/>
      <c r="S96" s="132">
        <v>1</v>
      </c>
      <c r="T96" s="132">
        <f t="shared" si="8"/>
        <v>0</v>
      </c>
      <c r="U96" s="130"/>
      <c r="V96" s="126">
        <f t="shared" si="9"/>
        <v>0</v>
      </c>
      <c r="W96" s="92">
        <f t="shared" si="10"/>
        <v>0</v>
      </c>
      <c r="X96" s="113"/>
      <c r="Y96" s="210"/>
      <c r="Z96" s="85"/>
      <c r="AA96" s="85"/>
    </row>
    <row r="97" spans="1:27" s="91" customFormat="1" ht="14.4" customHeight="1" thickBot="1" x14ac:dyDescent="0.3">
      <c r="A97" s="143">
        <v>56</v>
      </c>
      <c r="B97" s="185"/>
      <c r="C97" s="145"/>
      <c r="D97" s="146"/>
      <c r="E97" s="146"/>
      <c r="F97" s="187"/>
      <c r="G97" s="148"/>
      <c r="H97" s="148"/>
      <c r="I97" s="131"/>
      <c r="J97" s="130">
        <v>1</v>
      </c>
      <c r="K97" s="132">
        <f t="shared" si="6"/>
        <v>0</v>
      </c>
      <c r="L97" s="132"/>
      <c r="M97" s="132">
        <v>1</v>
      </c>
      <c r="N97" s="132">
        <f t="shared" si="7"/>
        <v>0</v>
      </c>
      <c r="O97" s="132"/>
      <c r="P97" s="132">
        <v>1</v>
      </c>
      <c r="Q97" s="132">
        <f t="shared" si="11"/>
        <v>0</v>
      </c>
      <c r="R97" s="132"/>
      <c r="S97" s="132">
        <v>1</v>
      </c>
      <c r="T97" s="132">
        <f t="shared" si="8"/>
        <v>0</v>
      </c>
      <c r="U97" s="131"/>
      <c r="V97" s="126">
        <f t="shared" si="9"/>
        <v>0</v>
      </c>
      <c r="W97" s="92">
        <f t="shared" si="10"/>
        <v>0</v>
      </c>
      <c r="X97" s="113"/>
      <c r="Y97" s="210"/>
      <c r="Z97" s="85"/>
      <c r="AA97" s="85"/>
    </row>
    <row r="98" spans="1:27" ht="14.4" customHeight="1" thickBot="1" x14ac:dyDescent="0.3">
      <c r="A98" s="149">
        <v>56</v>
      </c>
      <c r="J98" s="130">
        <v>1</v>
      </c>
      <c r="K98" s="132">
        <f t="shared" si="6"/>
        <v>0</v>
      </c>
      <c r="M98" s="132">
        <v>1</v>
      </c>
      <c r="N98" s="132">
        <f t="shared" si="7"/>
        <v>0</v>
      </c>
      <c r="P98" s="132">
        <v>1</v>
      </c>
      <c r="Q98" s="132">
        <f t="shared" si="11"/>
        <v>0</v>
      </c>
      <c r="S98" s="132">
        <v>1</v>
      </c>
      <c r="T98" s="132">
        <f t="shared" si="8"/>
        <v>0</v>
      </c>
      <c r="V98" s="126">
        <f t="shared" si="9"/>
        <v>0</v>
      </c>
      <c r="W98" s="92">
        <f t="shared" si="10"/>
        <v>0</v>
      </c>
      <c r="X98" s="113"/>
      <c r="Y98" s="210"/>
      <c r="AA98" s="85"/>
    </row>
    <row r="99" spans="1:27" ht="14.4" customHeight="1" thickBot="1" x14ac:dyDescent="0.3">
      <c r="A99" s="149">
        <v>56</v>
      </c>
      <c r="J99" s="130">
        <v>1</v>
      </c>
      <c r="K99" s="132">
        <f t="shared" si="6"/>
        <v>0</v>
      </c>
      <c r="M99" s="132">
        <v>1</v>
      </c>
      <c r="N99" s="132">
        <f t="shared" si="7"/>
        <v>0</v>
      </c>
      <c r="P99" s="132">
        <v>1</v>
      </c>
      <c r="Q99" s="132">
        <f t="shared" si="11"/>
        <v>0</v>
      </c>
      <c r="S99" s="132">
        <v>1</v>
      </c>
      <c r="T99" s="132">
        <f t="shared" si="8"/>
        <v>0</v>
      </c>
      <c r="V99" s="126">
        <f t="shared" si="9"/>
        <v>0</v>
      </c>
      <c r="W99" s="92">
        <f t="shared" si="10"/>
        <v>0</v>
      </c>
      <c r="X99" s="113"/>
      <c r="Y99" s="210"/>
      <c r="AA99" s="85"/>
    </row>
    <row r="100" spans="1:27" s="96" customFormat="1" ht="15" customHeight="1" thickBot="1" x14ac:dyDescent="0.3">
      <c r="A100" s="137">
        <v>56</v>
      </c>
      <c r="B100" s="186"/>
      <c r="C100" s="139"/>
      <c r="D100" s="140"/>
      <c r="E100" s="140"/>
      <c r="F100" s="188"/>
      <c r="G100" s="142"/>
      <c r="H100" s="142"/>
      <c r="I100" s="130"/>
      <c r="J100" s="130">
        <v>1</v>
      </c>
      <c r="K100" s="132">
        <f t="shared" si="6"/>
        <v>0</v>
      </c>
      <c r="L100" s="132"/>
      <c r="M100" s="132">
        <v>1</v>
      </c>
      <c r="N100" s="132">
        <f t="shared" si="7"/>
        <v>0</v>
      </c>
      <c r="O100" s="132"/>
      <c r="P100" s="132">
        <v>1</v>
      </c>
      <c r="Q100" s="132">
        <f t="shared" si="11"/>
        <v>0</v>
      </c>
      <c r="R100" s="132"/>
      <c r="S100" s="132">
        <v>1</v>
      </c>
      <c r="T100" s="132">
        <f t="shared" si="8"/>
        <v>0</v>
      </c>
      <c r="U100" s="130"/>
      <c r="V100" s="126">
        <f t="shared" si="9"/>
        <v>0</v>
      </c>
      <c r="W100" s="92">
        <f t="shared" si="10"/>
        <v>0</v>
      </c>
      <c r="X100" s="113"/>
      <c r="Y100" s="210"/>
      <c r="Z100" s="85"/>
      <c r="AA100" s="85"/>
    </row>
    <row r="101" spans="1:27" s="91" customFormat="1" ht="14.4" customHeight="1" thickBot="1" x14ac:dyDescent="0.3">
      <c r="A101" s="143">
        <v>57</v>
      </c>
      <c r="B101" s="185"/>
      <c r="C101" s="145"/>
      <c r="D101" s="146"/>
      <c r="E101" s="146"/>
      <c r="F101" s="187"/>
      <c r="G101" s="148"/>
      <c r="H101" s="148"/>
      <c r="I101" s="131"/>
      <c r="J101" s="130">
        <v>1</v>
      </c>
      <c r="K101" s="132">
        <f t="shared" si="6"/>
        <v>0</v>
      </c>
      <c r="L101" s="132"/>
      <c r="M101" s="132">
        <v>1</v>
      </c>
      <c r="N101" s="132">
        <f t="shared" si="7"/>
        <v>0</v>
      </c>
      <c r="O101" s="132"/>
      <c r="P101" s="132">
        <v>1</v>
      </c>
      <c r="Q101" s="132">
        <f t="shared" si="11"/>
        <v>0</v>
      </c>
      <c r="R101" s="132"/>
      <c r="S101" s="132">
        <v>1</v>
      </c>
      <c r="T101" s="132">
        <f t="shared" si="8"/>
        <v>0</v>
      </c>
      <c r="U101" s="131"/>
      <c r="V101" s="126">
        <f t="shared" si="9"/>
        <v>0</v>
      </c>
      <c r="W101" s="92">
        <f t="shared" si="10"/>
        <v>0</v>
      </c>
      <c r="X101" s="113"/>
      <c r="Y101" s="210"/>
      <c r="Z101" s="85"/>
      <c r="AA101" s="85"/>
    </row>
    <row r="102" spans="1:27" ht="14.4" customHeight="1" thickBot="1" x14ac:dyDescent="0.3">
      <c r="A102" s="149">
        <v>57</v>
      </c>
      <c r="J102" s="130">
        <v>1</v>
      </c>
      <c r="K102" s="132">
        <f t="shared" si="6"/>
        <v>0</v>
      </c>
      <c r="M102" s="132">
        <v>1</v>
      </c>
      <c r="N102" s="132">
        <f t="shared" si="7"/>
        <v>0</v>
      </c>
      <c r="P102" s="132">
        <v>1</v>
      </c>
      <c r="Q102" s="132">
        <f t="shared" si="11"/>
        <v>0</v>
      </c>
      <c r="S102" s="132">
        <v>1</v>
      </c>
      <c r="T102" s="132">
        <f t="shared" si="8"/>
        <v>0</v>
      </c>
      <c r="V102" s="126">
        <f t="shared" si="9"/>
        <v>0</v>
      </c>
      <c r="W102" s="92">
        <f t="shared" si="10"/>
        <v>0</v>
      </c>
      <c r="X102" s="113"/>
      <c r="Y102" s="210"/>
      <c r="AA102" s="85"/>
    </row>
    <row r="103" spans="1:27" s="96" customFormat="1" ht="15" customHeight="1" thickBot="1" x14ac:dyDescent="0.3">
      <c r="A103" s="137">
        <v>57</v>
      </c>
      <c r="B103" s="186"/>
      <c r="C103" s="139"/>
      <c r="D103" s="140"/>
      <c r="E103" s="140"/>
      <c r="F103" s="188"/>
      <c r="G103" s="142"/>
      <c r="H103" s="142"/>
      <c r="I103" s="130"/>
      <c r="J103" s="130">
        <v>1</v>
      </c>
      <c r="K103" s="132">
        <f t="shared" si="6"/>
        <v>0</v>
      </c>
      <c r="L103" s="132"/>
      <c r="M103" s="132">
        <v>1</v>
      </c>
      <c r="N103" s="132">
        <f t="shared" si="7"/>
        <v>0</v>
      </c>
      <c r="O103" s="132"/>
      <c r="P103" s="132">
        <v>1</v>
      </c>
      <c r="Q103" s="132">
        <f t="shared" si="11"/>
        <v>0</v>
      </c>
      <c r="R103" s="132"/>
      <c r="S103" s="132">
        <v>1</v>
      </c>
      <c r="T103" s="132">
        <f t="shared" si="8"/>
        <v>0</v>
      </c>
      <c r="U103" s="130"/>
      <c r="V103" s="126">
        <f t="shared" si="9"/>
        <v>0</v>
      </c>
      <c r="W103" s="92">
        <f t="shared" si="10"/>
        <v>0</v>
      </c>
      <c r="X103" s="113"/>
      <c r="Y103" s="210"/>
      <c r="Z103" s="85"/>
      <c r="AA103" s="85"/>
    </row>
    <row r="104" spans="1:27" s="91" customFormat="1" ht="14.4" customHeight="1" thickBot="1" x14ac:dyDescent="0.3">
      <c r="A104" s="143">
        <v>58</v>
      </c>
      <c r="B104" s="185"/>
      <c r="C104" s="145"/>
      <c r="D104" s="146"/>
      <c r="E104" s="146"/>
      <c r="F104" s="187"/>
      <c r="G104" s="148"/>
      <c r="H104" s="148"/>
      <c r="I104" s="131"/>
      <c r="J104" s="130">
        <v>1</v>
      </c>
      <c r="K104" s="132">
        <f t="shared" si="6"/>
        <v>0</v>
      </c>
      <c r="L104" s="132"/>
      <c r="M104" s="132">
        <v>1</v>
      </c>
      <c r="N104" s="132">
        <f t="shared" si="7"/>
        <v>0</v>
      </c>
      <c r="O104" s="132"/>
      <c r="P104" s="132">
        <v>1</v>
      </c>
      <c r="Q104" s="132">
        <f t="shared" si="11"/>
        <v>0</v>
      </c>
      <c r="R104" s="132"/>
      <c r="S104" s="132">
        <v>1</v>
      </c>
      <c r="T104" s="132">
        <f t="shared" si="8"/>
        <v>0</v>
      </c>
      <c r="U104" s="131"/>
      <c r="V104" s="126">
        <f t="shared" si="9"/>
        <v>0</v>
      </c>
      <c r="W104" s="92">
        <f t="shared" si="10"/>
        <v>0</v>
      </c>
      <c r="X104" s="113"/>
      <c r="Y104" s="210"/>
      <c r="Z104" s="85"/>
      <c r="AA104" s="85"/>
    </row>
    <row r="105" spans="1:27" ht="14.4" customHeight="1" thickBot="1" x14ac:dyDescent="0.3">
      <c r="A105" s="149">
        <v>58</v>
      </c>
      <c r="J105" s="130">
        <v>1</v>
      </c>
      <c r="K105" s="132">
        <f t="shared" si="6"/>
        <v>0</v>
      </c>
      <c r="M105" s="132">
        <v>1</v>
      </c>
      <c r="N105" s="132">
        <f t="shared" si="7"/>
        <v>0</v>
      </c>
      <c r="P105" s="132">
        <v>1</v>
      </c>
      <c r="Q105" s="132">
        <f t="shared" si="11"/>
        <v>0</v>
      </c>
      <c r="S105" s="132">
        <v>1</v>
      </c>
      <c r="T105" s="132">
        <f t="shared" si="8"/>
        <v>0</v>
      </c>
      <c r="V105" s="126">
        <f t="shared" si="9"/>
        <v>0</v>
      </c>
      <c r="W105" s="92">
        <f t="shared" si="10"/>
        <v>0</v>
      </c>
      <c r="X105" s="113"/>
      <c r="Y105" s="210"/>
      <c r="AA105" s="85"/>
    </row>
    <row r="106" spans="1:27" s="96" customFormat="1" ht="15" customHeight="1" thickBot="1" x14ac:dyDescent="0.3">
      <c r="A106" s="137">
        <v>58</v>
      </c>
      <c r="B106" s="186"/>
      <c r="C106" s="139"/>
      <c r="D106" s="140"/>
      <c r="E106" s="140"/>
      <c r="F106" s="188"/>
      <c r="G106" s="142"/>
      <c r="H106" s="142"/>
      <c r="I106" s="130"/>
      <c r="J106" s="130">
        <v>1</v>
      </c>
      <c r="K106" s="132">
        <f t="shared" si="6"/>
        <v>0</v>
      </c>
      <c r="L106" s="132"/>
      <c r="M106" s="132">
        <v>1</v>
      </c>
      <c r="N106" s="132">
        <f t="shared" si="7"/>
        <v>0</v>
      </c>
      <c r="O106" s="132"/>
      <c r="P106" s="132">
        <v>1</v>
      </c>
      <c r="Q106" s="132">
        <f t="shared" si="11"/>
        <v>0</v>
      </c>
      <c r="R106" s="132"/>
      <c r="S106" s="132">
        <v>1</v>
      </c>
      <c r="T106" s="132">
        <f t="shared" si="8"/>
        <v>0</v>
      </c>
      <c r="U106" s="130"/>
      <c r="V106" s="126">
        <f t="shared" si="9"/>
        <v>0</v>
      </c>
      <c r="W106" s="92">
        <f t="shared" si="10"/>
        <v>0</v>
      </c>
      <c r="X106" s="113"/>
      <c r="Y106" s="210"/>
      <c r="Z106" s="85"/>
      <c r="AA106" s="85"/>
    </row>
    <row r="107" spans="1:27" s="104" customFormat="1" ht="15" customHeight="1" thickBot="1" x14ac:dyDescent="0.3">
      <c r="A107" s="197">
        <v>59</v>
      </c>
      <c r="B107" s="207"/>
      <c r="C107" s="199"/>
      <c r="D107" s="200"/>
      <c r="E107" s="200"/>
      <c r="F107" s="201"/>
      <c r="G107" s="202"/>
      <c r="H107" s="202"/>
      <c r="I107" s="134"/>
      <c r="J107" s="130">
        <v>1</v>
      </c>
      <c r="K107" s="132">
        <f t="shared" si="6"/>
        <v>0</v>
      </c>
      <c r="L107" s="132"/>
      <c r="M107" s="132">
        <v>1</v>
      </c>
      <c r="N107" s="132">
        <f t="shared" si="7"/>
        <v>0</v>
      </c>
      <c r="O107" s="132"/>
      <c r="P107" s="132">
        <v>1</v>
      </c>
      <c r="Q107" s="132">
        <f t="shared" si="11"/>
        <v>0</v>
      </c>
      <c r="R107" s="132"/>
      <c r="S107" s="132">
        <v>1</v>
      </c>
      <c r="T107" s="132">
        <f t="shared" si="8"/>
        <v>0</v>
      </c>
      <c r="U107" s="134"/>
      <c r="V107" s="126">
        <f t="shared" si="9"/>
        <v>0</v>
      </c>
      <c r="W107" s="92">
        <f t="shared" si="10"/>
        <v>0</v>
      </c>
      <c r="X107" s="101"/>
      <c r="Y107" s="210"/>
      <c r="Z107" s="102"/>
      <c r="AA107" s="103"/>
    </row>
    <row r="108" spans="1:27" s="91" customFormat="1" ht="14.4" customHeight="1" thickBot="1" x14ac:dyDescent="0.3">
      <c r="A108" s="143">
        <v>60</v>
      </c>
      <c r="B108" s="185"/>
      <c r="C108" s="145"/>
      <c r="D108" s="146"/>
      <c r="E108" s="146"/>
      <c r="F108" s="187"/>
      <c r="G108" s="148"/>
      <c r="H108" s="148"/>
      <c r="I108" s="131"/>
      <c r="J108" s="130">
        <v>1</v>
      </c>
      <c r="K108" s="132">
        <f t="shared" si="6"/>
        <v>0</v>
      </c>
      <c r="L108" s="132"/>
      <c r="M108" s="132">
        <v>1</v>
      </c>
      <c r="N108" s="132">
        <f t="shared" si="7"/>
        <v>0</v>
      </c>
      <c r="O108" s="132"/>
      <c r="P108" s="132">
        <v>1</v>
      </c>
      <c r="Q108" s="132">
        <f t="shared" si="11"/>
        <v>0</v>
      </c>
      <c r="R108" s="132"/>
      <c r="S108" s="132">
        <v>1</v>
      </c>
      <c r="T108" s="132">
        <f t="shared" si="8"/>
        <v>0</v>
      </c>
      <c r="U108" s="131"/>
      <c r="V108" s="126">
        <f t="shared" si="9"/>
        <v>0</v>
      </c>
      <c r="W108" s="92">
        <f t="shared" si="10"/>
        <v>0</v>
      </c>
      <c r="X108" s="113"/>
      <c r="Y108" s="210"/>
      <c r="Z108" s="89"/>
      <c r="AA108" s="90"/>
    </row>
    <row r="109" spans="1:27" ht="14.4" customHeight="1" thickBot="1" x14ac:dyDescent="0.3">
      <c r="A109" s="149">
        <v>60</v>
      </c>
      <c r="J109" s="130">
        <v>1</v>
      </c>
      <c r="K109" s="132">
        <f t="shared" si="6"/>
        <v>0</v>
      </c>
      <c r="M109" s="132">
        <v>1</v>
      </c>
      <c r="N109" s="132">
        <f t="shared" si="7"/>
        <v>0</v>
      </c>
      <c r="P109" s="132">
        <v>1</v>
      </c>
      <c r="Q109" s="132">
        <f t="shared" si="11"/>
        <v>0</v>
      </c>
      <c r="S109" s="132">
        <v>1</v>
      </c>
      <c r="T109" s="132">
        <f t="shared" si="8"/>
        <v>0</v>
      </c>
      <c r="V109" s="126">
        <f t="shared" si="9"/>
        <v>0</v>
      </c>
      <c r="W109" s="92">
        <f t="shared" si="10"/>
        <v>0</v>
      </c>
      <c r="X109" s="113"/>
      <c r="Y109" s="210"/>
    </row>
    <row r="110" spans="1:27" s="96" customFormat="1" ht="15" customHeight="1" thickBot="1" x14ac:dyDescent="0.3">
      <c r="A110" s="137">
        <v>60</v>
      </c>
      <c r="B110" s="186"/>
      <c r="C110" s="139"/>
      <c r="D110" s="140"/>
      <c r="E110" s="140"/>
      <c r="F110" s="188"/>
      <c r="G110" s="142"/>
      <c r="H110" s="142"/>
      <c r="I110" s="130"/>
      <c r="J110" s="130">
        <v>1</v>
      </c>
      <c r="K110" s="132">
        <f t="shared" si="6"/>
        <v>0</v>
      </c>
      <c r="L110" s="132"/>
      <c r="M110" s="132">
        <v>1</v>
      </c>
      <c r="N110" s="132">
        <f t="shared" si="7"/>
        <v>0</v>
      </c>
      <c r="O110" s="132"/>
      <c r="P110" s="132">
        <v>1</v>
      </c>
      <c r="Q110" s="132">
        <f t="shared" si="11"/>
        <v>0</v>
      </c>
      <c r="R110" s="132"/>
      <c r="S110" s="132">
        <v>1</v>
      </c>
      <c r="T110" s="132">
        <f t="shared" si="8"/>
        <v>0</v>
      </c>
      <c r="U110" s="130"/>
      <c r="V110" s="126">
        <f t="shared" si="9"/>
        <v>0</v>
      </c>
      <c r="W110" s="92">
        <f t="shared" si="10"/>
        <v>0</v>
      </c>
      <c r="X110" s="113"/>
      <c r="Y110" s="210"/>
      <c r="Z110" s="94"/>
      <c r="AA110" s="95"/>
    </row>
    <row r="111" spans="1:27" s="104" customFormat="1" ht="15" customHeight="1" thickBot="1" x14ac:dyDescent="0.3">
      <c r="A111" s="197">
        <v>61</v>
      </c>
      <c r="B111" s="198"/>
      <c r="C111" s="199"/>
      <c r="D111" s="200"/>
      <c r="E111" s="200"/>
      <c r="F111" s="201"/>
      <c r="G111" s="202"/>
      <c r="H111" s="202"/>
      <c r="I111" s="134"/>
      <c r="J111" s="130">
        <v>1</v>
      </c>
      <c r="K111" s="132">
        <f t="shared" si="6"/>
        <v>0</v>
      </c>
      <c r="L111" s="132"/>
      <c r="M111" s="132">
        <v>1</v>
      </c>
      <c r="N111" s="132">
        <f t="shared" si="7"/>
        <v>0</v>
      </c>
      <c r="O111" s="132"/>
      <c r="P111" s="132">
        <v>1</v>
      </c>
      <c r="Q111" s="132">
        <f t="shared" si="11"/>
        <v>0</v>
      </c>
      <c r="R111" s="132"/>
      <c r="S111" s="132">
        <v>1</v>
      </c>
      <c r="T111" s="132">
        <f t="shared" si="8"/>
        <v>0</v>
      </c>
      <c r="U111" s="134"/>
      <c r="V111" s="126">
        <f t="shared" si="9"/>
        <v>0</v>
      </c>
      <c r="W111" s="92">
        <f t="shared" si="10"/>
        <v>0</v>
      </c>
      <c r="X111" s="101"/>
      <c r="Y111" s="210"/>
      <c r="Z111" s="102"/>
      <c r="AA111" s="103"/>
    </row>
    <row r="112" spans="1:27" s="91" customFormat="1" ht="14.4" customHeight="1" thickBot="1" x14ac:dyDescent="0.3">
      <c r="A112" s="143">
        <v>61</v>
      </c>
      <c r="B112" s="185"/>
      <c r="C112" s="145"/>
      <c r="D112" s="146"/>
      <c r="E112" s="146"/>
      <c r="F112" s="187"/>
      <c r="G112" s="148"/>
      <c r="H112" s="148"/>
      <c r="I112" s="131"/>
      <c r="J112" s="130">
        <v>1</v>
      </c>
      <c r="K112" s="132">
        <f t="shared" si="6"/>
        <v>0</v>
      </c>
      <c r="L112" s="132"/>
      <c r="M112" s="132">
        <v>1</v>
      </c>
      <c r="N112" s="132">
        <f t="shared" si="7"/>
        <v>0</v>
      </c>
      <c r="O112" s="132"/>
      <c r="P112" s="132">
        <v>1</v>
      </c>
      <c r="Q112" s="132">
        <f t="shared" si="11"/>
        <v>0</v>
      </c>
      <c r="R112" s="132"/>
      <c r="S112" s="132">
        <v>1</v>
      </c>
      <c r="T112" s="132">
        <f t="shared" si="8"/>
        <v>0</v>
      </c>
      <c r="U112" s="131"/>
      <c r="V112" s="126">
        <f t="shared" si="9"/>
        <v>0</v>
      </c>
      <c r="W112" s="92">
        <f t="shared" si="10"/>
        <v>0</v>
      </c>
      <c r="X112" s="113"/>
      <c r="Y112" s="210"/>
      <c r="Z112" s="89"/>
      <c r="AA112" s="90"/>
    </row>
    <row r="113" spans="1:30" ht="14.4" customHeight="1" thickBot="1" x14ac:dyDescent="0.3">
      <c r="A113" s="149">
        <v>61</v>
      </c>
      <c r="J113" s="130">
        <v>1</v>
      </c>
      <c r="K113" s="132">
        <f t="shared" si="6"/>
        <v>0</v>
      </c>
      <c r="M113" s="132">
        <v>1</v>
      </c>
      <c r="N113" s="132">
        <f t="shared" si="7"/>
        <v>0</v>
      </c>
      <c r="P113" s="132">
        <v>1</v>
      </c>
      <c r="Q113" s="132">
        <f t="shared" si="11"/>
        <v>0</v>
      </c>
      <c r="S113" s="132">
        <v>1</v>
      </c>
      <c r="T113" s="132">
        <f t="shared" si="8"/>
        <v>0</v>
      </c>
      <c r="V113" s="126">
        <f t="shared" si="9"/>
        <v>0</v>
      </c>
      <c r="W113" s="92">
        <f t="shared" si="10"/>
        <v>0</v>
      </c>
      <c r="X113" s="113"/>
      <c r="Y113" s="210"/>
    </row>
    <row r="114" spans="1:30" s="96" customFormat="1" ht="15" customHeight="1" thickBot="1" x14ac:dyDescent="0.3">
      <c r="A114" s="137">
        <v>61</v>
      </c>
      <c r="B114" s="186"/>
      <c r="C114" s="139"/>
      <c r="D114" s="140"/>
      <c r="E114" s="140"/>
      <c r="F114" s="188"/>
      <c r="G114" s="142"/>
      <c r="H114" s="142"/>
      <c r="I114" s="130"/>
      <c r="J114" s="130">
        <v>1</v>
      </c>
      <c r="K114" s="132">
        <f t="shared" si="6"/>
        <v>0</v>
      </c>
      <c r="L114" s="132"/>
      <c r="M114" s="132">
        <v>1</v>
      </c>
      <c r="N114" s="132">
        <f t="shared" si="7"/>
        <v>0</v>
      </c>
      <c r="O114" s="132"/>
      <c r="P114" s="132">
        <v>1</v>
      </c>
      <c r="Q114" s="132">
        <f t="shared" si="11"/>
        <v>0</v>
      </c>
      <c r="R114" s="132"/>
      <c r="S114" s="132">
        <v>1</v>
      </c>
      <c r="T114" s="132">
        <f t="shared" si="8"/>
        <v>0</v>
      </c>
      <c r="U114" s="130"/>
      <c r="V114" s="126">
        <f t="shared" si="9"/>
        <v>0</v>
      </c>
      <c r="W114" s="92">
        <f t="shared" si="10"/>
        <v>0</v>
      </c>
      <c r="X114" s="113"/>
      <c r="Y114" s="210"/>
      <c r="Z114" s="94"/>
      <c r="AA114" s="95"/>
    </row>
    <row r="115" spans="1:30" s="91" customFormat="1" ht="15" customHeight="1" thickBot="1" x14ac:dyDescent="0.3">
      <c r="A115" s="143">
        <v>62</v>
      </c>
      <c r="B115" s="185"/>
      <c r="C115" s="145"/>
      <c r="D115" s="146"/>
      <c r="E115" s="146"/>
      <c r="F115" s="187"/>
      <c r="G115" s="148"/>
      <c r="H115" s="148"/>
      <c r="I115" s="131"/>
      <c r="J115" s="130">
        <v>1</v>
      </c>
      <c r="K115" s="132">
        <f t="shared" si="6"/>
        <v>0</v>
      </c>
      <c r="L115" s="132"/>
      <c r="M115" s="132">
        <v>1</v>
      </c>
      <c r="N115" s="132">
        <f t="shared" si="7"/>
        <v>0</v>
      </c>
      <c r="O115" s="132"/>
      <c r="P115" s="132">
        <v>1</v>
      </c>
      <c r="Q115" s="132">
        <f t="shared" si="11"/>
        <v>0</v>
      </c>
      <c r="R115" s="132"/>
      <c r="S115" s="132">
        <v>1</v>
      </c>
      <c r="T115" s="132">
        <f t="shared" si="8"/>
        <v>0</v>
      </c>
      <c r="U115" s="131"/>
      <c r="V115" s="126">
        <f t="shared" si="9"/>
        <v>0</v>
      </c>
      <c r="W115" s="92">
        <f t="shared" si="10"/>
        <v>0</v>
      </c>
      <c r="X115" s="113"/>
      <c r="Y115" s="210"/>
      <c r="Z115" s="85"/>
      <c r="AA115" s="85"/>
      <c r="AB115" s="256"/>
      <c r="AC115" s="256"/>
      <c r="AD115" s="256"/>
    </row>
    <row r="116" spans="1:30" ht="14.4" customHeight="1" thickBot="1" x14ac:dyDescent="0.3">
      <c r="A116" s="149">
        <v>62</v>
      </c>
      <c r="J116" s="130">
        <v>1</v>
      </c>
      <c r="K116" s="132">
        <f t="shared" si="6"/>
        <v>0</v>
      </c>
      <c r="M116" s="132">
        <v>1</v>
      </c>
      <c r="N116" s="132">
        <f t="shared" si="7"/>
        <v>0</v>
      </c>
      <c r="P116" s="132">
        <v>1</v>
      </c>
      <c r="Q116" s="132">
        <f t="shared" si="11"/>
        <v>0</v>
      </c>
      <c r="S116" s="132">
        <v>1</v>
      </c>
      <c r="T116" s="132">
        <f t="shared" si="8"/>
        <v>0</v>
      </c>
      <c r="V116" s="126">
        <f t="shared" si="9"/>
        <v>0</v>
      </c>
      <c r="W116" s="92">
        <f t="shared" si="10"/>
        <v>0</v>
      </c>
      <c r="X116" s="113"/>
      <c r="Y116" s="210"/>
      <c r="AA116" s="85"/>
    </row>
    <row r="117" spans="1:30" ht="14.4" customHeight="1" thickBot="1" x14ac:dyDescent="0.3">
      <c r="A117" s="149">
        <v>62</v>
      </c>
      <c r="J117" s="130">
        <v>1</v>
      </c>
      <c r="K117" s="132">
        <f t="shared" si="6"/>
        <v>0</v>
      </c>
      <c r="M117" s="132">
        <v>1</v>
      </c>
      <c r="N117" s="132">
        <f t="shared" si="7"/>
        <v>0</v>
      </c>
      <c r="P117" s="132">
        <v>1</v>
      </c>
      <c r="Q117" s="132">
        <f t="shared" si="11"/>
        <v>0</v>
      </c>
      <c r="S117" s="132">
        <v>1</v>
      </c>
      <c r="T117" s="132">
        <f t="shared" si="8"/>
        <v>0</v>
      </c>
      <c r="V117" s="126">
        <f t="shared" si="9"/>
        <v>0</v>
      </c>
      <c r="W117" s="92">
        <f t="shared" si="10"/>
        <v>0</v>
      </c>
      <c r="X117" s="113"/>
      <c r="Y117" s="210"/>
      <c r="AA117" s="85"/>
    </row>
    <row r="118" spans="1:30" ht="14.4" customHeight="1" thickBot="1" x14ac:dyDescent="0.3">
      <c r="A118" s="149">
        <v>62</v>
      </c>
      <c r="J118" s="130">
        <v>1</v>
      </c>
      <c r="K118" s="132">
        <f t="shared" si="6"/>
        <v>0</v>
      </c>
      <c r="M118" s="132">
        <v>1</v>
      </c>
      <c r="N118" s="132">
        <f t="shared" si="7"/>
        <v>0</v>
      </c>
      <c r="P118" s="132">
        <v>1</v>
      </c>
      <c r="Q118" s="132">
        <f t="shared" si="11"/>
        <v>0</v>
      </c>
      <c r="S118" s="132">
        <v>1</v>
      </c>
      <c r="T118" s="132">
        <f t="shared" si="8"/>
        <v>0</v>
      </c>
      <c r="V118" s="126">
        <f t="shared" si="9"/>
        <v>0</v>
      </c>
      <c r="W118" s="92">
        <f t="shared" si="10"/>
        <v>0</v>
      </c>
      <c r="X118" s="113"/>
      <c r="Y118" s="210"/>
      <c r="AA118" s="85"/>
    </row>
    <row r="119" spans="1:30" s="96" customFormat="1" ht="15" customHeight="1" thickBot="1" x14ac:dyDescent="0.3">
      <c r="A119" s="137">
        <v>62</v>
      </c>
      <c r="B119" s="186"/>
      <c r="C119" s="139"/>
      <c r="D119" s="140"/>
      <c r="E119" s="140"/>
      <c r="F119" s="188"/>
      <c r="G119" s="142"/>
      <c r="H119" s="142"/>
      <c r="I119" s="130"/>
      <c r="J119" s="130">
        <v>1</v>
      </c>
      <c r="K119" s="132">
        <f t="shared" si="6"/>
        <v>0</v>
      </c>
      <c r="L119" s="132"/>
      <c r="M119" s="132">
        <v>1</v>
      </c>
      <c r="N119" s="132">
        <f t="shared" si="7"/>
        <v>0</v>
      </c>
      <c r="O119" s="132"/>
      <c r="P119" s="132">
        <v>1</v>
      </c>
      <c r="Q119" s="132">
        <f t="shared" si="11"/>
        <v>0</v>
      </c>
      <c r="R119" s="132"/>
      <c r="S119" s="132">
        <v>1</v>
      </c>
      <c r="T119" s="132">
        <f t="shared" si="8"/>
        <v>0</v>
      </c>
      <c r="U119" s="130"/>
      <c r="V119" s="126">
        <f t="shared" si="9"/>
        <v>0</v>
      </c>
      <c r="W119" s="92">
        <f t="shared" si="10"/>
        <v>0</v>
      </c>
      <c r="X119" s="113"/>
      <c r="Y119" s="210"/>
      <c r="Z119" s="85"/>
      <c r="AA119" s="85"/>
    </row>
    <row r="120" spans="1:30" s="104" customFormat="1" ht="15" customHeight="1" thickBot="1" x14ac:dyDescent="0.3">
      <c r="A120" s="197">
        <v>63</v>
      </c>
      <c r="B120" s="198"/>
      <c r="C120" s="199"/>
      <c r="D120" s="200"/>
      <c r="E120" s="200"/>
      <c r="F120" s="203"/>
      <c r="G120" s="202"/>
      <c r="H120" s="202"/>
      <c r="I120" s="134"/>
      <c r="J120" s="130">
        <v>1</v>
      </c>
      <c r="K120" s="132">
        <f t="shared" si="6"/>
        <v>0</v>
      </c>
      <c r="L120" s="132"/>
      <c r="M120" s="132">
        <v>1</v>
      </c>
      <c r="N120" s="132">
        <f t="shared" si="7"/>
        <v>0</v>
      </c>
      <c r="O120" s="132"/>
      <c r="P120" s="132">
        <v>1</v>
      </c>
      <c r="Q120" s="132">
        <f t="shared" si="11"/>
        <v>0</v>
      </c>
      <c r="R120" s="132"/>
      <c r="S120" s="132">
        <v>1</v>
      </c>
      <c r="T120" s="132">
        <f t="shared" si="8"/>
        <v>0</v>
      </c>
      <c r="U120" s="134"/>
      <c r="V120" s="126">
        <f t="shared" si="9"/>
        <v>0</v>
      </c>
      <c r="W120" s="92">
        <f t="shared" si="10"/>
        <v>0</v>
      </c>
      <c r="X120" s="101"/>
      <c r="Y120" s="210"/>
      <c r="Z120" s="102"/>
      <c r="AA120" s="103"/>
    </row>
    <row r="121" spans="1:30" s="100" customFormat="1" ht="15" customHeight="1" thickBot="1" x14ac:dyDescent="0.3">
      <c r="A121" s="155">
        <v>64</v>
      </c>
      <c r="B121" s="174"/>
      <c r="C121" s="157"/>
      <c r="D121" s="158"/>
      <c r="E121" s="158"/>
      <c r="F121" s="189"/>
      <c r="G121" s="160"/>
      <c r="H121" s="160"/>
      <c r="I121" s="133"/>
      <c r="J121" s="130">
        <v>1</v>
      </c>
      <c r="K121" s="132">
        <f t="shared" si="6"/>
        <v>0</v>
      </c>
      <c r="L121" s="132"/>
      <c r="M121" s="132">
        <v>1</v>
      </c>
      <c r="N121" s="132">
        <f t="shared" si="7"/>
        <v>0</v>
      </c>
      <c r="O121" s="132"/>
      <c r="P121" s="132">
        <v>1</v>
      </c>
      <c r="Q121" s="132">
        <f t="shared" si="11"/>
        <v>0</v>
      </c>
      <c r="R121" s="132"/>
      <c r="S121" s="132">
        <v>1</v>
      </c>
      <c r="T121" s="132">
        <f t="shared" si="8"/>
        <v>0</v>
      </c>
      <c r="U121" s="133"/>
      <c r="V121" s="126">
        <f t="shared" si="9"/>
        <v>0</v>
      </c>
      <c r="W121" s="92">
        <f t="shared" si="10"/>
        <v>0</v>
      </c>
      <c r="X121" s="97"/>
      <c r="Y121" s="210"/>
      <c r="Z121" s="98"/>
      <c r="AA121" s="99"/>
    </row>
    <row r="122" spans="1:30" s="91" customFormat="1" ht="14.4" customHeight="1" thickBot="1" x14ac:dyDescent="0.3">
      <c r="A122" s="143">
        <v>65</v>
      </c>
      <c r="B122" s="185"/>
      <c r="C122" s="145"/>
      <c r="D122" s="146"/>
      <c r="E122" s="146"/>
      <c r="F122" s="187"/>
      <c r="G122" s="148"/>
      <c r="H122" s="148"/>
      <c r="I122" s="131"/>
      <c r="J122" s="130">
        <v>1</v>
      </c>
      <c r="K122" s="132">
        <f t="shared" si="6"/>
        <v>0</v>
      </c>
      <c r="L122" s="132"/>
      <c r="M122" s="132">
        <v>1</v>
      </c>
      <c r="N122" s="132">
        <f t="shared" si="7"/>
        <v>0</v>
      </c>
      <c r="O122" s="132"/>
      <c r="P122" s="132">
        <v>1</v>
      </c>
      <c r="Q122" s="132">
        <f t="shared" si="11"/>
        <v>0</v>
      </c>
      <c r="R122" s="132"/>
      <c r="S122" s="132">
        <v>1</v>
      </c>
      <c r="T122" s="132">
        <f t="shared" si="8"/>
        <v>0</v>
      </c>
      <c r="U122" s="131"/>
      <c r="V122" s="126">
        <f t="shared" si="9"/>
        <v>0</v>
      </c>
      <c r="W122" s="92">
        <f t="shared" si="10"/>
        <v>0</v>
      </c>
      <c r="X122" s="113"/>
      <c r="Y122" s="210"/>
      <c r="Z122" s="89"/>
      <c r="AA122" s="90"/>
    </row>
    <row r="123" spans="1:30" ht="14.4" customHeight="1" thickBot="1" x14ac:dyDescent="0.3">
      <c r="A123" s="149">
        <v>65</v>
      </c>
      <c r="J123" s="130">
        <v>1</v>
      </c>
      <c r="K123" s="132">
        <f t="shared" si="6"/>
        <v>0</v>
      </c>
      <c r="M123" s="132">
        <v>1</v>
      </c>
      <c r="N123" s="132">
        <f t="shared" si="7"/>
        <v>0</v>
      </c>
      <c r="P123" s="132">
        <v>1</v>
      </c>
      <c r="Q123" s="132">
        <f t="shared" si="11"/>
        <v>0</v>
      </c>
      <c r="S123" s="132">
        <v>1</v>
      </c>
      <c r="T123" s="132">
        <f t="shared" si="8"/>
        <v>0</v>
      </c>
      <c r="V123" s="126">
        <f t="shared" si="9"/>
        <v>0</v>
      </c>
      <c r="W123" s="92">
        <f t="shared" si="10"/>
        <v>0</v>
      </c>
      <c r="X123" s="113"/>
      <c r="Y123" s="210"/>
    </row>
    <row r="124" spans="1:30" s="96" customFormat="1" ht="15" customHeight="1" thickBot="1" x14ac:dyDescent="0.3">
      <c r="A124" s="137">
        <v>65</v>
      </c>
      <c r="B124" s="186"/>
      <c r="C124" s="139"/>
      <c r="D124" s="140"/>
      <c r="E124" s="140"/>
      <c r="F124" s="188"/>
      <c r="G124" s="142"/>
      <c r="H124" s="142"/>
      <c r="I124" s="130"/>
      <c r="J124" s="130">
        <v>1</v>
      </c>
      <c r="K124" s="132">
        <f t="shared" si="6"/>
        <v>0</v>
      </c>
      <c r="L124" s="132"/>
      <c r="M124" s="132">
        <v>1</v>
      </c>
      <c r="N124" s="132">
        <f t="shared" si="7"/>
        <v>0</v>
      </c>
      <c r="O124" s="132"/>
      <c r="P124" s="132">
        <v>1</v>
      </c>
      <c r="Q124" s="132">
        <f t="shared" si="11"/>
        <v>0</v>
      </c>
      <c r="R124" s="132"/>
      <c r="S124" s="132">
        <v>1</v>
      </c>
      <c r="T124" s="132">
        <f t="shared" si="8"/>
        <v>0</v>
      </c>
      <c r="U124" s="130"/>
      <c r="V124" s="126">
        <f t="shared" si="9"/>
        <v>0</v>
      </c>
      <c r="W124" s="92">
        <f t="shared" si="10"/>
        <v>0</v>
      </c>
      <c r="X124" s="113"/>
      <c r="Y124" s="210"/>
      <c r="Z124" s="94"/>
      <c r="AA124" s="95"/>
    </row>
    <row r="125" spans="1:30" s="104" customFormat="1" ht="15" customHeight="1" thickBot="1" x14ac:dyDescent="0.3">
      <c r="A125" s="197">
        <v>66</v>
      </c>
      <c r="B125" s="198"/>
      <c r="C125" s="199"/>
      <c r="D125" s="200"/>
      <c r="E125" s="200"/>
      <c r="F125" s="201"/>
      <c r="G125" s="202"/>
      <c r="H125" s="202"/>
      <c r="I125" s="134"/>
      <c r="J125" s="130">
        <v>1</v>
      </c>
      <c r="K125" s="132">
        <f t="shared" si="6"/>
        <v>0</v>
      </c>
      <c r="L125" s="132"/>
      <c r="M125" s="132">
        <v>1</v>
      </c>
      <c r="N125" s="132">
        <f t="shared" si="7"/>
        <v>0</v>
      </c>
      <c r="O125" s="132"/>
      <c r="P125" s="132">
        <v>1</v>
      </c>
      <c r="Q125" s="132">
        <f t="shared" si="11"/>
        <v>0</v>
      </c>
      <c r="R125" s="132"/>
      <c r="S125" s="132">
        <v>1</v>
      </c>
      <c r="T125" s="132">
        <f t="shared" si="8"/>
        <v>0</v>
      </c>
      <c r="U125" s="134"/>
      <c r="V125" s="126">
        <f t="shared" si="9"/>
        <v>0</v>
      </c>
      <c r="W125" s="92">
        <f t="shared" si="10"/>
        <v>0</v>
      </c>
      <c r="X125" s="101"/>
      <c r="Y125" s="210"/>
      <c r="Z125" s="102"/>
      <c r="AA125" s="103"/>
    </row>
    <row r="126" spans="1:30" s="91" customFormat="1" ht="14.4" customHeight="1" thickBot="1" x14ac:dyDescent="0.3">
      <c r="A126" s="143">
        <v>67</v>
      </c>
      <c r="B126" s="185"/>
      <c r="C126" s="145"/>
      <c r="D126" s="146"/>
      <c r="E126" s="146"/>
      <c r="F126" s="187"/>
      <c r="G126" s="148"/>
      <c r="H126" s="148"/>
      <c r="I126" s="131"/>
      <c r="J126" s="130">
        <v>1</v>
      </c>
      <c r="K126" s="132">
        <f t="shared" si="6"/>
        <v>0</v>
      </c>
      <c r="L126" s="132"/>
      <c r="M126" s="132">
        <v>1</v>
      </c>
      <c r="N126" s="132">
        <f t="shared" si="7"/>
        <v>0</v>
      </c>
      <c r="O126" s="132"/>
      <c r="P126" s="132">
        <v>1</v>
      </c>
      <c r="Q126" s="132">
        <f t="shared" si="11"/>
        <v>0</v>
      </c>
      <c r="R126" s="132"/>
      <c r="S126" s="132">
        <v>1</v>
      </c>
      <c r="T126" s="132">
        <f t="shared" si="8"/>
        <v>0</v>
      </c>
      <c r="U126" s="131"/>
      <c r="V126" s="126">
        <f t="shared" si="9"/>
        <v>0</v>
      </c>
      <c r="W126" s="92">
        <f t="shared" si="10"/>
        <v>0</v>
      </c>
      <c r="X126" s="88"/>
      <c r="Y126" s="210"/>
      <c r="Z126" s="89"/>
      <c r="AA126" s="90"/>
    </row>
    <row r="127" spans="1:30" ht="14.4" customHeight="1" thickBot="1" x14ac:dyDescent="0.3">
      <c r="A127" s="149">
        <v>67</v>
      </c>
      <c r="J127" s="130">
        <v>1</v>
      </c>
      <c r="K127" s="132">
        <f t="shared" si="6"/>
        <v>0</v>
      </c>
      <c r="M127" s="132">
        <v>1</v>
      </c>
      <c r="N127" s="132">
        <f t="shared" si="7"/>
        <v>0</v>
      </c>
      <c r="P127" s="132">
        <v>1</v>
      </c>
      <c r="Q127" s="132">
        <f t="shared" si="11"/>
        <v>0</v>
      </c>
      <c r="S127" s="132">
        <v>1</v>
      </c>
      <c r="T127" s="132">
        <f t="shared" si="8"/>
        <v>0</v>
      </c>
      <c r="V127" s="126">
        <f t="shared" si="9"/>
        <v>0</v>
      </c>
      <c r="W127" s="92">
        <f t="shared" si="10"/>
        <v>0</v>
      </c>
      <c r="Y127" s="210"/>
    </row>
    <row r="128" spans="1:30" s="96" customFormat="1" ht="15" customHeight="1" thickBot="1" x14ac:dyDescent="0.3">
      <c r="A128" s="137">
        <v>67</v>
      </c>
      <c r="B128" s="186"/>
      <c r="C128" s="139"/>
      <c r="D128" s="140"/>
      <c r="E128" s="140"/>
      <c r="F128" s="188"/>
      <c r="G128" s="142"/>
      <c r="H128" s="142"/>
      <c r="I128" s="130"/>
      <c r="J128" s="130">
        <v>1</v>
      </c>
      <c r="K128" s="132">
        <f t="shared" si="6"/>
        <v>0</v>
      </c>
      <c r="L128" s="132"/>
      <c r="M128" s="132">
        <v>1</v>
      </c>
      <c r="N128" s="132">
        <f t="shared" si="7"/>
        <v>0</v>
      </c>
      <c r="O128" s="132"/>
      <c r="P128" s="132">
        <v>1</v>
      </c>
      <c r="Q128" s="132">
        <f t="shared" si="11"/>
        <v>0</v>
      </c>
      <c r="R128" s="132"/>
      <c r="S128" s="132">
        <v>1</v>
      </c>
      <c r="T128" s="132">
        <f t="shared" si="8"/>
        <v>0</v>
      </c>
      <c r="U128" s="130"/>
      <c r="V128" s="126">
        <f t="shared" si="9"/>
        <v>0</v>
      </c>
      <c r="W128" s="92">
        <f t="shared" si="10"/>
        <v>0</v>
      </c>
      <c r="X128" s="93"/>
      <c r="Y128" s="210"/>
      <c r="Z128" s="94"/>
      <c r="AA128" s="95"/>
    </row>
    <row r="129" spans="1:27" s="100" customFormat="1" ht="15" customHeight="1" thickBot="1" x14ac:dyDescent="0.3">
      <c r="A129" s="155">
        <v>68</v>
      </c>
      <c r="B129" s="174"/>
      <c r="C129" s="157"/>
      <c r="D129" s="158"/>
      <c r="E129" s="158"/>
      <c r="F129" s="189"/>
      <c r="G129" s="160"/>
      <c r="H129" s="160"/>
      <c r="I129" s="133"/>
      <c r="J129" s="130">
        <v>1</v>
      </c>
      <c r="K129" s="132">
        <f t="shared" si="6"/>
        <v>0</v>
      </c>
      <c r="L129" s="132"/>
      <c r="M129" s="132">
        <v>1</v>
      </c>
      <c r="N129" s="132">
        <f t="shared" si="7"/>
        <v>0</v>
      </c>
      <c r="O129" s="132"/>
      <c r="P129" s="132">
        <v>1</v>
      </c>
      <c r="Q129" s="132">
        <f t="shared" si="11"/>
        <v>0</v>
      </c>
      <c r="R129" s="132"/>
      <c r="S129" s="132">
        <v>1</v>
      </c>
      <c r="T129" s="132">
        <f t="shared" si="8"/>
        <v>0</v>
      </c>
      <c r="U129" s="133"/>
      <c r="V129" s="126">
        <f t="shared" si="9"/>
        <v>0</v>
      </c>
      <c r="W129" s="92">
        <f t="shared" si="10"/>
        <v>0</v>
      </c>
      <c r="X129" s="97"/>
      <c r="Y129" s="210"/>
      <c r="Z129" s="98"/>
      <c r="AA129" s="99"/>
    </row>
    <row r="130" spans="1:27" s="91" customFormat="1" ht="14.4" customHeight="1" thickBot="1" x14ac:dyDescent="0.3">
      <c r="A130" s="143">
        <v>69</v>
      </c>
      <c r="B130" s="144"/>
      <c r="C130" s="145"/>
      <c r="D130" s="146"/>
      <c r="E130" s="146"/>
      <c r="F130" s="147"/>
      <c r="G130" s="148"/>
      <c r="H130" s="148"/>
      <c r="I130" s="131"/>
      <c r="J130" s="130">
        <v>1</v>
      </c>
      <c r="K130" s="132">
        <f t="shared" ref="K130:K193" si="12">I130/J130</f>
        <v>0</v>
      </c>
      <c r="L130" s="132"/>
      <c r="M130" s="132">
        <v>1</v>
      </c>
      <c r="N130" s="132">
        <f t="shared" ref="N130:N193" si="13">L130/M130</f>
        <v>0</v>
      </c>
      <c r="O130" s="132"/>
      <c r="P130" s="132">
        <v>1</v>
      </c>
      <c r="Q130" s="132">
        <f t="shared" si="11"/>
        <v>0</v>
      </c>
      <c r="R130" s="132"/>
      <c r="S130" s="132">
        <v>1</v>
      </c>
      <c r="T130" s="132">
        <f t="shared" ref="T130:T193" si="14">R130/S130</f>
        <v>0</v>
      </c>
      <c r="U130" s="131"/>
      <c r="V130" s="126">
        <f t="shared" ref="V130:V193" si="15">D130+E130-G130-I130/J130-L130/M130-O130/P130-R130/S130</f>
        <v>0</v>
      </c>
      <c r="W130" s="92">
        <f t="shared" ref="W130:W193" si="16">G130+I130/J130+L130/M130+O130/P130+R130/S130</f>
        <v>0</v>
      </c>
      <c r="X130" s="88"/>
      <c r="Y130" s="210"/>
      <c r="Z130" s="89"/>
      <c r="AA130" s="90"/>
    </row>
    <row r="131" spans="1:27" s="96" customFormat="1" ht="15" customHeight="1" thickBot="1" x14ac:dyDescent="0.3">
      <c r="A131" s="137">
        <v>69</v>
      </c>
      <c r="B131" s="138"/>
      <c r="C131" s="139"/>
      <c r="D131" s="140"/>
      <c r="E131" s="140"/>
      <c r="F131" s="141"/>
      <c r="G131" s="142"/>
      <c r="H131" s="142"/>
      <c r="I131" s="130"/>
      <c r="J131" s="130">
        <v>1</v>
      </c>
      <c r="K131" s="132">
        <f t="shared" si="12"/>
        <v>0</v>
      </c>
      <c r="L131" s="132"/>
      <c r="M131" s="132">
        <v>1</v>
      </c>
      <c r="N131" s="132">
        <f t="shared" si="13"/>
        <v>0</v>
      </c>
      <c r="O131" s="132"/>
      <c r="P131" s="132">
        <v>1</v>
      </c>
      <c r="Q131" s="132">
        <f t="shared" ref="Q131:Q194" si="17">O131/P131</f>
        <v>0</v>
      </c>
      <c r="R131" s="132"/>
      <c r="S131" s="132">
        <v>1</v>
      </c>
      <c r="T131" s="132">
        <f t="shared" si="14"/>
        <v>0</v>
      </c>
      <c r="U131" s="130"/>
      <c r="V131" s="126">
        <f t="shared" si="15"/>
        <v>0</v>
      </c>
      <c r="W131" s="92">
        <f t="shared" si="16"/>
        <v>0</v>
      </c>
      <c r="X131" s="93"/>
      <c r="Y131" s="210"/>
      <c r="Z131" s="94"/>
      <c r="AA131" s="95"/>
    </row>
    <row r="132" spans="1:27" s="100" customFormat="1" ht="15" customHeight="1" thickBot="1" x14ac:dyDescent="0.3">
      <c r="A132" s="155">
        <v>70</v>
      </c>
      <c r="B132" s="174"/>
      <c r="C132" s="157"/>
      <c r="D132" s="158"/>
      <c r="E132" s="158"/>
      <c r="F132" s="189"/>
      <c r="G132" s="160"/>
      <c r="H132" s="160"/>
      <c r="I132" s="133"/>
      <c r="J132" s="130">
        <v>1</v>
      </c>
      <c r="K132" s="132">
        <f t="shared" si="12"/>
        <v>0</v>
      </c>
      <c r="L132" s="132"/>
      <c r="M132" s="132">
        <v>1</v>
      </c>
      <c r="N132" s="132">
        <f t="shared" si="13"/>
        <v>0</v>
      </c>
      <c r="O132" s="132"/>
      <c r="P132" s="132">
        <v>1</v>
      </c>
      <c r="Q132" s="132">
        <f t="shared" si="17"/>
        <v>0</v>
      </c>
      <c r="R132" s="132"/>
      <c r="S132" s="132">
        <v>1</v>
      </c>
      <c r="T132" s="132">
        <f t="shared" si="14"/>
        <v>0</v>
      </c>
      <c r="U132" s="133"/>
      <c r="V132" s="126">
        <f t="shared" si="15"/>
        <v>0</v>
      </c>
      <c r="W132" s="92">
        <f t="shared" si="16"/>
        <v>0</v>
      </c>
      <c r="X132" s="97"/>
      <c r="Y132" s="210"/>
      <c r="Z132" s="98"/>
      <c r="AA132" s="99"/>
    </row>
    <row r="133" spans="1:27" s="100" customFormat="1" ht="15" customHeight="1" thickBot="1" x14ac:dyDescent="0.3">
      <c r="A133" s="155">
        <v>71</v>
      </c>
      <c r="B133" s="174"/>
      <c r="C133" s="157"/>
      <c r="D133" s="158"/>
      <c r="E133" s="158"/>
      <c r="F133" s="189"/>
      <c r="G133" s="160"/>
      <c r="H133" s="160"/>
      <c r="I133" s="133"/>
      <c r="J133" s="130">
        <v>1</v>
      </c>
      <c r="K133" s="132">
        <f t="shared" si="12"/>
        <v>0</v>
      </c>
      <c r="L133" s="132"/>
      <c r="M133" s="132">
        <v>1</v>
      </c>
      <c r="N133" s="132">
        <f t="shared" si="13"/>
        <v>0</v>
      </c>
      <c r="O133" s="132"/>
      <c r="P133" s="132">
        <v>1</v>
      </c>
      <c r="Q133" s="132">
        <f t="shared" si="17"/>
        <v>0</v>
      </c>
      <c r="R133" s="132"/>
      <c r="S133" s="132">
        <v>1</v>
      </c>
      <c r="T133" s="132">
        <f t="shared" si="14"/>
        <v>0</v>
      </c>
      <c r="U133" s="133"/>
      <c r="V133" s="126">
        <f t="shared" si="15"/>
        <v>0</v>
      </c>
      <c r="W133" s="92">
        <f t="shared" si="16"/>
        <v>0</v>
      </c>
      <c r="X133" s="97"/>
      <c r="Y133" s="210"/>
      <c r="Z133" s="98"/>
      <c r="AA133" s="99"/>
    </row>
    <row r="134" spans="1:27" s="91" customFormat="1" ht="14.4" customHeight="1" thickBot="1" x14ac:dyDescent="0.3">
      <c r="A134" s="143">
        <v>72</v>
      </c>
      <c r="B134" s="185"/>
      <c r="C134" s="145"/>
      <c r="D134" s="146"/>
      <c r="E134" s="146"/>
      <c r="F134" s="187"/>
      <c r="G134" s="148"/>
      <c r="H134" s="148"/>
      <c r="I134" s="131"/>
      <c r="J134" s="130">
        <v>1</v>
      </c>
      <c r="K134" s="132">
        <f t="shared" si="12"/>
        <v>0</v>
      </c>
      <c r="L134" s="132"/>
      <c r="M134" s="132">
        <v>1</v>
      </c>
      <c r="N134" s="132">
        <f t="shared" si="13"/>
        <v>0</v>
      </c>
      <c r="O134" s="132"/>
      <c r="P134" s="132">
        <v>1</v>
      </c>
      <c r="Q134" s="132">
        <f t="shared" si="17"/>
        <v>0</v>
      </c>
      <c r="R134" s="132"/>
      <c r="S134" s="132">
        <v>1</v>
      </c>
      <c r="T134" s="132">
        <f t="shared" si="14"/>
        <v>0</v>
      </c>
      <c r="U134" s="131"/>
      <c r="V134" s="126">
        <f t="shared" si="15"/>
        <v>0</v>
      </c>
      <c r="W134" s="92">
        <f t="shared" si="16"/>
        <v>0</v>
      </c>
      <c r="X134" s="113"/>
      <c r="Y134" s="210"/>
      <c r="Z134" s="85"/>
      <c r="AA134" s="85"/>
    </row>
    <row r="135" spans="1:27" ht="14.4" customHeight="1" thickBot="1" x14ac:dyDescent="0.3">
      <c r="A135" s="149">
        <v>72</v>
      </c>
      <c r="J135" s="130">
        <v>1</v>
      </c>
      <c r="K135" s="132">
        <f t="shared" si="12"/>
        <v>0</v>
      </c>
      <c r="M135" s="132">
        <v>1</v>
      </c>
      <c r="N135" s="132">
        <f t="shared" si="13"/>
        <v>0</v>
      </c>
      <c r="P135" s="132">
        <v>1</v>
      </c>
      <c r="Q135" s="132">
        <f t="shared" si="17"/>
        <v>0</v>
      </c>
      <c r="S135" s="132">
        <v>1</v>
      </c>
      <c r="T135" s="132">
        <f t="shared" si="14"/>
        <v>0</v>
      </c>
      <c r="V135" s="126">
        <f t="shared" si="15"/>
        <v>0</v>
      </c>
      <c r="W135" s="92">
        <f t="shared" si="16"/>
        <v>0</v>
      </c>
      <c r="X135" s="113"/>
      <c r="Y135" s="210"/>
      <c r="AA135" s="85"/>
    </row>
    <row r="136" spans="1:27" ht="14.4" customHeight="1" thickBot="1" x14ac:dyDescent="0.3">
      <c r="A136" s="149">
        <v>72</v>
      </c>
      <c r="J136" s="130">
        <v>1</v>
      </c>
      <c r="K136" s="132">
        <f t="shared" si="12"/>
        <v>0</v>
      </c>
      <c r="M136" s="132">
        <v>1</v>
      </c>
      <c r="N136" s="132">
        <f t="shared" si="13"/>
        <v>0</v>
      </c>
      <c r="P136" s="132">
        <v>1</v>
      </c>
      <c r="Q136" s="132">
        <f t="shared" si="17"/>
        <v>0</v>
      </c>
      <c r="S136" s="132">
        <v>1</v>
      </c>
      <c r="T136" s="132">
        <f t="shared" si="14"/>
        <v>0</v>
      </c>
      <c r="V136" s="126">
        <f t="shared" si="15"/>
        <v>0</v>
      </c>
      <c r="W136" s="92">
        <f t="shared" si="16"/>
        <v>0</v>
      </c>
      <c r="X136" s="113"/>
      <c r="Y136" s="210"/>
      <c r="AA136" s="85"/>
    </row>
    <row r="137" spans="1:27" s="96" customFormat="1" ht="15" customHeight="1" thickBot="1" x14ac:dyDescent="0.3">
      <c r="A137" s="137">
        <v>72</v>
      </c>
      <c r="B137" s="186"/>
      <c r="C137" s="139"/>
      <c r="D137" s="140"/>
      <c r="E137" s="140"/>
      <c r="F137" s="188"/>
      <c r="G137" s="142"/>
      <c r="H137" s="142"/>
      <c r="I137" s="130"/>
      <c r="J137" s="130">
        <v>1</v>
      </c>
      <c r="K137" s="132">
        <f t="shared" si="12"/>
        <v>0</v>
      </c>
      <c r="L137" s="132"/>
      <c r="M137" s="132">
        <v>1</v>
      </c>
      <c r="N137" s="132">
        <f t="shared" si="13"/>
        <v>0</v>
      </c>
      <c r="O137" s="132"/>
      <c r="P137" s="132">
        <v>1</v>
      </c>
      <c r="Q137" s="132">
        <f t="shared" si="17"/>
        <v>0</v>
      </c>
      <c r="R137" s="132"/>
      <c r="S137" s="132">
        <v>1</v>
      </c>
      <c r="T137" s="132">
        <f t="shared" si="14"/>
        <v>0</v>
      </c>
      <c r="U137" s="130"/>
      <c r="V137" s="126">
        <f t="shared" si="15"/>
        <v>0</v>
      </c>
      <c r="W137" s="92">
        <f t="shared" si="16"/>
        <v>0</v>
      </c>
      <c r="X137" s="113"/>
      <c r="Y137" s="210"/>
      <c r="Z137" s="85"/>
      <c r="AA137" s="85"/>
    </row>
    <row r="138" spans="1:27" s="104" customFormat="1" ht="15" customHeight="1" thickBot="1" x14ac:dyDescent="0.3">
      <c r="A138" s="197">
        <v>73</v>
      </c>
      <c r="B138" s="198"/>
      <c r="C138" s="199"/>
      <c r="D138" s="200"/>
      <c r="E138" s="200"/>
      <c r="F138" s="201"/>
      <c r="G138" s="202"/>
      <c r="H138" s="202"/>
      <c r="I138" s="134"/>
      <c r="J138" s="130">
        <v>1</v>
      </c>
      <c r="K138" s="132">
        <f t="shared" si="12"/>
        <v>0</v>
      </c>
      <c r="L138" s="132"/>
      <c r="M138" s="132">
        <v>1</v>
      </c>
      <c r="N138" s="132">
        <f t="shared" si="13"/>
        <v>0</v>
      </c>
      <c r="O138" s="132"/>
      <c r="P138" s="132">
        <v>1</v>
      </c>
      <c r="Q138" s="132">
        <f t="shared" si="17"/>
        <v>0</v>
      </c>
      <c r="R138" s="132"/>
      <c r="S138" s="132">
        <v>1</v>
      </c>
      <c r="T138" s="132">
        <f t="shared" si="14"/>
        <v>0</v>
      </c>
      <c r="U138" s="134"/>
      <c r="V138" s="126">
        <f t="shared" si="15"/>
        <v>0</v>
      </c>
      <c r="W138" s="92">
        <f t="shared" si="16"/>
        <v>0</v>
      </c>
      <c r="X138" s="101"/>
      <c r="Y138" s="210"/>
      <c r="Z138" s="102"/>
      <c r="AA138" s="103"/>
    </row>
    <row r="139" spans="1:27" s="91" customFormat="1" ht="14.4" customHeight="1" thickBot="1" x14ac:dyDescent="0.3">
      <c r="A139" s="143">
        <v>74</v>
      </c>
      <c r="B139" s="185"/>
      <c r="C139" s="145"/>
      <c r="D139" s="146"/>
      <c r="E139" s="146"/>
      <c r="F139" s="187"/>
      <c r="G139" s="148"/>
      <c r="H139" s="148"/>
      <c r="I139" s="131"/>
      <c r="J139" s="130">
        <v>1</v>
      </c>
      <c r="K139" s="132">
        <f t="shared" si="12"/>
        <v>0</v>
      </c>
      <c r="L139" s="132"/>
      <c r="M139" s="132">
        <v>1</v>
      </c>
      <c r="N139" s="132">
        <f t="shared" si="13"/>
        <v>0</v>
      </c>
      <c r="O139" s="132"/>
      <c r="P139" s="132">
        <v>1</v>
      </c>
      <c r="Q139" s="132">
        <f t="shared" si="17"/>
        <v>0</v>
      </c>
      <c r="R139" s="132"/>
      <c r="S139" s="132">
        <v>1</v>
      </c>
      <c r="T139" s="132">
        <f t="shared" si="14"/>
        <v>0</v>
      </c>
      <c r="U139" s="131"/>
      <c r="V139" s="126">
        <f t="shared" si="15"/>
        <v>0</v>
      </c>
      <c r="W139" s="92">
        <f t="shared" si="16"/>
        <v>0</v>
      </c>
      <c r="X139" s="113"/>
      <c r="Y139" s="210"/>
      <c r="Z139" s="89"/>
      <c r="AA139" s="90"/>
    </row>
    <row r="140" spans="1:27" s="96" customFormat="1" ht="15" customHeight="1" thickBot="1" x14ac:dyDescent="0.3">
      <c r="A140" s="137">
        <v>74</v>
      </c>
      <c r="B140" s="186"/>
      <c r="C140" s="139"/>
      <c r="D140" s="140"/>
      <c r="E140" s="140"/>
      <c r="F140" s="188"/>
      <c r="G140" s="142"/>
      <c r="H140" s="142"/>
      <c r="I140" s="130"/>
      <c r="J140" s="130">
        <v>1</v>
      </c>
      <c r="K140" s="132">
        <f t="shared" si="12"/>
        <v>0</v>
      </c>
      <c r="L140" s="132"/>
      <c r="M140" s="132">
        <v>1</v>
      </c>
      <c r="N140" s="132">
        <f t="shared" si="13"/>
        <v>0</v>
      </c>
      <c r="O140" s="132"/>
      <c r="P140" s="132">
        <v>1</v>
      </c>
      <c r="Q140" s="132">
        <f t="shared" si="17"/>
        <v>0</v>
      </c>
      <c r="R140" s="132"/>
      <c r="S140" s="132">
        <v>1</v>
      </c>
      <c r="T140" s="132">
        <f t="shared" si="14"/>
        <v>0</v>
      </c>
      <c r="U140" s="130"/>
      <c r="V140" s="126">
        <f t="shared" si="15"/>
        <v>0</v>
      </c>
      <c r="W140" s="92">
        <f t="shared" si="16"/>
        <v>0</v>
      </c>
      <c r="X140" s="113"/>
      <c r="Y140" s="210"/>
      <c r="Z140" s="94"/>
      <c r="AA140" s="95"/>
    </row>
    <row r="141" spans="1:27" s="91" customFormat="1" ht="14.4" customHeight="1" thickBot="1" x14ac:dyDescent="0.3">
      <c r="A141" s="143">
        <v>75</v>
      </c>
      <c r="B141" s="185"/>
      <c r="C141" s="145"/>
      <c r="D141" s="146"/>
      <c r="E141" s="146"/>
      <c r="F141" s="187"/>
      <c r="G141" s="148"/>
      <c r="H141" s="148"/>
      <c r="I141" s="131"/>
      <c r="J141" s="130">
        <v>1</v>
      </c>
      <c r="K141" s="132">
        <f t="shared" si="12"/>
        <v>0</v>
      </c>
      <c r="L141" s="132"/>
      <c r="M141" s="132">
        <v>1</v>
      </c>
      <c r="N141" s="132">
        <f t="shared" si="13"/>
        <v>0</v>
      </c>
      <c r="O141" s="132"/>
      <c r="P141" s="132">
        <v>1</v>
      </c>
      <c r="Q141" s="132">
        <f t="shared" si="17"/>
        <v>0</v>
      </c>
      <c r="R141" s="132"/>
      <c r="S141" s="132">
        <v>1</v>
      </c>
      <c r="T141" s="132">
        <f t="shared" si="14"/>
        <v>0</v>
      </c>
      <c r="U141" s="131"/>
      <c r="V141" s="126">
        <f t="shared" si="15"/>
        <v>0</v>
      </c>
      <c r="W141" s="92">
        <f t="shared" si="16"/>
        <v>0</v>
      </c>
      <c r="X141" s="113"/>
      <c r="Y141" s="210"/>
      <c r="Z141" s="89"/>
      <c r="AA141" s="90"/>
    </row>
    <row r="142" spans="1:27" s="96" customFormat="1" ht="15" customHeight="1" thickBot="1" x14ac:dyDescent="0.3">
      <c r="A142" s="137">
        <v>75</v>
      </c>
      <c r="B142" s="186"/>
      <c r="C142" s="139"/>
      <c r="D142" s="140"/>
      <c r="E142" s="140"/>
      <c r="F142" s="188"/>
      <c r="G142" s="142"/>
      <c r="H142" s="142"/>
      <c r="I142" s="130"/>
      <c r="J142" s="130">
        <v>1</v>
      </c>
      <c r="K142" s="132">
        <f t="shared" si="12"/>
        <v>0</v>
      </c>
      <c r="L142" s="132"/>
      <c r="M142" s="132">
        <v>1</v>
      </c>
      <c r="N142" s="132">
        <f t="shared" si="13"/>
        <v>0</v>
      </c>
      <c r="O142" s="132"/>
      <c r="P142" s="132">
        <v>1</v>
      </c>
      <c r="Q142" s="132">
        <f t="shared" si="17"/>
        <v>0</v>
      </c>
      <c r="R142" s="132"/>
      <c r="S142" s="132">
        <v>1</v>
      </c>
      <c r="T142" s="132">
        <f t="shared" si="14"/>
        <v>0</v>
      </c>
      <c r="U142" s="130"/>
      <c r="V142" s="126">
        <f t="shared" si="15"/>
        <v>0</v>
      </c>
      <c r="W142" s="92">
        <f t="shared" si="16"/>
        <v>0</v>
      </c>
      <c r="X142" s="113"/>
      <c r="Y142" s="210"/>
      <c r="Z142" s="94"/>
      <c r="AA142" s="95"/>
    </row>
    <row r="143" spans="1:27" s="91" customFormat="1" ht="14.4" customHeight="1" thickBot="1" x14ac:dyDescent="0.3">
      <c r="A143" s="143">
        <v>76</v>
      </c>
      <c r="B143" s="185"/>
      <c r="C143" s="145"/>
      <c r="D143" s="146"/>
      <c r="E143" s="146"/>
      <c r="F143" s="187"/>
      <c r="G143" s="148"/>
      <c r="H143" s="148"/>
      <c r="I143" s="131"/>
      <c r="J143" s="130">
        <v>1</v>
      </c>
      <c r="K143" s="132">
        <f t="shared" si="12"/>
        <v>0</v>
      </c>
      <c r="L143" s="132"/>
      <c r="M143" s="132">
        <v>1</v>
      </c>
      <c r="N143" s="132">
        <f t="shared" si="13"/>
        <v>0</v>
      </c>
      <c r="O143" s="132"/>
      <c r="P143" s="132">
        <v>1</v>
      </c>
      <c r="Q143" s="132">
        <f t="shared" si="17"/>
        <v>0</v>
      </c>
      <c r="R143" s="132"/>
      <c r="S143" s="132">
        <v>1</v>
      </c>
      <c r="T143" s="132">
        <f t="shared" si="14"/>
        <v>0</v>
      </c>
      <c r="U143" s="131"/>
      <c r="V143" s="126">
        <f t="shared" si="15"/>
        <v>0</v>
      </c>
      <c r="W143" s="92">
        <f t="shared" si="16"/>
        <v>0</v>
      </c>
      <c r="X143" s="113"/>
      <c r="Y143" s="210"/>
      <c r="Z143" s="89"/>
      <c r="AA143" s="90"/>
    </row>
    <row r="144" spans="1:27" ht="14.4" customHeight="1" thickBot="1" x14ac:dyDescent="0.3">
      <c r="A144" s="149">
        <v>76</v>
      </c>
      <c r="J144" s="130">
        <v>1</v>
      </c>
      <c r="K144" s="132">
        <f t="shared" si="12"/>
        <v>0</v>
      </c>
      <c r="M144" s="132">
        <v>1</v>
      </c>
      <c r="N144" s="132">
        <f t="shared" si="13"/>
        <v>0</v>
      </c>
      <c r="P144" s="132">
        <v>1</v>
      </c>
      <c r="Q144" s="132">
        <f t="shared" si="17"/>
        <v>0</v>
      </c>
      <c r="S144" s="132">
        <v>1</v>
      </c>
      <c r="T144" s="132">
        <f t="shared" si="14"/>
        <v>0</v>
      </c>
      <c r="V144" s="126">
        <f t="shared" si="15"/>
        <v>0</v>
      </c>
      <c r="W144" s="92">
        <f t="shared" si="16"/>
        <v>0</v>
      </c>
      <c r="X144" s="113"/>
      <c r="Y144" s="210"/>
    </row>
    <row r="145" spans="1:28" ht="14.4" customHeight="1" thickBot="1" x14ac:dyDescent="0.3">
      <c r="A145" s="149">
        <v>76</v>
      </c>
      <c r="J145" s="130">
        <v>1</v>
      </c>
      <c r="K145" s="132">
        <f t="shared" si="12"/>
        <v>0</v>
      </c>
      <c r="M145" s="132">
        <v>1</v>
      </c>
      <c r="N145" s="132">
        <f t="shared" si="13"/>
        <v>0</v>
      </c>
      <c r="P145" s="132">
        <v>1</v>
      </c>
      <c r="Q145" s="132">
        <f t="shared" si="17"/>
        <v>0</v>
      </c>
      <c r="S145" s="132">
        <v>1</v>
      </c>
      <c r="T145" s="132">
        <f t="shared" si="14"/>
        <v>0</v>
      </c>
      <c r="V145" s="126">
        <f t="shared" si="15"/>
        <v>0</v>
      </c>
      <c r="W145" s="92">
        <f t="shared" si="16"/>
        <v>0</v>
      </c>
      <c r="X145" s="113"/>
      <c r="Y145" s="210"/>
    </row>
    <row r="146" spans="1:28" ht="14.4" customHeight="1" thickBot="1" x14ac:dyDescent="0.3">
      <c r="A146" s="149">
        <v>76</v>
      </c>
      <c r="J146" s="130">
        <v>1</v>
      </c>
      <c r="K146" s="132">
        <f t="shared" si="12"/>
        <v>0</v>
      </c>
      <c r="M146" s="132">
        <v>1</v>
      </c>
      <c r="N146" s="132">
        <f t="shared" si="13"/>
        <v>0</v>
      </c>
      <c r="P146" s="132">
        <v>1</v>
      </c>
      <c r="Q146" s="132">
        <f t="shared" si="17"/>
        <v>0</v>
      </c>
      <c r="S146" s="132">
        <v>1</v>
      </c>
      <c r="T146" s="132">
        <f t="shared" si="14"/>
        <v>0</v>
      </c>
      <c r="V146" s="126">
        <f t="shared" si="15"/>
        <v>0</v>
      </c>
      <c r="W146" s="92">
        <f t="shared" si="16"/>
        <v>0</v>
      </c>
      <c r="X146" s="113"/>
      <c r="Y146" s="210"/>
    </row>
    <row r="147" spans="1:28" s="96" customFormat="1" ht="15" customHeight="1" thickBot="1" x14ac:dyDescent="0.3">
      <c r="A147" s="137">
        <v>76</v>
      </c>
      <c r="B147" s="186"/>
      <c r="C147" s="139"/>
      <c r="D147" s="140"/>
      <c r="E147" s="140"/>
      <c r="F147" s="188"/>
      <c r="G147" s="142"/>
      <c r="H147" s="142"/>
      <c r="I147" s="130"/>
      <c r="J147" s="130">
        <v>1</v>
      </c>
      <c r="K147" s="132">
        <f t="shared" si="12"/>
        <v>0</v>
      </c>
      <c r="L147" s="132"/>
      <c r="M147" s="132">
        <v>1</v>
      </c>
      <c r="N147" s="132">
        <f t="shared" si="13"/>
        <v>0</v>
      </c>
      <c r="O147" s="132"/>
      <c r="P147" s="132">
        <v>1</v>
      </c>
      <c r="Q147" s="132">
        <f t="shared" si="17"/>
        <v>0</v>
      </c>
      <c r="R147" s="132"/>
      <c r="S147" s="132">
        <v>1</v>
      </c>
      <c r="T147" s="132">
        <f t="shared" si="14"/>
        <v>0</v>
      </c>
      <c r="U147" s="130"/>
      <c r="V147" s="126">
        <f t="shared" si="15"/>
        <v>0</v>
      </c>
      <c r="W147" s="92">
        <f t="shared" si="16"/>
        <v>0</v>
      </c>
      <c r="X147" s="113"/>
      <c r="Y147" s="210"/>
      <c r="Z147" s="94"/>
      <c r="AA147" s="95"/>
    </row>
    <row r="148" spans="1:28" s="104" customFormat="1" ht="15" customHeight="1" thickBot="1" x14ac:dyDescent="0.3">
      <c r="A148" s="197">
        <v>77</v>
      </c>
      <c r="B148" s="198"/>
      <c r="C148" s="199"/>
      <c r="D148" s="200"/>
      <c r="E148" s="200"/>
      <c r="F148" s="201"/>
      <c r="G148" s="202"/>
      <c r="H148" s="202"/>
      <c r="I148" s="134"/>
      <c r="J148" s="130">
        <v>1</v>
      </c>
      <c r="K148" s="132">
        <f t="shared" si="12"/>
        <v>0</v>
      </c>
      <c r="L148" s="132"/>
      <c r="M148" s="132">
        <v>1</v>
      </c>
      <c r="N148" s="132">
        <f t="shared" si="13"/>
        <v>0</v>
      </c>
      <c r="O148" s="132"/>
      <c r="P148" s="132">
        <v>1</v>
      </c>
      <c r="Q148" s="132">
        <f t="shared" si="17"/>
        <v>0</v>
      </c>
      <c r="R148" s="132"/>
      <c r="S148" s="132">
        <v>1</v>
      </c>
      <c r="T148" s="132">
        <f t="shared" si="14"/>
        <v>0</v>
      </c>
      <c r="U148" s="134"/>
      <c r="V148" s="126">
        <f t="shared" si="15"/>
        <v>0</v>
      </c>
      <c r="W148" s="92">
        <f t="shared" si="16"/>
        <v>0</v>
      </c>
      <c r="X148" s="101"/>
      <c r="Y148" s="210"/>
      <c r="Z148" s="102"/>
      <c r="AA148" s="103"/>
    </row>
    <row r="149" spans="1:28" s="100" customFormat="1" ht="15.75" customHeight="1" thickBot="1" x14ac:dyDescent="0.3">
      <c r="A149" s="155">
        <v>78</v>
      </c>
      <c r="B149" s="174"/>
      <c r="C149" s="157"/>
      <c r="D149" s="158"/>
      <c r="E149" s="158"/>
      <c r="F149" s="208"/>
      <c r="G149" s="160"/>
      <c r="H149" s="160"/>
      <c r="I149" s="133"/>
      <c r="J149" s="130">
        <v>1</v>
      </c>
      <c r="K149" s="132">
        <f t="shared" si="12"/>
        <v>0</v>
      </c>
      <c r="L149" s="132"/>
      <c r="M149" s="132">
        <v>1</v>
      </c>
      <c r="N149" s="132">
        <f t="shared" si="13"/>
        <v>0</v>
      </c>
      <c r="O149" s="132"/>
      <c r="P149" s="132">
        <v>1</v>
      </c>
      <c r="Q149" s="132">
        <f t="shared" si="17"/>
        <v>0</v>
      </c>
      <c r="R149" s="132"/>
      <c r="S149" s="132">
        <v>1</v>
      </c>
      <c r="T149" s="132">
        <f t="shared" si="14"/>
        <v>0</v>
      </c>
      <c r="U149" s="133"/>
      <c r="V149" s="126">
        <f t="shared" si="15"/>
        <v>0</v>
      </c>
      <c r="W149" s="92">
        <f t="shared" si="16"/>
        <v>0</v>
      </c>
      <c r="X149" s="105"/>
      <c r="Y149" s="210"/>
      <c r="Z149" s="106"/>
      <c r="AA149" s="107"/>
    </row>
    <row r="150" spans="1:28" s="91" customFormat="1" ht="14.4" customHeight="1" thickBot="1" x14ac:dyDescent="0.3">
      <c r="A150" s="143">
        <v>79</v>
      </c>
      <c r="B150" s="185"/>
      <c r="C150" s="145"/>
      <c r="D150" s="146"/>
      <c r="E150" s="146"/>
      <c r="F150" s="187"/>
      <c r="G150" s="148"/>
      <c r="H150" s="148"/>
      <c r="I150" s="131"/>
      <c r="J150" s="130">
        <v>1</v>
      </c>
      <c r="K150" s="132">
        <f t="shared" si="12"/>
        <v>0</v>
      </c>
      <c r="L150" s="132"/>
      <c r="M150" s="132">
        <v>1</v>
      </c>
      <c r="N150" s="132">
        <f t="shared" si="13"/>
        <v>0</v>
      </c>
      <c r="O150" s="132"/>
      <c r="P150" s="132">
        <v>1</v>
      </c>
      <c r="Q150" s="132">
        <f t="shared" si="17"/>
        <v>0</v>
      </c>
      <c r="R150" s="132"/>
      <c r="S150" s="132">
        <v>1</v>
      </c>
      <c r="T150" s="132">
        <f t="shared" si="14"/>
        <v>0</v>
      </c>
      <c r="U150" s="131"/>
      <c r="V150" s="126">
        <f t="shared" si="15"/>
        <v>0</v>
      </c>
      <c r="W150" s="92">
        <f t="shared" si="16"/>
        <v>0</v>
      </c>
      <c r="X150" s="113"/>
      <c r="Y150" s="210"/>
      <c r="Z150" s="85"/>
      <c r="AA150" s="85"/>
    </row>
    <row r="151" spans="1:28" s="96" customFormat="1" ht="15" customHeight="1" thickBot="1" x14ac:dyDescent="0.3">
      <c r="A151" s="137">
        <v>79</v>
      </c>
      <c r="B151" s="186"/>
      <c r="C151" s="139"/>
      <c r="D151" s="140"/>
      <c r="E151" s="140"/>
      <c r="F151" s="188"/>
      <c r="G151" s="142"/>
      <c r="H151" s="142"/>
      <c r="I151" s="130"/>
      <c r="J151" s="130">
        <v>1</v>
      </c>
      <c r="K151" s="132">
        <f t="shared" si="12"/>
        <v>0</v>
      </c>
      <c r="L151" s="132"/>
      <c r="M151" s="132">
        <v>1</v>
      </c>
      <c r="N151" s="132">
        <f t="shared" si="13"/>
        <v>0</v>
      </c>
      <c r="O151" s="132"/>
      <c r="P151" s="132">
        <v>1</v>
      </c>
      <c r="Q151" s="132">
        <f t="shared" si="17"/>
        <v>0</v>
      </c>
      <c r="R151" s="132"/>
      <c r="S151" s="132">
        <v>1</v>
      </c>
      <c r="T151" s="132">
        <f t="shared" si="14"/>
        <v>0</v>
      </c>
      <c r="U151" s="130"/>
      <c r="V151" s="126">
        <f t="shared" si="15"/>
        <v>0</v>
      </c>
      <c r="W151" s="92">
        <f t="shared" si="16"/>
        <v>0</v>
      </c>
      <c r="X151" s="113"/>
      <c r="Y151" s="210"/>
      <c r="Z151" s="85"/>
      <c r="AA151" s="85"/>
    </row>
    <row r="152" spans="1:28" s="104" customFormat="1" ht="14.4" thickBot="1" x14ac:dyDescent="0.3">
      <c r="A152" s="197">
        <v>80</v>
      </c>
      <c r="B152" s="198"/>
      <c r="C152" s="199"/>
      <c r="D152" s="200"/>
      <c r="E152" s="200"/>
      <c r="F152" s="201"/>
      <c r="G152" s="202"/>
      <c r="H152" s="202"/>
      <c r="I152" s="134"/>
      <c r="J152" s="130">
        <v>1</v>
      </c>
      <c r="K152" s="132">
        <f t="shared" si="12"/>
        <v>0</v>
      </c>
      <c r="L152" s="132"/>
      <c r="M152" s="132">
        <v>1</v>
      </c>
      <c r="N152" s="132">
        <f t="shared" si="13"/>
        <v>0</v>
      </c>
      <c r="O152" s="132"/>
      <c r="P152" s="132">
        <v>1</v>
      </c>
      <c r="Q152" s="132">
        <f t="shared" si="17"/>
        <v>0</v>
      </c>
      <c r="R152" s="132"/>
      <c r="S152" s="132">
        <v>1</v>
      </c>
      <c r="T152" s="132">
        <f t="shared" si="14"/>
        <v>0</v>
      </c>
      <c r="U152" s="134"/>
      <c r="V152" s="126">
        <f t="shared" si="15"/>
        <v>0</v>
      </c>
      <c r="W152" s="92">
        <f t="shared" si="16"/>
        <v>0</v>
      </c>
      <c r="X152" s="101"/>
      <c r="Y152" s="210"/>
      <c r="Z152" s="102"/>
      <c r="AA152" s="103"/>
    </row>
    <row r="153" spans="1:28" s="100" customFormat="1" ht="15" customHeight="1" thickBot="1" x14ac:dyDescent="0.3">
      <c r="A153" s="155">
        <v>81</v>
      </c>
      <c r="B153" s="174"/>
      <c r="C153" s="157"/>
      <c r="D153" s="158"/>
      <c r="E153" s="158"/>
      <c r="F153" s="189"/>
      <c r="G153" s="160"/>
      <c r="H153" s="160"/>
      <c r="I153" s="133"/>
      <c r="J153" s="130">
        <v>1</v>
      </c>
      <c r="K153" s="132">
        <f t="shared" si="12"/>
        <v>0</v>
      </c>
      <c r="L153" s="132"/>
      <c r="M153" s="132">
        <v>1</v>
      </c>
      <c r="N153" s="132">
        <f t="shared" si="13"/>
        <v>0</v>
      </c>
      <c r="O153" s="132"/>
      <c r="P153" s="132">
        <v>1</v>
      </c>
      <c r="Q153" s="132">
        <f t="shared" si="17"/>
        <v>0</v>
      </c>
      <c r="R153" s="132"/>
      <c r="S153" s="132">
        <v>1</v>
      </c>
      <c r="T153" s="132">
        <f t="shared" si="14"/>
        <v>0</v>
      </c>
      <c r="U153" s="133"/>
      <c r="V153" s="126">
        <f t="shared" si="15"/>
        <v>0</v>
      </c>
      <c r="W153" s="92">
        <f t="shared" si="16"/>
        <v>0</v>
      </c>
      <c r="X153" s="97"/>
      <c r="Y153" s="210"/>
      <c r="Z153" s="98"/>
      <c r="AA153" s="99"/>
    </row>
    <row r="154" spans="1:28" s="91" customFormat="1" ht="14.4" customHeight="1" thickBot="1" x14ac:dyDescent="0.3">
      <c r="A154" s="143">
        <v>82</v>
      </c>
      <c r="B154" s="185"/>
      <c r="C154" s="145"/>
      <c r="D154" s="146"/>
      <c r="E154" s="146"/>
      <c r="F154" s="187"/>
      <c r="G154" s="148"/>
      <c r="H154" s="148"/>
      <c r="I154" s="131"/>
      <c r="J154" s="130">
        <v>1</v>
      </c>
      <c r="K154" s="132">
        <f t="shared" si="12"/>
        <v>0</v>
      </c>
      <c r="L154" s="132"/>
      <c r="M154" s="132">
        <v>1</v>
      </c>
      <c r="N154" s="132">
        <f t="shared" si="13"/>
        <v>0</v>
      </c>
      <c r="O154" s="132"/>
      <c r="P154" s="132">
        <v>1</v>
      </c>
      <c r="Q154" s="132">
        <f t="shared" si="17"/>
        <v>0</v>
      </c>
      <c r="R154" s="132"/>
      <c r="S154" s="132">
        <v>1</v>
      </c>
      <c r="T154" s="132">
        <f t="shared" si="14"/>
        <v>0</v>
      </c>
      <c r="U154" s="131"/>
      <c r="V154" s="126">
        <f t="shared" si="15"/>
        <v>0</v>
      </c>
      <c r="W154" s="92">
        <f t="shared" si="16"/>
        <v>0</v>
      </c>
      <c r="X154" s="113"/>
      <c r="Y154" s="210"/>
      <c r="Z154" s="85"/>
      <c r="AA154" s="85"/>
    </row>
    <row r="155" spans="1:28" ht="14.4" customHeight="1" thickBot="1" x14ac:dyDescent="0.3">
      <c r="A155" s="149">
        <v>82</v>
      </c>
      <c r="J155" s="130">
        <v>1</v>
      </c>
      <c r="K155" s="132">
        <f t="shared" si="12"/>
        <v>0</v>
      </c>
      <c r="M155" s="132">
        <v>1</v>
      </c>
      <c r="N155" s="132">
        <f t="shared" si="13"/>
        <v>0</v>
      </c>
      <c r="P155" s="132">
        <v>1</v>
      </c>
      <c r="Q155" s="132">
        <f t="shared" si="17"/>
        <v>0</v>
      </c>
      <c r="S155" s="132">
        <v>1</v>
      </c>
      <c r="T155" s="132">
        <f t="shared" si="14"/>
        <v>0</v>
      </c>
      <c r="V155" s="126">
        <f t="shared" si="15"/>
        <v>0</v>
      </c>
      <c r="W155" s="92">
        <f t="shared" si="16"/>
        <v>0</v>
      </c>
      <c r="X155" s="113"/>
      <c r="Y155" s="210"/>
      <c r="AA155" s="85"/>
    </row>
    <row r="156" spans="1:28" s="96" customFormat="1" ht="15" customHeight="1" thickBot="1" x14ac:dyDescent="0.3">
      <c r="A156" s="137">
        <v>82</v>
      </c>
      <c r="B156" s="186"/>
      <c r="C156" s="139"/>
      <c r="D156" s="140"/>
      <c r="E156" s="140"/>
      <c r="F156" s="188"/>
      <c r="G156" s="142"/>
      <c r="H156" s="142"/>
      <c r="I156" s="130"/>
      <c r="J156" s="130">
        <v>1</v>
      </c>
      <c r="K156" s="132">
        <f t="shared" si="12"/>
        <v>0</v>
      </c>
      <c r="L156" s="132"/>
      <c r="M156" s="132">
        <v>1</v>
      </c>
      <c r="N156" s="132">
        <f t="shared" si="13"/>
        <v>0</v>
      </c>
      <c r="O156" s="132"/>
      <c r="P156" s="132">
        <v>1</v>
      </c>
      <c r="Q156" s="132">
        <f t="shared" si="17"/>
        <v>0</v>
      </c>
      <c r="R156" s="132"/>
      <c r="S156" s="132">
        <v>1</v>
      </c>
      <c r="T156" s="132">
        <f t="shared" si="14"/>
        <v>0</v>
      </c>
      <c r="U156" s="130"/>
      <c r="V156" s="126">
        <f t="shared" si="15"/>
        <v>0</v>
      </c>
      <c r="W156" s="92">
        <f t="shared" si="16"/>
        <v>0</v>
      </c>
      <c r="X156" s="113"/>
      <c r="Y156" s="210"/>
      <c r="Z156" s="85"/>
      <c r="AA156" s="85"/>
    </row>
    <row r="157" spans="1:28" s="104" customFormat="1" ht="15" customHeight="1" thickBot="1" x14ac:dyDescent="0.3">
      <c r="A157" s="197">
        <v>83</v>
      </c>
      <c r="B157" s="198"/>
      <c r="C157" s="199"/>
      <c r="D157" s="200"/>
      <c r="E157" s="200"/>
      <c r="F157" s="201"/>
      <c r="G157" s="202"/>
      <c r="H157" s="202"/>
      <c r="I157" s="134"/>
      <c r="J157" s="130">
        <v>1</v>
      </c>
      <c r="K157" s="132">
        <f t="shared" si="12"/>
        <v>0</v>
      </c>
      <c r="L157" s="132"/>
      <c r="M157" s="132">
        <v>1</v>
      </c>
      <c r="N157" s="132">
        <f t="shared" si="13"/>
        <v>0</v>
      </c>
      <c r="O157" s="132"/>
      <c r="P157" s="132">
        <v>1</v>
      </c>
      <c r="Q157" s="132">
        <f t="shared" si="17"/>
        <v>0</v>
      </c>
      <c r="R157" s="132"/>
      <c r="S157" s="132">
        <v>1</v>
      </c>
      <c r="T157" s="132">
        <f t="shared" si="14"/>
        <v>0</v>
      </c>
      <c r="U157" s="134"/>
      <c r="V157" s="126">
        <f t="shared" si="15"/>
        <v>0</v>
      </c>
      <c r="W157" s="92">
        <f t="shared" si="16"/>
        <v>0</v>
      </c>
      <c r="X157" s="101"/>
      <c r="Y157" s="210"/>
      <c r="Z157" s="102"/>
      <c r="AA157" s="103"/>
    </row>
    <row r="158" spans="1:28" s="100" customFormat="1" ht="15" customHeight="1" thickBot="1" x14ac:dyDescent="0.3">
      <c r="A158" s="155">
        <v>84</v>
      </c>
      <c r="B158" s="174"/>
      <c r="C158" s="157"/>
      <c r="D158" s="158"/>
      <c r="E158" s="158"/>
      <c r="F158" s="189"/>
      <c r="G158" s="160"/>
      <c r="H158" s="160"/>
      <c r="I158" s="133"/>
      <c r="J158" s="130">
        <v>1</v>
      </c>
      <c r="K158" s="132">
        <f t="shared" si="12"/>
        <v>0</v>
      </c>
      <c r="L158" s="132"/>
      <c r="M158" s="132">
        <v>1</v>
      </c>
      <c r="N158" s="132">
        <f t="shared" si="13"/>
        <v>0</v>
      </c>
      <c r="O158" s="132"/>
      <c r="P158" s="132">
        <v>1</v>
      </c>
      <c r="Q158" s="132">
        <f t="shared" si="17"/>
        <v>0</v>
      </c>
      <c r="R158" s="132"/>
      <c r="S158" s="132">
        <v>1</v>
      </c>
      <c r="T158" s="132">
        <f t="shared" si="14"/>
        <v>0</v>
      </c>
      <c r="U158" s="133"/>
      <c r="V158" s="126">
        <f t="shared" si="15"/>
        <v>0</v>
      </c>
      <c r="W158" s="92">
        <f t="shared" si="16"/>
        <v>0</v>
      </c>
      <c r="X158" s="97"/>
      <c r="Y158" s="210"/>
      <c r="Z158" s="98"/>
      <c r="AA158" s="99"/>
    </row>
    <row r="159" spans="1:28" s="100" customFormat="1" ht="14.4" customHeight="1" thickBot="1" x14ac:dyDescent="0.3">
      <c r="A159" s="155">
        <v>85</v>
      </c>
      <c r="B159" s="174"/>
      <c r="C159" s="157"/>
      <c r="D159" s="158"/>
      <c r="E159" s="158"/>
      <c r="F159" s="189"/>
      <c r="G159" s="160"/>
      <c r="H159" s="160"/>
      <c r="I159" s="133"/>
      <c r="J159" s="130">
        <v>1</v>
      </c>
      <c r="K159" s="132">
        <f t="shared" si="12"/>
        <v>0</v>
      </c>
      <c r="L159" s="132"/>
      <c r="M159" s="132">
        <v>1</v>
      </c>
      <c r="N159" s="132">
        <f t="shared" si="13"/>
        <v>0</v>
      </c>
      <c r="O159" s="132"/>
      <c r="P159" s="132">
        <v>1</v>
      </c>
      <c r="Q159" s="132">
        <f t="shared" si="17"/>
        <v>0</v>
      </c>
      <c r="R159" s="132"/>
      <c r="S159" s="132">
        <v>1</v>
      </c>
      <c r="T159" s="132">
        <f t="shared" si="14"/>
        <v>0</v>
      </c>
      <c r="U159" s="133"/>
      <c r="V159" s="126">
        <f t="shared" si="15"/>
        <v>0</v>
      </c>
      <c r="W159" s="92">
        <f t="shared" si="16"/>
        <v>0</v>
      </c>
      <c r="X159" s="97"/>
      <c r="Y159" s="210"/>
      <c r="Z159" s="98"/>
      <c r="AA159" s="108"/>
      <c r="AB159" s="109"/>
    </row>
    <row r="160" spans="1:28" s="100" customFormat="1" ht="14.4" customHeight="1" thickBot="1" x14ac:dyDescent="0.3">
      <c r="A160" s="155">
        <v>86</v>
      </c>
      <c r="B160" s="174"/>
      <c r="C160" s="157"/>
      <c r="D160" s="158"/>
      <c r="E160" s="158"/>
      <c r="F160" s="189"/>
      <c r="G160" s="160"/>
      <c r="H160" s="160"/>
      <c r="I160" s="133"/>
      <c r="J160" s="130">
        <v>1</v>
      </c>
      <c r="K160" s="132">
        <f t="shared" si="12"/>
        <v>0</v>
      </c>
      <c r="L160" s="132"/>
      <c r="M160" s="132">
        <v>1</v>
      </c>
      <c r="N160" s="132">
        <f t="shared" si="13"/>
        <v>0</v>
      </c>
      <c r="O160" s="132"/>
      <c r="P160" s="132">
        <v>1</v>
      </c>
      <c r="Q160" s="132">
        <f t="shared" si="17"/>
        <v>0</v>
      </c>
      <c r="R160" s="132"/>
      <c r="S160" s="132">
        <v>1</v>
      </c>
      <c r="T160" s="132">
        <f t="shared" si="14"/>
        <v>0</v>
      </c>
      <c r="U160" s="133"/>
      <c r="V160" s="126">
        <f t="shared" si="15"/>
        <v>0</v>
      </c>
      <c r="W160" s="92">
        <f t="shared" si="16"/>
        <v>0</v>
      </c>
      <c r="X160" s="97"/>
      <c r="Y160" s="210"/>
      <c r="Z160" s="98"/>
      <c r="AA160" s="99"/>
    </row>
    <row r="161" spans="1:27" s="91" customFormat="1" ht="14.4" customHeight="1" thickBot="1" x14ac:dyDescent="0.3">
      <c r="A161" s="143"/>
      <c r="B161" s="185"/>
      <c r="C161" s="145"/>
      <c r="D161" s="146"/>
      <c r="E161" s="146"/>
      <c r="F161" s="187"/>
      <c r="G161" s="148"/>
      <c r="H161" s="148"/>
      <c r="I161" s="131"/>
      <c r="J161" s="130">
        <v>1</v>
      </c>
      <c r="K161" s="132">
        <f t="shared" si="12"/>
        <v>0</v>
      </c>
      <c r="L161" s="132"/>
      <c r="M161" s="132">
        <v>1</v>
      </c>
      <c r="N161" s="132">
        <f t="shared" si="13"/>
        <v>0</v>
      </c>
      <c r="O161" s="132"/>
      <c r="P161" s="132">
        <v>1</v>
      </c>
      <c r="Q161" s="132">
        <f t="shared" si="17"/>
        <v>0</v>
      </c>
      <c r="R161" s="132"/>
      <c r="S161" s="132">
        <v>1</v>
      </c>
      <c r="T161" s="132">
        <f t="shared" si="14"/>
        <v>0</v>
      </c>
      <c r="U161" s="131"/>
      <c r="V161" s="126">
        <f t="shared" si="15"/>
        <v>0</v>
      </c>
      <c r="W161" s="92">
        <f t="shared" si="16"/>
        <v>0</v>
      </c>
      <c r="X161" s="88"/>
      <c r="Y161" s="210"/>
      <c r="Z161" s="89"/>
      <c r="AA161" s="90"/>
    </row>
    <row r="162" spans="1:27" ht="14.4" customHeight="1" thickBot="1" x14ac:dyDescent="0.3">
      <c r="A162" s="149"/>
      <c r="J162" s="130">
        <v>1</v>
      </c>
      <c r="K162" s="132">
        <f t="shared" si="12"/>
        <v>0</v>
      </c>
      <c r="M162" s="132">
        <v>1</v>
      </c>
      <c r="N162" s="132">
        <f t="shared" si="13"/>
        <v>0</v>
      </c>
      <c r="P162" s="132">
        <v>1</v>
      </c>
      <c r="Q162" s="132">
        <f t="shared" si="17"/>
        <v>0</v>
      </c>
      <c r="S162" s="132">
        <v>1</v>
      </c>
      <c r="T162" s="132">
        <f t="shared" si="14"/>
        <v>0</v>
      </c>
      <c r="V162" s="126">
        <f t="shared" si="15"/>
        <v>0</v>
      </c>
      <c r="W162" s="92">
        <f t="shared" si="16"/>
        <v>0</v>
      </c>
      <c r="Y162" s="210"/>
    </row>
    <row r="163" spans="1:27" ht="14.4" customHeight="1" thickBot="1" x14ac:dyDescent="0.3">
      <c r="A163" s="149"/>
      <c r="J163" s="130">
        <v>1</v>
      </c>
      <c r="K163" s="132">
        <f t="shared" si="12"/>
        <v>0</v>
      </c>
      <c r="M163" s="132">
        <v>1</v>
      </c>
      <c r="N163" s="132">
        <f t="shared" si="13"/>
        <v>0</v>
      </c>
      <c r="P163" s="132">
        <v>1</v>
      </c>
      <c r="Q163" s="132">
        <f t="shared" si="17"/>
        <v>0</v>
      </c>
      <c r="S163" s="132">
        <v>1</v>
      </c>
      <c r="T163" s="132">
        <f t="shared" si="14"/>
        <v>0</v>
      </c>
      <c r="V163" s="126">
        <f t="shared" si="15"/>
        <v>0</v>
      </c>
      <c r="W163" s="92">
        <f t="shared" si="16"/>
        <v>0</v>
      </c>
      <c r="Y163" s="210"/>
    </row>
    <row r="164" spans="1:27" ht="14.4" customHeight="1" thickBot="1" x14ac:dyDescent="0.3">
      <c r="A164" s="149"/>
      <c r="J164" s="130">
        <v>1</v>
      </c>
      <c r="K164" s="132">
        <f t="shared" si="12"/>
        <v>0</v>
      </c>
      <c r="M164" s="132">
        <v>1</v>
      </c>
      <c r="N164" s="132">
        <f t="shared" si="13"/>
        <v>0</v>
      </c>
      <c r="P164" s="132">
        <v>1</v>
      </c>
      <c r="Q164" s="132">
        <f t="shared" si="17"/>
        <v>0</v>
      </c>
      <c r="S164" s="132">
        <v>1</v>
      </c>
      <c r="T164" s="132">
        <f t="shared" si="14"/>
        <v>0</v>
      </c>
      <c r="V164" s="126">
        <f t="shared" si="15"/>
        <v>0</v>
      </c>
      <c r="W164" s="92">
        <f t="shared" si="16"/>
        <v>0</v>
      </c>
      <c r="Y164" s="210"/>
    </row>
    <row r="165" spans="1:27" ht="14.4" customHeight="1" thickBot="1" x14ac:dyDescent="0.3">
      <c r="A165" s="149"/>
      <c r="J165" s="130">
        <v>1</v>
      </c>
      <c r="K165" s="132">
        <f t="shared" si="12"/>
        <v>0</v>
      </c>
      <c r="M165" s="132">
        <v>1</v>
      </c>
      <c r="N165" s="132">
        <f t="shared" si="13"/>
        <v>0</v>
      </c>
      <c r="P165" s="132">
        <v>1</v>
      </c>
      <c r="Q165" s="132">
        <f t="shared" si="17"/>
        <v>0</v>
      </c>
      <c r="S165" s="132">
        <v>1</v>
      </c>
      <c r="T165" s="132">
        <f t="shared" si="14"/>
        <v>0</v>
      </c>
      <c r="V165" s="126">
        <f t="shared" si="15"/>
        <v>0</v>
      </c>
      <c r="W165" s="92">
        <f t="shared" si="16"/>
        <v>0</v>
      </c>
      <c r="Y165" s="210"/>
    </row>
    <row r="166" spans="1:27" ht="14.4" customHeight="1" thickBot="1" x14ac:dyDescent="0.3">
      <c r="A166" s="149"/>
      <c r="J166" s="130">
        <v>1</v>
      </c>
      <c r="K166" s="132">
        <f t="shared" si="12"/>
        <v>0</v>
      </c>
      <c r="M166" s="132">
        <v>1</v>
      </c>
      <c r="N166" s="132">
        <f t="shared" si="13"/>
        <v>0</v>
      </c>
      <c r="P166" s="132">
        <v>1</v>
      </c>
      <c r="Q166" s="132">
        <f t="shared" si="17"/>
        <v>0</v>
      </c>
      <c r="S166" s="132">
        <v>1</v>
      </c>
      <c r="T166" s="132">
        <f t="shared" si="14"/>
        <v>0</v>
      </c>
      <c r="V166" s="126">
        <f t="shared" si="15"/>
        <v>0</v>
      </c>
      <c r="W166" s="92">
        <f t="shared" si="16"/>
        <v>0</v>
      </c>
      <c r="Y166" s="210"/>
    </row>
    <row r="167" spans="1:27" ht="14.4" customHeight="1" thickBot="1" x14ac:dyDescent="0.3">
      <c r="A167" s="149"/>
      <c r="J167" s="130">
        <v>1</v>
      </c>
      <c r="K167" s="132">
        <f t="shared" si="12"/>
        <v>0</v>
      </c>
      <c r="M167" s="132">
        <v>1</v>
      </c>
      <c r="N167" s="132">
        <f t="shared" si="13"/>
        <v>0</v>
      </c>
      <c r="P167" s="132">
        <v>1</v>
      </c>
      <c r="Q167" s="132">
        <f t="shared" si="17"/>
        <v>0</v>
      </c>
      <c r="S167" s="132">
        <v>1</v>
      </c>
      <c r="T167" s="132">
        <f t="shared" si="14"/>
        <v>0</v>
      </c>
      <c r="V167" s="126">
        <f t="shared" si="15"/>
        <v>0</v>
      </c>
      <c r="W167" s="92">
        <f t="shared" si="16"/>
        <v>0</v>
      </c>
      <c r="Y167" s="210"/>
    </row>
    <row r="168" spans="1:27" ht="14.4" customHeight="1" thickBot="1" x14ac:dyDescent="0.3">
      <c r="A168" s="149"/>
      <c r="J168" s="130">
        <v>1</v>
      </c>
      <c r="K168" s="132">
        <f t="shared" si="12"/>
        <v>0</v>
      </c>
      <c r="M168" s="132">
        <v>1</v>
      </c>
      <c r="N168" s="132">
        <f t="shared" si="13"/>
        <v>0</v>
      </c>
      <c r="P168" s="132">
        <v>1</v>
      </c>
      <c r="Q168" s="132">
        <f t="shared" si="17"/>
        <v>0</v>
      </c>
      <c r="S168" s="132">
        <v>1</v>
      </c>
      <c r="T168" s="132">
        <f t="shared" si="14"/>
        <v>0</v>
      </c>
      <c r="V168" s="126">
        <f t="shared" si="15"/>
        <v>0</v>
      </c>
      <c r="W168" s="92">
        <f t="shared" si="16"/>
        <v>0</v>
      </c>
      <c r="Y168" s="210"/>
    </row>
    <row r="169" spans="1:27" ht="14.4" customHeight="1" thickBot="1" x14ac:dyDescent="0.3">
      <c r="A169" s="149"/>
      <c r="J169" s="130">
        <v>1</v>
      </c>
      <c r="K169" s="132">
        <f t="shared" si="12"/>
        <v>0</v>
      </c>
      <c r="M169" s="132">
        <v>1</v>
      </c>
      <c r="N169" s="132">
        <f t="shared" si="13"/>
        <v>0</v>
      </c>
      <c r="P169" s="132">
        <v>1</v>
      </c>
      <c r="Q169" s="132">
        <f t="shared" si="17"/>
        <v>0</v>
      </c>
      <c r="S169" s="132">
        <v>1</v>
      </c>
      <c r="T169" s="132">
        <f t="shared" si="14"/>
        <v>0</v>
      </c>
      <c r="V169" s="126">
        <f t="shared" si="15"/>
        <v>0</v>
      </c>
      <c r="W169" s="92">
        <f t="shared" si="16"/>
        <v>0</v>
      </c>
      <c r="Y169" s="210"/>
    </row>
    <row r="170" spans="1:27" ht="14.4" customHeight="1" thickBot="1" x14ac:dyDescent="0.3">
      <c r="A170" s="149"/>
      <c r="J170" s="130">
        <v>1</v>
      </c>
      <c r="K170" s="132">
        <f t="shared" si="12"/>
        <v>0</v>
      </c>
      <c r="M170" s="132">
        <v>1</v>
      </c>
      <c r="N170" s="132">
        <f t="shared" si="13"/>
        <v>0</v>
      </c>
      <c r="P170" s="132">
        <v>1</v>
      </c>
      <c r="Q170" s="132">
        <f t="shared" si="17"/>
        <v>0</v>
      </c>
      <c r="S170" s="132">
        <v>1</v>
      </c>
      <c r="T170" s="132">
        <f t="shared" si="14"/>
        <v>0</v>
      </c>
      <c r="V170" s="126">
        <f t="shared" si="15"/>
        <v>0</v>
      </c>
      <c r="W170" s="92">
        <f t="shared" si="16"/>
        <v>0</v>
      </c>
      <c r="Y170" s="210"/>
    </row>
    <row r="171" spans="1:27" ht="14.4" customHeight="1" thickBot="1" x14ac:dyDescent="0.3">
      <c r="A171" s="149"/>
      <c r="J171" s="130">
        <v>1</v>
      </c>
      <c r="K171" s="132">
        <f t="shared" si="12"/>
        <v>0</v>
      </c>
      <c r="M171" s="132">
        <v>1</v>
      </c>
      <c r="N171" s="132">
        <f t="shared" si="13"/>
        <v>0</v>
      </c>
      <c r="P171" s="132">
        <v>1</v>
      </c>
      <c r="Q171" s="132">
        <f t="shared" si="17"/>
        <v>0</v>
      </c>
      <c r="S171" s="132">
        <v>1</v>
      </c>
      <c r="T171" s="132">
        <f t="shared" si="14"/>
        <v>0</v>
      </c>
      <c r="V171" s="126">
        <f t="shared" si="15"/>
        <v>0</v>
      </c>
      <c r="W171" s="92">
        <f t="shared" si="16"/>
        <v>0</v>
      </c>
      <c r="Y171" s="210"/>
    </row>
    <row r="172" spans="1:27" ht="14.4" customHeight="1" thickBot="1" x14ac:dyDescent="0.3">
      <c r="A172" s="149"/>
      <c r="J172" s="130">
        <v>1</v>
      </c>
      <c r="K172" s="132">
        <f t="shared" si="12"/>
        <v>0</v>
      </c>
      <c r="M172" s="132">
        <v>1</v>
      </c>
      <c r="N172" s="132">
        <f t="shared" si="13"/>
        <v>0</v>
      </c>
      <c r="P172" s="132">
        <v>1</v>
      </c>
      <c r="Q172" s="132">
        <f t="shared" si="17"/>
        <v>0</v>
      </c>
      <c r="S172" s="132">
        <v>1</v>
      </c>
      <c r="T172" s="132">
        <f t="shared" si="14"/>
        <v>0</v>
      </c>
      <c r="V172" s="126">
        <f t="shared" si="15"/>
        <v>0</v>
      </c>
      <c r="W172" s="92">
        <f t="shared" si="16"/>
        <v>0</v>
      </c>
      <c r="Y172" s="210"/>
    </row>
    <row r="173" spans="1:27" ht="14.4" customHeight="1" thickBot="1" x14ac:dyDescent="0.3">
      <c r="A173" s="149"/>
      <c r="J173" s="130">
        <v>1</v>
      </c>
      <c r="K173" s="132">
        <f t="shared" si="12"/>
        <v>0</v>
      </c>
      <c r="M173" s="132">
        <v>1</v>
      </c>
      <c r="N173" s="132">
        <f t="shared" si="13"/>
        <v>0</v>
      </c>
      <c r="P173" s="132">
        <v>1</v>
      </c>
      <c r="Q173" s="132">
        <f t="shared" si="17"/>
        <v>0</v>
      </c>
      <c r="S173" s="132">
        <v>1</v>
      </c>
      <c r="T173" s="132">
        <f t="shared" si="14"/>
        <v>0</v>
      </c>
      <c r="V173" s="126">
        <f t="shared" si="15"/>
        <v>0</v>
      </c>
      <c r="W173" s="92">
        <f t="shared" si="16"/>
        <v>0</v>
      </c>
      <c r="Y173" s="210"/>
    </row>
    <row r="174" spans="1:27" ht="14.4" customHeight="1" thickBot="1" x14ac:dyDescent="0.3">
      <c r="A174" s="149"/>
      <c r="J174" s="130">
        <v>1</v>
      </c>
      <c r="K174" s="132">
        <f t="shared" si="12"/>
        <v>0</v>
      </c>
      <c r="M174" s="132">
        <v>1</v>
      </c>
      <c r="N174" s="132">
        <f t="shared" si="13"/>
        <v>0</v>
      </c>
      <c r="P174" s="132">
        <v>1</v>
      </c>
      <c r="Q174" s="132">
        <f t="shared" si="17"/>
        <v>0</v>
      </c>
      <c r="S174" s="132">
        <v>1</v>
      </c>
      <c r="T174" s="132">
        <f t="shared" si="14"/>
        <v>0</v>
      </c>
      <c r="V174" s="126">
        <f t="shared" si="15"/>
        <v>0</v>
      </c>
      <c r="W174" s="92">
        <f t="shared" si="16"/>
        <v>0</v>
      </c>
      <c r="Y174" s="210"/>
    </row>
    <row r="175" spans="1:27" ht="14.4" customHeight="1" thickBot="1" x14ac:dyDescent="0.3">
      <c r="A175" s="149"/>
      <c r="J175" s="130">
        <v>1</v>
      </c>
      <c r="K175" s="132">
        <f t="shared" si="12"/>
        <v>0</v>
      </c>
      <c r="M175" s="132">
        <v>1</v>
      </c>
      <c r="N175" s="132">
        <f t="shared" si="13"/>
        <v>0</v>
      </c>
      <c r="P175" s="132">
        <v>1</v>
      </c>
      <c r="Q175" s="132">
        <f t="shared" si="17"/>
        <v>0</v>
      </c>
      <c r="S175" s="132">
        <v>1</v>
      </c>
      <c r="T175" s="132">
        <f t="shared" si="14"/>
        <v>0</v>
      </c>
      <c r="V175" s="126">
        <f t="shared" si="15"/>
        <v>0</v>
      </c>
      <c r="W175" s="92">
        <f t="shared" si="16"/>
        <v>0</v>
      </c>
      <c r="Y175" s="210"/>
    </row>
    <row r="176" spans="1:27" ht="14.4" customHeight="1" thickBot="1" x14ac:dyDescent="0.3">
      <c r="A176" s="149"/>
      <c r="J176" s="130">
        <v>1</v>
      </c>
      <c r="K176" s="132">
        <f t="shared" si="12"/>
        <v>0</v>
      </c>
      <c r="M176" s="132">
        <v>1</v>
      </c>
      <c r="N176" s="132">
        <f t="shared" si="13"/>
        <v>0</v>
      </c>
      <c r="P176" s="132">
        <v>1</v>
      </c>
      <c r="Q176" s="132">
        <f t="shared" si="17"/>
        <v>0</v>
      </c>
      <c r="S176" s="132">
        <v>1</v>
      </c>
      <c r="T176" s="132">
        <f t="shared" si="14"/>
        <v>0</v>
      </c>
      <c r="V176" s="126">
        <f t="shared" si="15"/>
        <v>0</v>
      </c>
      <c r="W176" s="92">
        <f t="shared" si="16"/>
        <v>0</v>
      </c>
      <c r="Y176" s="210"/>
    </row>
    <row r="177" spans="1:25" ht="14.4" customHeight="1" thickBot="1" x14ac:dyDescent="0.3">
      <c r="A177" s="149"/>
      <c r="J177" s="130">
        <v>1</v>
      </c>
      <c r="K177" s="132">
        <f t="shared" si="12"/>
        <v>0</v>
      </c>
      <c r="M177" s="132">
        <v>1</v>
      </c>
      <c r="N177" s="132">
        <f t="shared" si="13"/>
        <v>0</v>
      </c>
      <c r="P177" s="132">
        <v>1</v>
      </c>
      <c r="Q177" s="132">
        <f t="shared" si="17"/>
        <v>0</v>
      </c>
      <c r="S177" s="132">
        <v>1</v>
      </c>
      <c r="T177" s="132">
        <f t="shared" si="14"/>
        <v>0</v>
      </c>
      <c r="V177" s="126">
        <f t="shared" si="15"/>
        <v>0</v>
      </c>
      <c r="W177" s="92">
        <f t="shared" si="16"/>
        <v>0</v>
      </c>
      <c r="Y177" s="210"/>
    </row>
    <row r="178" spans="1:25" ht="14.4" customHeight="1" thickBot="1" x14ac:dyDescent="0.3">
      <c r="A178" s="149"/>
      <c r="J178" s="130">
        <v>1</v>
      </c>
      <c r="K178" s="132">
        <f t="shared" si="12"/>
        <v>0</v>
      </c>
      <c r="M178" s="132">
        <v>1</v>
      </c>
      <c r="N178" s="132">
        <f t="shared" si="13"/>
        <v>0</v>
      </c>
      <c r="P178" s="132">
        <v>1</v>
      </c>
      <c r="Q178" s="132">
        <f t="shared" si="17"/>
        <v>0</v>
      </c>
      <c r="S178" s="132">
        <v>1</v>
      </c>
      <c r="T178" s="132">
        <f t="shared" si="14"/>
        <v>0</v>
      </c>
      <c r="V178" s="126">
        <f t="shared" si="15"/>
        <v>0</v>
      </c>
      <c r="W178" s="92">
        <f t="shared" si="16"/>
        <v>0</v>
      </c>
      <c r="Y178" s="210"/>
    </row>
    <row r="179" spans="1:25" ht="14.4" customHeight="1" thickBot="1" x14ac:dyDescent="0.3">
      <c r="A179" s="149"/>
      <c r="J179" s="130">
        <v>1</v>
      </c>
      <c r="K179" s="132">
        <f t="shared" si="12"/>
        <v>0</v>
      </c>
      <c r="M179" s="132">
        <v>1</v>
      </c>
      <c r="N179" s="132">
        <f t="shared" si="13"/>
        <v>0</v>
      </c>
      <c r="P179" s="132">
        <v>1</v>
      </c>
      <c r="Q179" s="132">
        <f t="shared" si="17"/>
        <v>0</v>
      </c>
      <c r="S179" s="132">
        <v>1</v>
      </c>
      <c r="T179" s="132">
        <f t="shared" si="14"/>
        <v>0</v>
      </c>
      <c r="V179" s="126">
        <f t="shared" si="15"/>
        <v>0</v>
      </c>
      <c r="W179" s="92">
        <f t="shared" si="16"/>
        <v>0</v>
      </c>
      <c r="Y179" s="210"/>
    </row>
    <row r="180" spans="1:25" ht="14.4" customHeight="1" thickBot="1" x14ac:dyDescent="0.3">
      <c r="A180" s="149"/>
      <c r="J180" s="130">
        <v>1</v>
      </c>
      <c r="K180" s="132">
        <f t="shared" si="12"/>
        <v>0</v>
      </c>
      <c r="M180" s="132">
        <v>1</v>
      </c>
      <c r="N180" s="132">
        <f t="shared" si="13"/>
        <v>0</v>
      </c>
      <c r="P180" s="132">
        <v>1</v>
      </c>
      <c r="Q180" s="132">
        <f t="shared" si="17"/>
        <v>0</v>
      </c>
      <c r="S180" s="132">
        <v>1</v>
      </c>
      <c r="T180" s="132">
        <f t="shared" si="14"/>
        <v>0</v>
      </c>
      <c r="V180" s="126">
        <f t="shared" si="15"/>
        <v>0</v>
      </c>
      <c r="W180" s="92">
        <f t="shared" si="16"/>
        <v>0</v>
      </c>
      <c r="Y180" s="210"/>
    </row>
    <row r="181" spans="1:25" ht="14.4" customHeight="1" thickBot="1" x14ac:dyDescent="0.3">
      <c r="A181" s="149"/>
      <c r="J181" s="130">
        <v>1</v>
      </c>
      <c r="K181" s="132">
        <f t="shared" si="12"/>
        <v>0</v>
      </c>
      <c r="M181" s="132">
        <v>1</v>
      </c>
      <c r="N181" s="132">
        <f t="shared" si="13"/>
        <v>0</v>
      </c>
      <c r="P181" s="132">
        <v>1</v>
      </c>
      <c r="Q181" s="132">
        <f t="shared" si="17"/>
        <v>0</v>
      </c>
      <c r="S181" s="132">
        <v>1</v>
      </c>
      <c r="T181" s="132">
        <f t="shared" si="14"/>
        <v>0</v>
      </c>
      <c r="V181" s="126">
        <f t="shared" si="15"/>
        <v>0</v>
      </c>
      <c r="W181" s="92">
        <f t="shared" si="16"/>
        <v>0</v>
      </c>
      <c r="Y181" s="210"/>
    </row>
    <row r="182" spans="1:25" ht="14.4" customHeight="1" thickBot="1" x14ac:dyDescent="0.3">
      <c r="A182" s="149"/>
      <c r="J182" s="130">
        <v>1</v>
      </c>
      <c r="K182" s="132">
        <f t="shared" si="12"/>
        <v>0</v>
      </c>
      <c r="M182" s="132">
        <v>1</v>
      </c>
      <c r="N182" s="132">
        <f t="shared" si="13"/>
        <v>0</v>
      </c>
      <c r="P182" s="132">
        <v>1</v>
      </c>
      <c r="Q182" s="132">
        <f t="shared" si="17"/>
        <v>0</v>
      </c>
      <c r="S182" s="132">
        <v>1</v>
      </c>
      <c r="T182" s="132">
        <f t="shared" si="14"/>
        <v>0</v>
      </c>
      <c r="V182" s="126">
        <f t="shared" si="15"/>
        <v>0</v>
      </c>
      <c r="W182" s="92">
        <f t="shared" si="16"/>
        <v>0</v>
      </c>
      <c r="Y182" s="210"/>
    </row>
    <row r="183" spans="1:25" ht="14.4" customHeight="1" thickBot="1" x14ac:dyDescent="0.3">
      <c r="A183" s="149"/>
      <c r="J183" s="130">
        <v>1</v>
      </c>
      <c r="K183" s="132">
        <f t="shared" si="12"/>
        <v>0</v>
      </c>
      <c r="M183" s="132">
        <v>1</v>
      </c>
      <c r="N183" s="132">
        <f t="shared" si="13"/>
        <v>0</v>
      </c>
      <c r="P183" s="132">
        <v>1</v>
      </c>
      <c r="Q183" s="132">
        <f t="shared" si="17"/>
        <v>0</v>
      </c>
      <c r="S183" s="132">
        <v>1</v>
      </c>
      <c r="T183" s="132">
        <f t="shared" si="14"/>
        <v>0</v>
      </c>
      <c r="V183" s="126">
        <f t="shared" si="15"/>
        <v>0</v>
      </c>
      <c r="W183" s="92">
        <f t="shared" si="16"/>
        <v>0</v>
      </c>
      <c r="Y183" s="210"/>
    </row>
    <row r="184" spans="1:25" ht="14.4" customHeight="1" thickBot="1" x14ac:dyDescent="0.3">
      <c r="A184" s="149"/>
      <c r="J184" s="130">
        <v>1</v>
      </c>
      <c r="K184" s="132">
        <f t="shared" si="12"/>
        <v>0</v>
      </c>
      <c r="M184" s="132">
        <v>1</v>
      </c>
      <c r="N184" s="132">
        <f t="shared" si="13"/>
        <v>0</v>
      </c>
      <c r="P184" s="132">
        <v>1</v>
      </c>
      <c r="Q184" s="132">
        <f t="shared" si="17"/>
        <v>0</v>
      </c>
      <c r="S184" s="132">
        <v>1</v>
      </c>
      <c r="T184" s="132">
        <f t="shared" si="14"/>
        <v>0</v>
      </c>
      <c r="V184" s="126">
        <f t="shared" si="15"/>
        <v>0</v>
      </c>
      <c r="W184" s="92">
        <f t="shared" si="16"/>
        <v>0</v>
      </c>
      <c r="Y184" s="210"/>
    </row>
    <row r="185" spans="1:25" ht="14.4" customHeight="1" thickBot="1" x14ac:dyDescent="0.3">
      <c r="A185" s="149"/>
      <c r="J185" s="130">
        <v>1</v>
      </c>
      <c r="K185" s="132">
        <f t="shared" si="12"/>
        <v>0</v>
      </c>
      <c r="M185" s="132">
        <v>1</v>
      </c>
      <c r="N185" s="132">
        <f t="shared" si="13"/>
        <v>0</v>
      </c>
      <c r="P185" s="132">
        <v>1</v>
      </c>
      <c r="Q185" s="132">
        <f t="shared" si="17"/>
        <v>0</v>
      </c>
      <c r="S185" s="132">
        <v>1</v>
      </c>
      <c r="T185" s="132">
        <f t="shared" si="14"/>
        <v>0</v>
      </c>
      <c r="V185" s="126">
        <f t="shared" si="15"/>
        <v>0</v>
      </c>
      <c r="W185" s="92">
        <f t="shared" si="16"/>
        <v>0</v>
      </c>
      <c r="Y185" s="210"/>
    </row>
    <row r="186" spans="1:25" ht="14.4" customHeight="1" thickBot="1" x14ac:dyDescent="0.3">
      <c r="A186" s="149"/>
      <c r="J186" s="130">
        <v>1</v>
      </c>
      <c r="K186" s="132">
        <f t="shared" si="12"/>
        <v>0</v>
      </c>
      <c r="M186" s="132">
        <v>1</v>
      </c>
      <c r="N186" s="132">
        <f t="shared" si="13"/>
        <v>0</v>
      </c>
      <c r="P186" s="132">
        <v>1</v>
      </c>
      <c r="Q186" s="132">
        <f t="shared" si="17"/>
        <v>0</v>
      </c>
      <c r="S186" s="132">
        <v>1</v>
      </c>
      <c r="T186" s="132">
        <f t="shared" si="14"/>
        <v>0</v>
      </c>
      <c r="V186" s="126">
        <f t="shared" si="15"/>
        <v>0</v>
      </c>
      <c r="W186" s="92">
        <f t="shared" si="16"/>
        <v>0</v>
      </c>
      <c r="Y186" s="210"/>
    </row>
    <row r="187" spans="1:25" ht="14.4" customHeight="1" thickBot="1" x14ac:dyDescent="0.3">
      <c r="A187" s="149"/>
      <c r="J187" s="130">
        <v>1</v>
      </c>
      <c r="K187" s="132">
        <f t="shared" si="12"/>
        <v>0</v>
      </c>
      <c r="M187" s="132">
        <v>1</v>
      </c>
      <c r="N187" s="132">
        <f t="shared" si="13"/>
        <v>0</v>
      </c>
      <c r="P187" s="132">
        <v>1</v>
      </c>
      <c r="Q187" s="132">
        <f t="shared" si="17"/>
        <v>0</v>
      </c>
      <c r="S187" s="132">
        <v>1</v>
      </c>
      <c r="T187" s="132">
        <f t="shared" si="14"/>
        <v>0</v>
      </c>
      <c r="V187" s="126">
        <f t="shared" si="15"/>
        <v>0</v>
      </c>
      <c r="W187" s="92">
        <f t="shared" si="16"/>
        <v>0</v>
      </c>
      <c r="Y187" s="210"/>
    </row>
    <row r="188" spans="1:25" ht="14.4" customHeight="1" thickBot="1" x14ac:dyDescent="0.3">
      <c r="A188" s="149"/>
      <c r="J188" s="130">
        <v>1</v>
      </c>
      <c r="K188" s="132">
        <f t="shared" si="12"/>
        <v>0</v>
      </c>
      <c r="M188" s="132">
        <v>1</v>
      </c>
      <c r="N188" s="132">
        <f t="shared" si="13"/>
        <v>0</v>
      </c>
      <c r="P188" s="132">
        <v>1</v>
      </c>
      <c r="Q188" s="132">
        <f t="shared" si="17"/>
        <v>0</v>
      </c>
      <c r="S188" s="132">
        <v>1</v>
      </c>
      <c r="T188" s="132">
        <f t="shared" si="14"/>
        <v>0</v>
      </c>
      <c r="V188" s="126">
        <f t="shared" si="15"/>
        <v>0</v>
      </c>
      <c r="W188" s="92">
        <f t="shared" si="16"/>
        <v>0</v>
      </c>
      <c r="Y188" s="210"/>
    </row>
    <row r="189" spans="1:25" ht="14.4" customHeight="1" thickBot="1" x14ac:dyDescent="0.3">
      <c r="A189" s="149"/>
      <c r="J189" s="130">
        <v>1</v>
      </c>
      <c r="K189" s="132">
        <f t="shared" si="12"/>
        <v>0</v>
      </c>
      <c r="M189" s="132">
        <v>1</v>
      </c>
      <c r="N189" s="132">
        <f t="shared" si="13"/>
        <v>0</v>
      </c>
      <c r="P189" s="132">
        <v>1</v>
      </c>
      <c r="Q189" s="132">
        <f t="shared" si="17"/>
        <v>0</v>
      </c>
      <c r="S189" s="132">
        <v>1</v>
      </c>
      <c r="T189" s="132">
        <f t="shared" si="14"/>
        <v>0</v>
      </c>
      <c r="V189" s="126">
        <f t="shared" si="15"/>
        <v>0</v>
      </c>
      <c r="W189" s="92">
        <f t="shared" si="16"/>
        <v>0</v>
      </c>
      <c r="Y189" s="210"/>
    </row>
    <row r="190" spans="1:25" ht="14.4" customHeight="1" thickBot="1" x14ac:dyDescent="0.3">
      <c r="A190" s="149"/>
      <c r="J190" s="130">
        <v>1</v>
      </c>
      <c r="K190" s="132">
        <f t="shared" si="12"/>
        <v>0</v>
      </c>
      <c r="M190" s="132">
        <v>1</v>
      </c>
      <c r="N190" s="132">
        <f t="shared" si="13"/>
        <v>0</v>
      </c>
      <c r="P190" s="132">
        <v>1</v>
      </c>
      <c r="Q190" s="132">
        <f t="shared" si="17"/>
        <v>0</v>
      </c>
      <c r="S190" s="132">
        <v>1</v>
      </c>
      <c r="T190" s="132">
        <f t="shared" si="14"/>
        <v>0</v>
      </c>
      <c r="V190" s="126">
        <f t="shared" si="15"/>
        <v>0</v>
      </c>
      <c r="W190" s="92">
        <f t="shared" si="16"/>
        <v>0</v>
      </c>
      <c r="Y190" s="210"/>
    </row>
    <row r="191" spans="1:25" ht="14.4" customHeight="1" thickBot="1" x14ac:dyDescent="0.3">
      <c r="A191" s="149"/>
      <c r="J191" s="130">
        <v>1</v>
      </c>
      <c r="K191" s="132">
        <f t="shared" si="12"/>
        <v>0</v>
      </c>
      <c r="M191" s="132">
        <v>1</v>
      </c>
      <c r="N191" s="132">
        <f t="shared" si="13"/>
        <v>0</v>
      </c>
      <c r="P191" s="132">
        <v>1</v>
      </c>
      <c r="Q191" s="132">
        <f t="shared" si="17"/>
        <v>0</v>
      </c>
      <c r="S191" s="132">
        <v>1</v>
      </c>
      <c r="T191" s="132">
        <f t="shared" si="14"/>
        <v>0</v>
      </c>
      <c r="V191" s="126">
        <f t="shared" si="15"/>
        <v>0</v>
      </c>
      <c r="W191" s="92">
        <f t="shared" si="16"/>
        <v>0</v>
      </c>
      <c r="Y191" s="210"/>
    </row>
    <row r="192" spans="1:25" ht="14.4" customHeight="1" thickBot="1" x14ac:dyDescent="0.3">
      <c r="A192" s="149"/>
      <c r="J192" s="130">
        <v>1</v>
      </c>
      <c r="K192" s="132">
        <f t="shared" si="12"/>
        <v>0</v>
      </c>
      <c r="M192" s="132">
        <v>1</v>
      </c>
      <c r="N192" s="132">
        <f t="shared" si="13"/>
        <v>0</v>
      </c>
      <c r="P192" s="132">
        <v>1</v>
      </c>
      <c r="Q192" s="132">
        <f t="shared" si="17"/>
        <v>0</v>
      </c>
      <c r="S192" s="132">
        <v>1</v>
      </c>
      <c r="T192" s="132">
        <f t="shared" si="14"/>
        <v>0</v>
      </c>
      <c r="V192" s="126">
        <f t="shared" si="15"/>
        <v>0</v>
      </c>
      <c r="W192" s="92">
        <f t="shared" si="16"/>
        <v>0</v>
      </c>
      <c r="Y192" s="210"/>
    </row>
    <row r="193" spans="1:25" ht="14.4" customHeight="1" thickBot="1" x14ac:dyDescent="0.3">
      <c r="A193" s="149"/>
      <c r="J193" s="130">
        <v>1</v>
      </c>
      <c r="K193" s="132">
        <f t="shared" si="12"/>
        <v>0</v>
      </c>
      <c r="M193" s="132">
        <v>1</v>
      </c>
      <c r="N193" s="132">
        <f t="shared" si="13"/>
        <v>0</v>
      </c>
      <c r="P193" s="132">
        <v>1</v>
      </c>
      <c r="Q193" s="132">
        <f t="shared" si="17"/>
        <v>0</v>
      </c>
      <c r="S193" s="132">
        <v>1</v>
      </c>
      <c r="T193" s="132">
        <f t="shared" si="14"/>
        <v>0</v>
      </c>
      <c r="V193" s="126">
        <f t="shared" si="15"/>
        <v>0</v>
      </c>
      <c r="W193" s="92">
        <f t="shared" si="16"/>
        <v>0</v>
      </c>
      <c r="Y193" s="210"/>
    </row>
    <row r="194" spans="1:25" ht="14.4" customHeight="1" thickBot="1" x14ac:dyDescent="0.3">
      <c r="A194" s="149"/>
      <c r="J194" s="130">
        <v>1</v>
      </c>
      <c r="K194" s="132">
        <f t="shared" ref="K194:K257" si="18">I194/J194</f>
        <v>0</v>
      </c>
      <c r="M194" s="132">
        <v>1</v>
      </c>
      <c r="N194" s="132">
        <f t="shared" ref="N194:N257" si="19">L194/M194</f>
        <v>0</v>
      </c>
      <c r="P194" s="132">
        <v>1</v>
      </c>
      <c r="Q194" s="132">
        <f t="shared" si="17"/>
        <v>0</v>
      </c>
      <c r="S194" s="132">
        <v>1</v>
      </c>
      <c r="T194" s="132">
        <f t="shared" ref="T194:T257" si="20">R194/S194</f>
        <v>0</v>
      </c>
      <c r="V194" s="126">
        <f t="shared" ref="V194:V257" si="21">D194+E194-G194-I194/J194-L194/M194-O194/P194-R194/S194</f>
        <v>0</v>
      </c>
      <c r="W194" s="92">
        <f t="shared" ref="W194:W257" si="22">G194+I194/J194+L194/M194+O194/P194+R194/S194</f>
        <v>0</v>
      </c>
      <c r="Y194" s="210"/>
    </row>
    <row r="195" spans="1:25" ht="14.4" customHeight="1" thickBot="1" x14ac:dyDescent="0.3">
      <c r="A195" s="149"/>
      <c r="J195" s="130">
        <v>1</v>
      </c>
      <c r="K195" s="132">
        <f t="shared" si="18"/>
        <v>0</v>
      </c>
      <c r="M195" s="132">
        <v>1</v>
      </c>
      <c r="N195" s="132">
        <f t="shared" si="19"/>
        <v>0</v>
      </c>
      <c r="P195" s="132">
        <v>1</v>
      </c>
      <c r="Q195" s="132">
        <f t="shared" ref="Q195:Q258" si="23">O195/P195</f>
        <v>0</v>
      </c>
      <c r="S195" s="132">
        <v>1</v>
      </c>
      <c r="T195" s="132">
        <f t="shared" si="20"/>
        <v>0</v>
      </c>
      <c r="V195" s="126">
        <f t="shared" si="21"/>
        <v>0</v>
      </c>
      <c r="W195" s="92">
        <f t="shared" si="22"/>
        <v>0</v>
      </c>
      <c r="Y195" s="210"/>
    </row>
    <row r="196" spans="1:25" ht="14.4" customHeight="1" thickBot="1" x14ac:dyDescent="0.3">
      <c r="A196" s="149"/>
      <c r="J196" s="130">
        <v>1</v>
      </c>
      <c r="K196" s="132">
        <f t="shared" si="18"/>
        <v>0</v>
      </c>
      <c r="M196" s="132">
        <v>1</v>
      </c>
      <c r="N196" s="132">
        <f t="shared" si="19"/>
        <v>0</v>
      </c>
      <c r="P196" s="132">
        <v>1</v>
      </c>
      <c r="Q196" s="132">
        <f t="shared" si="23"/>
        <v>0</v>
      </c>
      <c r="S196" s="132">
        <v>1</v>
      </c>
      <c r="T196" s="132">
        <f t="shared" si="20"/>
        <v>0</v>
      </c>
      <c r="V196" s="126">
        <f t="shared" si="21"/>
        <v>0</v>
      </c>
      <c r="W196" s="92">
        <f t="shared" si="22"/>
        <v>0</v>
      </c>
      <c r="Y196" s="210"/>
    </row>
    <row r="197" spans="1:25" ht="14.4" customHeight="1" thickBot="1" x14ac:dyDescent="0.3">
      <c r="A197" s="149"/>
      <c r="J197" s="130">
        <v>1</v>
      </c>
      <c r="K197" s="132">
        <f t="shared" si="18"/>
        <v>0</v>
      </c>
      <c r="M197" s="132">
        <v>1</v>
      </c>
      <c r="N197" s="132">
        <f t="shared" si="19"/>
        <v>0</v>
      </c>
      <c r="P197" s="132">
        <v>1</v>
      </c>
      <c r="Q197" s="132">
        <f t="shared" si="23"/>
        <v>0</v>
      </c>
      <c r="S197" s="132">
        <v>1</v>
      </c>
      <c r="T197" s="132">
        <f t="shared" si="20"/>
        <v>0</v>
      </c>
      <c r="V197" s="126">
        <f t="shared" si="21"/>
        <v>0</v>
      </c>
      <c r="W197" s="92">
        <f t="shared" si="22"/>
        <v>0</v>
      </c>
      <c r="Y197" s="210"/>
    </row>
    <row r="198" spans="1:25" ht="14.4" customHeight="1" thickBot="1" x14ac:dyDescent="0.3">
      <c r="A198" s="149"/>
      <c r="J198" s="130">
        <v>1</v>
      </c>
      <c r="K198" s="132">
        <f t="shared" si="18"/>
        <v>0</v>
      </c>
      <c r="M198" s="132">
        <v>1</v>
      </c>
      <c r="N198" s="132">
        <f t="shared" si="19"/>
        <v>0</v>
      </c>
      <c r="P198" s="132">
        <v>1</v>
      </c>
      <c r="Q198" s="132">
        <f t="shared" si="23"/>
        <v>0</v>
      </c>
      <c r="S198" s="132">
        <v>1</v>
      </c>
      <c r="T198" s="132">
        <f t="shared" si="20"/>
        <v>0</v>
      </c>
      <c r="V198" s="126">
        <f t="shared" si="21"/>
        <v>0</v>
      </c>
      <c r="W198" s="92">
        <f t="shared" si="22"/>
        <v>0</v>
      </c>
      <c r="Y198" s="210"/>
    </row>
    <row r="199" spans="1:25" ht="14.4" customHeight="1" thickBot="1" x14ac:dyDescent="0.3">
      <c r="A199" s="149"/>
      <c r="J199" s="130">
        <v>1</v>
      </c>
      <c r="K199" s="132">
        <f t="shared" si="18"/>
        <v>0</v>
      </c>
      <c r="M199" s="132">
        <v>1</v>
      </c>
      <c r="N199" s="132">
        <f t="shared" si="19"/>
        <v>0</v>
      </c>
      <c r="P199" s="132">
        <v>1</v>
      </c>
      <c r="Q199" s="132">
        <f t="shared" si="23"/>
        <v>0</v>
      </c>
      <c r="S199" s="132">
        <v>1</v>
      </c>
      <c r="T199" s="132">
        <f t="shared" si="20"/>
        <v>0</v>
      </c>
      <c r="V199" s="126">
        <f t="shared" si="21"/>
        <v>0</v>
      </c>
      <c r="W199" s="92">
        <f t="shared" si="22"/>
        <v>0</v>
      </c>
      <c r="Y199" s="210"/>
    </row>
    <row r="200" spans="1:25" ht="14.4" customHeight="1" thickBot="1" x14ac:dyDescent="0.3">
      <c r="A200" s="149"/>
      <c r="J200" s="130">
        <v>1</v>
      </c>
      <c r="K200" s="132">
        <f t="shared" si="18"/>
        <v>0</v>
      </c>
      <c r="M200" s="132">
        <v>1</v>
      </c>
      <c r="N200" s="132">
        <f t="shared" si="19"/>
        <v>0</v>
      </c>
      <c r="P200" s="132">
        <v>1</v>
      </c>
      <c r="Q200" s="132">
        <f t="shared" si="23"/>
        <v>0</v>
      </c>
      <c r="S200" s="132">
        <v>1</v>
      </c>
      <c r="T200" s="132">
        <f t="shared" si="20"/>
        <v>0</v>
      </c>
      <c r="V200" s="126">
        <f t="shared" si="21"/>
        <v>0</v>
      </c>
      <c r="W200" s="92">
        <f t="shared" si="22"/>
        <v>0</v>
      </c>
      <c r="Y200" s="210"/>
    </row>
    <row r="201" spans="1:25" ht="14.4" customHeight="1" thickBot="1" x14ac:dyDescent="0.3">
      <c r="A201" s="149"/>
      <c r="J201" s="130">
        <v>1</v>
      </c>
      <c r="K201" s="132">
        <f t="shared" si="18"/>
        <v>0</v>
      </c>
      <c r="M201" s="132">
        <v>1</v>
      </c>
      <c r="N201" s="132">
        <f t="shared" si="19"/>
        <v>0</v>
      </c>
      <c r="P201" s="132">
        <v>1</v>
      </c>
      <c r="Q201" s="132">
        <f t="shared" si="23"/>
        <v>0</v>
      </c>
      <c r="S201" s="132">
        <v>1</v>
      </c>
      <c r="T201" s="132">
        <f t="shared" si="20"/>
        <v>0</v>
      </c>
      <c r="V201" s="126">
        <f t="shared" si="21"/>
        <v>0</v>
      </c>
      <c r="W201" s="92">
        <f t="shared" si="22"/>
        <v>0</v>
      </c>
      <c r="Y201" s="210"/>
    </row>
    <row r="202" spans="1:25" ht="14.4" customHeight="1" thickBot="1" x14ac:dyDescent="0.3">
      <c r="A202" s="149"/>
      <c r="J202" s="130">
        <v>1</v>
      </c>
      <c r="K202" s="132">
        <f t="shared" si="18"/>
        <v>0</v>
      </c>
      <c r="M202" s="132">
        <v>1</v>
      </c>
      <c r="N202" s="132">
        <f t="shared" si="19"/>
        <v>0</v>
      </c>
      <c r="P202" s="132">
        <v>1</v>
      </c>
      <c r="Q202" s="132">
        <f t="shared" si="23"/>
        <v>0</v>
      </c>
      <c r="S202" s="132">
        <v>1</v>
      </c>
      <c r="T202" s="132">
        <f t="shared" si="20"/>
        <v>0</v>
      </c>
      <c r="V202" s="126">
        <f t="shared" si="21"/>
        <v>0</v>
      </c>
      <c r="W202" s="92">
        <f t="shared" si="22"/>
        <v>0</v>
      </c>
      <c r="Y202" s="210"/>
    </row>
    <row r="203" spans="1:25" ht="14.4" customHeight="1" thickBot="1" x14ac:dyDescent="0.3">
      <c r="A203" s="149"/>
      <c r="J203" s="130">
        <v>1</v>
      </c>
      <c r="K203" s="132">
        <f t="shared" si="18"/>
        <v>0</v>
      </c>
      <c r="M203" s="132">
        <v>1</v>
      </c>
      <c r="N203" s="132">
        <f t="shared" si="19"/>
        <v>0</v>
      </c>
      <c r="P203" s="132">
        <v>1</v>
      </c>
      <c r="Q203" s="132">
        <f t="shared" si="23"/>
        <v>0</v>
      </c>
      <c r="S203" s="132">
        <v>1</v>
      </c>
      <c r="T203" s="132">
        <f t="shared" si="20"/>
        <v>0</v>
      </c>
      <c r="V203" s="126">
        <f t="shared" si="21"/>
        <v>0</v>
      </c>
      <c r="W203" s="92">
        <f t="shared" si="22"/>
        <v>0</v>
      </c>
      <c r="Y203" s="210"/>
    </row>
    <row r="204" spans="1:25" ht="14.4" customHeight="1" thickBot="1" x14ac:dyDescent="0.3">
      <c r="A204" s="149"/>
      <c r="J204" s="130">
        <v>1</v>
      </c>
      <c r="K204" s="132">
        <f t="shared" si="18"/>
        <v>0</v>
      </c>
      <c r="M204" s="132">
        <v>1</v>
      </c>
      <c r="N204" s="132">
        <f t="shared" si="19"/>
        <v>0</v>
      </c>
      <c r="P204" s="132">
        <v>1</v>
      </c>
      <c r="Q204" s="132">
        <f t="shared" si="23"/>
        <v>0</v>
      </c>
      <c r="S204" s="132">
        <v>1</v>
      </c>
      <c r="T204" s="132">
        <f t="shared" si="20"/>
        <v>0</v>
      </c>
      <c r="V204" s="126">
        <f t="shared" si="21"/>
        <v>0</v>
      </c>
      <c r="W204" s="92">
        <f t="shared" si="22"/>
        <v>0</v>
      </c>
      <c r="Y204" s="210"/>
    </row>
    <row r="205" spans="1:25" ht="14.4" customHeight="1" thickBot="1" x14ac:dyDescent="0.3">
      <c r="A205" s="149"/>
      <c r="J205" s="130">
        <v>1</v>
      </c>
      <c r="K205" s="132">
        <f t="shared" si="18"/>
        <v>0</v>
      </c>
      <c r="M205" s="132">
        <v>1</v>
      </c>
      <c r="N205" s="132">
        <f t="shared" si="19"/>
        <v>0</v>
      </c>
      <c r="P205" s="132">
        <v>1</v>
      </c>
      <c r="Q205" s="132">
        <f t="shared" si="23"/>
        <v>0</v>
      </c>
      <c r="S205" s="132">
        <v>1</v>
      </c>
      <c r="T205" s="132">
        <f t="shared" si="20"/>
        <v>0</v>
      </c>
      <c r="V205" s="126">
        <f t="shared" si="21"/>
        <v>0</v>
      </c>
      <c r="W205" s="92">
        <f t="shared" si="22"/>
        <v>0</v>
      </c>
      <c r="Y205" s="210"/>
    </row>
    <row r="206" spans="1:25" ht="14.4" customHeight="1" thickBot="1" x14ac:dyDescent="0.3">
      <c r="A206" s="149"/>
      <c r="J206" s="130">
        <v>1</v>
      </c>
      <c r="K206" s="132">
        <f t="shared" si="18"/>
        <v>0</v>
      </c>
      <c r="M206" s="132">
        <v>1</v>
      </c>
      <c r="N206" s="132">
        <f t="shared" si="19"/>
        <v>0</v>
      </c>
      <c r="P206" s="132">
        <v>1</v>
      </c>
      <c r="Q206" s="132">
        <f t="shared" si="23"/>
        <v>0</v>
      </c>
      <c r="S206" s="132">
        <v>1</v>
      </c>
      <c r="T206" s="132">
        <f t="shared" si="20"/>
        <v>0</v>
      </c>
      <c r="V206" s="126">
        <f t="shared" si="21"/>
        <v>0</v>
      </c>
      <c r="W206" s="92">
        <f t="shared" si="22"/>
        <v>0</v>
      </c>
      <c r="Y206" s="210"/>
    </row>
    <row r="207" spans="1:25" ht="14.4" customHeight="1" thickBot="1" x14ac:dyDescent="0.3">
      <c r="A207" s="149"/>
      <c r="J207" s="130">
        <v>1</v>
      </c>
      <c r="K207" s="132">
        <f t="shared" si="18"/>
        <v>0</v>
      </c>
      <c r="M207" s="132">
        <v>1</v>
      </c>
      <c r="N207" s="132">
        <f t="shared" si="19"/>
        <v>0</v>
      </c>
      <c r="P207" s="132">
        <v>1</v>
      </c>
      <c r="Q207" s="132">
        <f t="shared" si="23"/>
        <v>0</v>
      </c>
      <c r="S207" s="132">
        <v>1</v>
      </c>
      <c r="T207" s="132">
        <f t="shared" si="20"/>
        <v>0</v>
      </c>
      <c r="V207" s="126">
        <f t="shared" si="21"/>
        <v>0</v>
      </c>
      <c r="W207" s="92">
        <f t="shared" si="22"/>
        <v>0</v>
      </c>
      <c r="Y207" s="210"/>
    </row>
    <row r="208" spans="1:25" ht="14.4" customHeight="1" thickBot="1" x14ac:dyDescent="0.3">
      <c r="A208" s="149"/>
      <c r="J208" s="130">
        <v>1</v>
      </c>
      <c r="K208" s="132">
        <f t="shared" si="18"/>
        <v>0</v>
      </c>
      <c r="M208" s="132">
        <v>1</v>
      </c>
      <c r="N208" s="132">
        <f t="shared" si="19"/>
        <v>0</v>
      </c>
      <c r="P208" s="132">
        <v>1</v>
      </c>
      <c r="Q208" s="132">
        <f t="shared" si="23"/>
        <v>0</v>
      </c>
      <c r="S208" s="132">
        <v>1</v>
      </c>
      <c r="T208" s="132">
        <f t="shared" si="20"/>
        <v>0</v>
      </c>
      <c r="V208" s="126">
        <f t="shared" si="21"/>
        <v>0</v>
      </c>
      <c r="W208" s="92">
        <f t="shared" si="22"/>
        <v>0</v>
      </c>
      <c r="Y208" s="210"/>
    </row>
    <row r="209" spans="1:25" ht="14.4" customHeight="1" thickBot="1" x14ac:dyDescent="0.3">
      <c r="A209" s="149"/>
      <c r="J209" s="130">
        <v>1</v>
      </c>
      <c r="K209" s="132">
        <f t="shared" si="18"/>
        <v>0</v>
      </c>
      <c r="M209" s="132">
        <v>1</v>
      </c>
      <c r="N209" s="132">
        <f t="shared" si="19"/>
        <v>0</v>
      </c>
      <c r="P209" s="132">
        <v>1</v>
      </c>
      <c r="Q209" s="132">
        <f t="shared" si="23"/>
        <v>0</v>
      </c>
      <c r="S209" s="132">
        <v>1</v>
      </c>
      <c r="T209" s="132">
        <f t="shared" si="20"/>
        <v>0</v>
      </c>
      <c r="V209" s="126">
        <f t="shared" si="21"/>
        <v>0</v>
      </c>
      <c r="W209" s="92">
        <f t="shared" si="22"/>
        <v>0</v>
      </c>
      <c r="Y209" s="210"/>
    </row>
    <row r="210" spans="1:25" ht="14.4" customHeight="1" thickBot="1" x14ac:dyDescent="0.3">
      <c r="A210" s="149"/>
      <c r="J210" s="130">
        <v>1</v>
      </c>
      <c r="K210" s="132">
        <f t="shared" si="18"/>
        <v>0</v>
      </c>
      <c r="M210" s="132">
        <v>1</v>
      </c>
      <c r="N210" s="132">
        <f t="shared" si="19"/>
        <v>0</v>
      </c>
      <c r="P210" s="132">
        <v>1</v>
      </c>
      <c r="Q210" s="132">
        <f t="shared" si="23"/>
        <v>0</v>
      </c>
      <c r="S210" s="132">
        <v>1</v>
      </c>
      <c r="T210" s="132">
        <f t="shared" si="20"/>
        <v>0</v>
      </c>
      <c r="V210" s="126">
        <f t="shared" si="21"/>
        <v>0</v>
      </c>
      <c r="W210" s="92">
        <f t="shared" si="22"/>
        <v>0</v>
      </c>
      <c r="Y210" s="210"/>
    </row>
    <row r="211" spans="1:25" ht="14.4" customHeight="1" thickBot="1" x14ac:dyDescent="0.3">
      <c r="A211" s="149"/>
      <c r="J211" s="130">
        <v>1</v>
      </c>
      <c r="K211" s="132">
        <f t="shared" si="18"/>
        <v>0</v>
      </c>
      <c r="M211" s="132">
        <v>1</v>
      </c>
      <c r="N211" s="132">
        <f t="shared" si="19"/>
        <v>0</v>
      </c>
      <c r="P211" s="132">
        <v>1</v>
      </c>
      <c r="Q211" s="132">
        <f t="shared" si="23"/>
        <v>0</v>
      </c>
      <c r="S211" s="132">
        <v>1</v>
      </c>
      <c r="T211" s="132">
        <f t="shared" si="20"/>
        <v>0</v>
      </c>
      <c r="V211" s="126">
        <f t="shared" si="21"/>
        <v>0</v>
      </c>
      <c r="W211" s="92">
        <f t="shared" si="22"/>
        <v>0</v>
      </c>
      <c r="Y211" s="210"/>
    </row>
    <row r="212" spans="1:25" ht="14.4" customHeight="1" thickBot="1" x14ac:dyDescent="0.3">
      <c r="A212" s="149"/>
      <c r="J212" s="130">
        <v>1</v>
      </c>
      <c r="K212" s="132">
        <f t="shared" si="18"/>
        <v>0</v>
      </c>
      <c r="M212" s="132">
        <v>1</v>
      </c>
      <c r="N212" s="132">
        <f t="shared" si="19"/>
        <v>0</v>
      </c>
      <c r="P212" s="132">
        <v>1</v>
      </c>
      <c r="Q212" s="132">
        <f t="shared" si="23"/>
        <v>0</v>
      </c>
      <c r="S212" s="132">
        <v>1</v>
      </c>
      <c r="T212" s="132">
        <f t="shared" si="20"/>
        <v>0</v>
      </c>
      <c r="V212" s="126">
        <f t="shared" si="21"/>
        <v>0</v>
      </c>
      <c r="W212" s="92">
        <f t="shared" si="22"/>
        <v>0</v>
      </c>
      <c r="Y212" s="210"/>
    </row>
    <row r="213" spans="1:25" ht="14.4" customHeight="1" thickBot="1" x14ac:dyDescent="0.3">
      <c r="A213" s="149"/>
      <c r="J213" s="130">
        <v>1</v>
      </c>
      <c r="K213" s="132">
        <f t="shared" si="18"/>
        <v>0</v>
      </c>
      <c r="M213" s="132">
        <v>1</v>
      </c>
      <c r="N213" s="132">
        <f t="shared" si="19"/>
        <v>0</v>
      </c>
      <c r="P213" s="132">
        <v>1</v>
      </c>
      <c r="Q213" s="132">
        <f t="shared" si="23"/>
        <v>0</v>
      </c>
      <c r="S213" s="132">
        <v>1</v>
      </c>
      <c r="T213" s="132">
        <f t="shared" si="20"/>
        <v>0</v>
      </c>
      <c r="V213" s="126">
        <f t="shared" si="21"/>
        <v>0</v>
      </c>
      <c r="W213" s="92">
        <f t="shared" si="22"/>
        <v>0</v>
      </c>
      <c r="Y213" s="210"/>
    </row>
    <row r="214" spans="1:25" ht="14.4" customHeight="1" thickBot="1" x14ac:dyDescent="0.3">
      <c r="A214" s="149"/>
      <c r="J214" s="130">
        <v>1</v>
      </c>
      <c r="K214" s="132">
        <f t="shared" si="18"/>
        <v>0</v>
      </c>
      <c r="M214" s="132">
        <v>1</v>
      </c>
      <c r="N214" s="132">
        <f t="shared" si="19"/>
        <v>0</v>
      </c>
      <c r="P214" s="132">
        <v>1</v>
      </c>
      <c r="Q214" s="132">
        <f t="shared" si="23"/>
        <v>0</v>
      </c>
      <c r="S214" s="132">
        <v>1</v>
      </c>
      <c r="T214" s="132">
        <f t="shared" si="20"/>
        <v>0</v>
      </c>
      <c r="V214" s="126">
        <f t="shared" si="21"/>
        <v>0</v>
      </c>
      <c r="W214" s="92">
        <f t="shared" si="22"/>
        <v>0</v>
      </c>
      <c r="Y214" s="210"/>
    </row>
    <row r="215" spans="1:25" ht="14.4" customHeight="1" thickBot="1" x14ac:dyDescent="0.3">
      <c r="A215" s="149"/>
      <c r="J215" s="130">
        <v>1</v>
      </c>
      <c r="K215" s="132">
        <f t="shared" si="18"/>
        <v>0</v>
      </c>
      <c r="M215" s="132">
        <v>1</v>
      </c>
      <c r="N215" s="132">
        <f t="shared" si="19"/>
        <v>0</v>
      </c>
      <c r="P215" s="132">
        <v>1</v>
      </c>
      <c r="Q215" s="132">
        <f t="shared" si="23"/>
        <v>0</v>
      </c>
      <c r="S215" s="132">
        <v>1</v>
      </c>
      <c r="T215" s="132">
        <f t="shared" si="20"/>
        <v>0</v>
      </c>
      <c r="V215" s="126">
        <f t="shared" si="21"/>
        <v>0</v>
      </c>
      <c r="W215" s="92">
        <f t="shared" si="22"/>
        <v>0</v>
      </c>
      <c r="Y215" s="210"/>
    </row>
    <row r="216" spans="1:25" ht="14.4" customHeight="1" thickBot="1" x14ac:dyDescent="0.3">
      <c r="A216" s="149"/>
      <c r="J216" s="130">
        <v>1</v>
      </c>
      <c r="K216" s="132">
        <f t="shared" si="18"/>
        <v>0</v>
      </c>
      <c r="M216" s="132">
        <v>1</v>
      </c>
      <c r="N216" s="132">
        <f t="shared" si="19"/>
        <v>0</v>
      </c>
      <c r="P216" s="132">
        <v>1</v>
      </c>
      <c r="Q216" s="132">
        <f t="shared" si="23"/>
        <v>0</v>
      </c>
      <c r="S216" s="132">
        <v>1</v>
      </c>
      <c r="T216" s="132">
        <f t="shared" si="20"/>
        <v>0</v>
      </c>
      <c r="V216" s="126">
        <f t="shared" si="21"/>
        <v>0</v>
      </c>
      <c r="W216" s="92">
        <f t="shared" si="22"/>
        <v>0</v>
      </c>
      <c r="Y216" s="210"/>
    </row>
    <row r="217" spans="1:25" ht="14.4" customHeight="1" thickBot="1" x14ac:dyDescent="0.3">
      <c r="A217" s="149"/>
      <c r="J217" s="130">
        <v>1</v>
      </c>
      <c r="K217" s="132">
        <f t="shared" si="18"/>
        <v>0</v>
      </c>
      <c r="M217" s="132">
        <v>1</v>
      </c>
      <c r="N217" s="132">
        <f t="shared" si="19"/>
        <v>0</v>
      </c>
      <c r="P217" s="132">
        <v>1</v>
      </c>
      <c r="Q217" s="132">
        <f t="shared" si="23"/>
        <v>0</v>
      </c>
      <c r="S217" s="132">
        <v>1</v>
      </c>
      <c r="T217" s="132">
        <f t="shared" si="20"/>
        <v>0</v>
      </c>
      <c r="V217" s="126">
        <f t="shared" si="21"/>
        <v>0</v>
      </c>
      <c r="W217" s="92">
        <f t="shared" si="22"/>
        <v>0</v>
      </c>
      <c r="Y217" s="210"/>
    </row>
    <row r="218" spans="1:25" ht="14.4" customHeight="1" thickBot="1" x14ac:dyDescent="0.3">
      <c r="A218" s="149"/>
      <c r="J218" s="130">
        <v>1</v>
      </c>
      <c r="K218" s="132">
        <f t="shared" si="18"/>
        <v>0</v>
      </c>
      <c r="M218" s="132">
        <v>1</v>
      </c>
      <c r="N218" s="132">
        <f t="shared" si="19"/>
        <v>0</v>
      </c>
      <c r="P218" s="132">
        <v>1</v>
      </c>
      <c r="Q218" s="132">
        <f t="shared" si="23"/>
        <v>0</v>
      </c>
      <c r="S218" s="132">
        <v>1</v>
      </c>
      <c r="T218" s="132">
        <f t="shared" si="20"/>
        <v>0</v>
      </c>
      <c r="V218" s="126">
        <f t="shared" si="21"/>
        <v>0</v>
      </c>
      <c r="W218" s="92">
        <f t="shared" si="22"/>
        <v>0</v>
      </c>
      <c r="Y218" s="210"/>
    </row>
    <row r="219" spans="1:25" ht="14.4" customHeight="1" thickBot="1" x14ac:dyDescent="0.3">
      <c r="A219" s="149"/>
      <c r="J219" s="130">
        <v>1</v>
      </c>
      <c r="K219" s="132">
        <f t="shared" si="18"/>
        <v>0</v>
      </c>
      <c r="M219" s="132">
        <v>1</v>
      </c>
      <c r="N219" s="132">
        <f t="shared" si="19"/>
        <v>0</v>
      </c>
      <c r="P219" s="132">
        <v>1</v>
      </c>
      <c r="Q219" s="132">
        <f t="shared" si="23"/>
        <v>0</v>
      </c>
      <c r="S219" s="132">
        <v>1</v>
      </c>
      <c r="T219" s="132">
        <f t="shared" si="20"/>
        <v>0</v>
      </c>
      <c r="V219" s="126">
        <f t="shared" si="21"/>
        <v>0</v>
      </c>
      <c r="W219" s="92">
        <f t="shared" si="22"/>
        <v>0</v>
      </c>
      <c r="Y219" s="210"/>
    </row>
    <row r="220" spans="1:25" ht="14.4" customHeight="1" thickBot="1" x14ac:dyDescent="0.3">
      <c r="A220" s="149"/>
      <c r="J220" s="130">
        <v>1</v>
      </c>
      <c r="K220" s="132">
        <f t="shared" si="18"/>
        <v>0</v>
      </c>
      <c r="M220" s="132">
        <v>1</v>
      </c>
      <c r="N220" s="132">
        <f t="shared" si="19"/>
        <v>0</v>
      </c>
      <c r="P220" s="132">
        <v>1</v>
      </c>
      <c r="Q220" s="132">
        <f t="shared" si="23"/>
        <v>0</v>
      </c>
      <c r="S220" s="132">
        <v>1</v>
      </c>
      <c r="T220" s="132">
        <f t="shared" si="20"/>
        <v>0</v>
      </c>
      <c r="V220" s="126">
        <f t="shared" si="21"/>
        <v>0</v>
      </c>
      <c r="W220" s="92">
        <f t="shared" si="22"/>
        <v>0</v>
      </c>
      <c r="Y220" s="210"/>
    </row>
    <row r="221" spans="1:25" ht="14.4" customHeight="1" thickBot="1" x14ac:dyDescent="0.3">
      <c r="A221" s="149"/>
      <c r="J221" s="130">
        <v>1</v>
      </c>
      <c r="K221" s="132">
        <f t="shared" si="18"/>
        <v>0</v>
      </c>
      <c r="M221" s="132">
        <v>1</v>
      </c>
      <c r="N221" s="132">
        <f t="shared" si="19"/>
        <v>0</v>
      </c>
      <c r="P221" s="132">
        <v>1</v>
      </c>
      <c r="Q221" s="132">
        <f t="shared" si="23"/>
        <v>0</v>
      </c>
      <c r="S221" s="132">
        <v>1</v>
      </c>
      <c r="T221" s="132">
        <f t="shared" si="20"/>
        <v>0</v>
      </c>
      <c r="V221" s="126">
        <f t="shared" si="21"/>
        <v>0</v>
      </c>
      <c r="W221" s="92">
        <f t="shared" si="22"/>
        <v>0</v>
      </c>
      <c r="Y221" s="210"/>
    </row>
    <row r="222" spans="1:25" ht="14.4" customHeight="1" thickBot="1" x14ac:dyDescent="0.3">
      <c r="A222" s="149"/>
      <c r="J222" s="130">
        <v>1</v>
      </c>
      <c r="K222" s="132">
        <f t="shared" si="18"/>
        <v>0</v>
      </c>
      <c r="M222" s="132">
        <v>1</v>
      </c>
      <c r="N222" s="132">
        <f t="shared" si="19"/>
        <v>0</v>
      </c>
      <c r="P222" s="132">
        <v>1</v>
      </c>
      <c r="Q222" s="132">
        <f t="shared" si="23"/>
        <v>0</v>
      </c>
      <c r="S222" s="132">
        <v>1</v>
      </c>
      <c r="T222" s="132">
        <f t="shared" si="20"/>
        <v>0</v>
      </c>
      <c r="V222" s="126">
        <f t="shared" si="21"/>
        <v>0</v>
      </c>
      <c r="W222" s="92">
        <f t="shared" si="22"/>
        <v>0</v>
      </c>
      <c r="Y222" s="210"/>
    </row>
    <row r="223" spans="1:25" ht="14.4" customHeight="1" thickBot="1" x14ac:dyDescent="0.3">
      <c r="A223" s="149"/>
      <c r="J223" s="130">
        <v>1</v>
      </c>
      <c r="K223" s="132">
        <f t="shared" si="18"/>
        <v>0</v>
      </c>
      <c r="M223" s="132">
        <v>1</v>
      </c>
      <c r="N223" s="132">
        <f t="shared" si="19"/>
        <v>0</v>
      </c>
      <c r="P223" s="132">
        <v>1</v>
      </c>
      <c r="Q223" s="132">
        <f t="shared" si="23"/>
        <v>0</v>
      </c>
      <c r="S223" s="132">
        <v>1</v>
      </c>
      <c r="T223" s="132">
        <f t="shared" si="20"/>
        <v>0</v>
      </c>
      <c r="V223" s="126">
        <f t="shared" si="21"/>
        <v>0</v>
      </c>
      <c r="W223" s="92">
        <f t="shared" si="22"/>
        <v>0</v>
      </c>
      <c r="Y223" s="210"/>
    </row>
    <row r="224" spans="1:25" ht="14.4" customHeight="1" thickBot="1" x14ac:dyDescent="0.3">
      <c r="A224" s="149"/>
      <c r="J224" s="130">
        <v>1</v>
      </c>
      <c r="K224" s="132">
        <f t="shared" si="18"/>
        <v>0</v>
      </c>
      <c r="M224" s="132">
        <v>1</v>
      </c>
      <c r="N224" s="132">
        <f t="shared" si="19"/>
        <v>0</v>
      </c>
      <c r="P224" s="132">
        <v>1</v>
      </c>
      <c r="Q224" s="132">
        <f t="shared" si="23"/>
        <v>0</v>
      </c>
      <c r="S224" s="132">
        <v>1</v>
      </c>
      <c r="T224" s="132">
        <f t="shared" si="20"/>
        <v>0</v>
      </c>
      <c r="V224" s="126">
        <f t="shared" si="21"/>
        <v>0</v>
      </c>
      <c r="W224" s="92">
        <f t="shared" si="22"/>
        <v>0</v>
      </c>
      <c r="Y224" s="210"/>
    </row>
    <row r="225" spans="1:25" ht="14.4" customHeight="1" thickBot="1" x14ac:dyDescent="0.3">
      <c r="A225" s="149"/>
      <c r="J225" s="130">
        <v>1</v>
      </c>
      <c r="K225" s="132">
        <f t="shared" si="18"/>
        <v>0</v>
      </c>
      <c r="M225" s="132">
        <v>1</v>
      </c>
      <c r="N225" s="132">
        <f t="shared" si="19"/>
        <v>0</v>
      </c>
      <c r="P225" s="132">
        <v>1</v>
      </c>
      <c r="Q225" s="132">
        <f t="shared" si="23"/>
        <v>0</v>
      </c>
      <c r="S225" s="132">
        <v>1</v>
      </c>
      <c r="T225" s="132">
        <f t="shared" si="20"/>
        <v>0</v>
      </c>
      <c r="V225" s="126">
        <f t="shared" si="21"/>
        <v>0</v>
      </c>
      <c r="W225" s="92">
        <f t="shared" si="22"/>
        <v>0</v>
      </c>
      <c r="Y225" s="210"/>
    </row>
    <row r="226" spans="1:25" ht="14.4" customHeight="1" thickBot="1" x14ac:dyDescent="0.3">
      <c r="A226" s="149"/>
      <c r="J226" s="130">
        <v>1</v>
      </c>
      <c r="K226" s="132">
        <f t="shared" si="18"/>
        <v>0</v>
      </c>
      <c r="M226" s="132">
        <v>1</v>
      </c>
      <c r="N226" s="132">
        <f t="shared" si="19"/>
        <v>0</v>
      </c>
      <c r="P226" s="132">
        <v>1</v>
      </c>
      <c r="Q226" s="132">
        <f t="shared" si="23"/>
        <v>0</v>
      </c>
      <c r="S226" s="132">
        <v>1</v>
      </c>
      <c r="T226" s="132">
        <f t="shared" si="20"/>
        <v>0</v>
      </c>
      <c r="V226" s="126">
        <f t="shared" si="21"/>
        <v>0</v>
      </c>
      <c r="W226" s="92">
        <f t="shared" si="22"/>
        <v>0</v>
      </c>
      <c r="Y226" s="210"/>
    </row>
    <row r="227" spans="1:25" ht="14.4" customHeight="1" thickBot="1" x14ac:dyDescent="0.3">
      <c r="A227" s="149"/>
      <c r="J227" s="130">
        <v>1</v>
      </c>
      <c r="K227" s="132">
        <f t="shared" si="18"/>
        <v>0</v>
      </c>
      <c r="M227" s="132">
        <v>1</v>
      </c>
      <c r="N227" s="132">
        <f t="shared" si="19"/>
        <v>0</v>
      </c>
      <c r="P227" s="132">
        <v>1</v>
      </c>
      <c r="Q227" s="132">
        <f t="shared" si="23"/>
        <v>0</v>
      </c>
      <c r="S227" s="132">
        <v>1</v>
      </c>
      <c r="T227" s="132">
        <f t="shared" si="20"/>
        <v>0</v>
      </c>
      <c r="V227" s="126">
        <f t="shared" si="21"/>
        <v>0</v>
      </c>
      <c r="W227" s="92">
        <f t="shared" si="22"/>
        <v>0</v>
      </c>
      <c r="Y227" s="210"/>
    </row>
    <row r="228" spans="1:25" ht="14.4" customHeight="1" thickBot="1" x14ac:dyDescent="0.3">
      <c r="A228" s="149"/>
      <c r="J228" s="130">
        <v>1</v>
      </c>
      <c r="K228" s="132">
        <f t="shared" si="18"/>
        <v>0</v>
      </c>
      <c r="M228" s="132">
        <v>1</v>
      </c>
      <c r="N228" s="132">
        <f t="shared" si="19"/>
        <v>0</v>
      </c>
      <c r="P228" s="132">
        <v>1</v>
      </c>
      <c r="Q228" s="132">
        <f t="shared" si="23"/>
        <v>0</v>
      </c>
      <c r="S228" s="132">
        <v>1</v>
      </c>
      <c r="T228" s="132">
        <f t="shared" si="20"/>
        <v>0</v>
      </c>
      <c r="V228" s="126">
        <f t="shared" si="21"/>
        <v>0</v>
      </c>
      <c r="W228" s="92">
        <f t="shared" si="22"/>
        <v>0</v>
      </c>
      <c r="Y228" s="210"/>
    </row>
    <row r="229" spans="1:25" ht="14.4" customHeight="1" thickBot="1" x14ac:dyDescent="0.3">
      <c r="A229" s="149"/>
      <c r="J229" s="130">
        <v>1</v>
      </c>
      <c r="K229" s="132">
        <f t="shared" si="18"/>
        <v>0</v>
      </c>
      <c r="M229" s="132">
        <v>1</v>
      </c>
      <c r="N229" s="132">
        <f t="shared" si="19"/>
        <v>0</v>
      </c>
      <c r="P229" s="132">
        <v>1</v>
      </c>
      <c r="Q229" s="132">
        <f t="shared" si="23"/>
        <v>0</v>
      </c>
      <c r="S229" s="132">
        <v>1</v>
      </c>
      <c r="T229" s="132">
        <f t="shared" si="20"/>
        <v>0</v>
      </c>
      <c r="V229" s="126">
        <f t="shared" si="21"/>
        <v>0</v>
      </c>
      <c r="W229" s="92">
        <f t="shared" si="22"/>
        <v>0</v>
      </c>
      <c r="Y229" s="210"/>
    </row>
    <row r="230" spans="1:25" ht="14.4" customHeight="1" thickBot="1" x14ac:dyDescent="0.3">
      <c r="A230" s="149"/>
      <c r="J230" s="130">
        <v>1</v>
      </c>
      <c r="K230" s="132">
        <f t="shared" si="18"/>
        <v>0</v>
      </c>
      <c r="M230" s="132">
        <v>1</v>
      </c>
      <c r="N230" s="132">
        <f t="shared" si="19"/>
        <v>0</v>
      </c>
      <c r="P230" s="132">
        <v>1</v>
      </c>
      <c r="Q230" s="132">
        <f t="shared" si="23"/>
        <v>0</v>
      </c>
      <c r="S230" s="132">
        <v>1</v>
      </c>
      <c r="T230" s="132">
        <f t="shared" si="20"/>
        <v>0</v>
      </c>
      <c r="V230" s="126">
        <f t="shared" si="21"/>
        <v>0</v>
      </c>
      <c r="W230" s="92">
        <f t="shared" si="22"/>
        <v>0</v>
      </c>
      <c r="Y230" s="210"/>
    </row>
    <row r="231" spans="1:25" ht="14.4" customHeight="1" thickBot="1" x14ac:dyDescent="0.3">
      <c r="A231" s="149"/>
      <c r="J231" s="130">
        <v>1</v>
      </c>
      <c r="K231" s="132">
        <f t="shared" si="18"/>
        <v>0</v>
      </c>
      <c r="M231" s="132">
        <v>1</v>
      </c>
      <c r="N231" s="132">
        <f t="shared" si="19"/>
        <v>0</v>
      </c>
      <c r="P231" s="132">
        <v>1</v>
      </c>
      <c r="Q231" s="132">
        <f t="shared" si="23"/>
        <v>0</v>
      </c>
      <c r="S231" s="132">
        <v>1</v>
      </c>
      <c r="T231" s="132">
        <f t="shared" si="20"/>
        <v>0</v>
      </c>
      <c r="V231" s="126">
        <f t="shared" si="21"/>
        <v>0</v>
      </c>
      <c r="W231" s="92">
        <f t="shared" si="22"/>
        <v>0</v>
      </c>
      <c r="Y231" s="210"/>
    </row>
    <row r="232" spans="1:25" ht="14.4" customHeight="1" thickBot="1" x14ac:dyDescent="0.3">
      <c r="A232" s="149"/>
      <c r="J232" s="130">
        <v>1</v>
      </c>
      <c r="K232" s="132">
        <f t="shared" si="18"/>
        <v>0</v>
      </c>
      <c r="M232" s="132">
        <v>1</v>
      </c>
      <c r="N232" s="132">
        <f t="shared" si="19"/>
        <v>0</v>
      </c>
      <c r="P232" s="132">
        <v>1</v>
      </c>
      <c r="Q232" s="132">
        <f t="shared" si="23"/>
        <v>0</v>
      </c>
      <c r="S232" s="132">
        <v>1</v>
      </c>
      <c r="T232" s="132">
        <f t="shared" si="20"/>
        <v>0</v>
      </c>
      <c r="V232" s="126">
        <f t="shared" si="21"/>
        <v>0</v>
      </c>
      <c r="W232" s="92">
        <f t="shared" si="22"/>
        <v>0</v>
      </c>
      <c r="Y232" s="210"/>
    </row>
    <row r="233" spans="1:25" ht="14.4" customHeight="1" thickBot="1" x14ac:dyDescent="0.3">
      <c r="A233" s="149"/>
      <c r="J233" s="130">
        <v>1</v>
      </c>
      <c r="K233" s="132">
        <f t="shared" si="18"/>
        <v>0</v>
      </c>
      <c r="M233" s="132">
        <v>1</v>
      </c>
      <c r="N233" s="132">
        <f t="shared" si="19"/>
        <v>0</v>
      </c>
      <c r="P233" s="132">
        <v>1</v>
      </c>
      <c r="Q233" s="132">
        <f t="shared" si="23"/>
        <v>0</v>
      </c>
      <c r="S233" s="132">
        <v>1</v>
      </c>
      <c r="T233" s="132">
        <f t="shared" si="20"/>
        <v>0</v>
      </c>
      <c r="V233" s="126">
        <f t="shared" si="21"/>
        <v>0</v>
      </c>
      <c r="W233" s="92">
        <f t="shared" si="22"/>
        <v>0</v>
      </c>
      <c r="Y233" s="210"/>
    </row>
    <row r="234" spans="1:25" ht="14.4" customHeight="1" thickBot="1" x14ac:dyDescent="0.3">
      <c r="A234" s="149"/>
      <c r="J234" s="130">
        <v>1</v>
      </c>
      <c r="K234" s="132">
        <f t="shared" si="18"/>
        <v>0</v>
      </c>
      <c r="M234" s="132">
        <v>1</v>
      </c>
      <c r="N234" s="132">
        <f t="shared" si="19"/>
        <v>0</v>
      </c>
      <c r="P234" s="132">
        <v>1</v>
      </c>
      <c r="Q234" s="132">
        <f t="shared" si="23"/>
        <v>0</v>
      </c>
      <c r="S234" s="132">
        <v>1</v>
      </c>
      <c r="T234" s="132">
        <f t="shared" si="20"/>
        <v>0</v>
      </c>
      <c r="V234" s="126">
        <f t="shared" si="21"/>
        <v>0</v>
      </c>
      <c r="W234" s="92">
        <f t="shared" si="22"/>
        <v>0</v>
      </c>
      <c r="Y234" s="210"/>
    </row>
    <row r="235" spans="1:25" ht="14.4" customHeight="1" thickBot="1" x14ac:dyDescent="0.3">
      <c r="A235" s="149"/>
      <c r="J235" s="130">
        <v>1</v>
      </c>
      <c r="K235" s="132">
        <f t="shared" si="18"/>
        <v>0</v>
      </c>
      <c r="M235" s="132">
        <v>1</v>
      </c>
      <c r="N235" s="132">
        <f t="shared" si="19"/>
        <v>0</v>
      </c>
      <c r="P235" s="132">
        <v>1</v>
      </c>
      <c r="Q235" s="132">
        <f t="shared" si="23"/>
        <v>0</v>
      </c>
      <c r="S235" s="132">
        <v>1</v>
      </c>
      <c r="T235" s="132">
        <f t="shared" si="20"/>
        <v>0</v>
      </c>
      <c r="V235" s="126">
        <f t="shared" si="21"/>
        <v>0</v>
      </c>
      <c r="W235" s="92">
        <f t="shared" si="22"/>
        <v>0</v>
      </c>
      <c r="Y235" s="210"/>
    </row>
    <row r="236" spans="1:25" ht="14.4" customHeight="1" thickBot="1" x14ac:dyDescent="0.3">
      <c r="A236" s="149"/>
      <c r="J236" s="130">
        <v>1</v>
      </c>
      <c r="K236" s="132">
        <f t="shared" si="18"/>
        <v>0</v>
      </c>
      <c r="M236" s="132">
        <v>1</v>
      </c>
      <c r="N236" s="132">
        <f t="shared" si="19"/>
        <v>0</v>
      </c>
      <c r="P236" s="132">
        <v>1</v>
      </c>
      <c r="Q236" s="132">
        <f t="shared" si="23"/>
        <v>0</v>
      </c>
      <c r="S236" s="132">
        <v>1</v>
      </c>
      <c r="T236" s="132">
        <f t="shared" si="20"/>
        <v>0</v>
      </c>
      <c r="V236" s="126">
        <f t="shared" si="21"/>
        <v>0</v>
      </c>
      <c r="W236" s="92">
        <f t="shared" si="22"/>
        <v>0</v>
      </c>
      <c r="Y236" s="210"/>
    </row>
    <row r="237" spans="1:25" ht="14.4" customHeight="1" thickBot="1" x14ac:dyDescent="0.3">
      <c r="A237" s="149"/>
      <c r="J237" s="130">
        <v>1</v>
      </c>
      <c r="K237" s="132">
        <f t="shared" si="18"/>
        <v>0</v>
      </c>
      <c r="M237" s="132">
        <v>1</v>
      </c>
      <c r="N237" s="132">
        <f t="shared" si="19"/>
        <v>0</v>
      </c>
      <c r="P237" s="132">
        <v>1</v>
      </c>
      <c r="Q237" s="132">
        <f t="shared" si="23"/>
        <v>0</v>
      </c>
      <c r="S237" s="132">
        <v>1</v>
      </c>
      <c r="T237" s="132">
        <f t="shared" si="20"/>
        <v>0</v>
      </c>
      <c r="V237" s="126">
        <f t="shared" si="21"/>
        <v>0</v>
      </c>
      <c r="W237" s="92">
        <f t="shared" si="22"/>
        <v>0</v>
      </c>
      <c r="Y237" s="210"/>
    </row>
    <row r="238" spans="1:25" ht="14.4" customHeight="1" thickBot="1" x14ac:dyDescent="0.3">
      <c r="A238" s="149"/>
      <c r="J238" s="130">
        <v>1</v>
      </c>
      <c r="K238" s="132">
        <f t="shared" si="18"/>
        <v>0</v>
      </c>
      <c r="M238" s="132">
        <v>1</v>
      </c>
      <c r="N238" s="132">
        <f t="shared" si="19"/>
        <v>0</v>
      </c>
      <c r="P238" s="132">
        <v>1</v>
      </c>
      <c r="Q238" s="132">
        <f t="shared" si="23"/>
        <v>0</v>
      </c>
      <c r="S238" s="132">
        <v>1</v>
      </c>
      <c r="T238" s="132">
        <f t="shared" si="20"/>
        <v>0</v>
      </c>
      <c r="V238" s="126">
        <f t="shared" si="21"/>
        <v>0</v>
      </c>
      <c r="W238" s="92">
        <f t="shared" si="22"/>
        <v>0</v>
      </c>
      <c r="Y238" s="210"/>
    </row>
    <row r="239" spans="1:25" ht="14.4" customHeight="1" thickBot="1" x14ac:dyDescent="0.3">
      <c r="A239" s="149"/>
      <c r="J239" s="130">
        <v>1</v>
      </c>
      <c r="K239" s="132">
        <f t="shared" si="18"/>
        <v>0</v>
      </c>
      <c r="M239" s="132">
        <v>1</v>
      </c>
      <c r="N239" s="132">
        <f t="shared" si="19"/>
        <v>0</v>
      </c>
      <c r="P239" s="132">
        <v>1</v>
      </c>
      <c r="Q239" s="132">
        <f t="shared" si="23"/>
        <v>0</v>
      </c>
      <c r="S239" s="132">
        <v>1</v>
      </c>
      <c r="T239" s="132">
        <f t="shared" si="20"/>
        <v>0</v>
      </c>
      <c r="V239" s="126">
        <f t="shared" si="21"/>
        <v>0</v>
      </c>
      <c r="W239" s="92">
        <f t="shared" si="22"/>
        <v>0</v>
      </c>
      <c r="Y239" s="210"/>
    </row>
    <row r="240" spans="1:25" ht="14.4" customHeight="1" thickBot="1" x14ac:dyDescent="0.3">
      <c r="A240" s="149"/>
      <c r="J240" s="130">
        <v>1</v>
      </c>
      <c r="K240" s="132">
        <f t="shared" si="18"/>
        <v>0</v>
      </c>
      <c r="M240" s="132">
        <v>1</v>
      </c>
      <c r="N240" s="132">
        <f t="shared" si="19"/>
        <v>0</v>
      </c>
      <c r="P240" s="132">
        <v>1</v>
      </c>
      <c r="Q240" s="132">
        <f t="shared" si="23"/>
        <v>0</v>
      </c>
      <c r="S240" s="132">
        <v>1</v>
      </c>
      <c r="T240" s="132">
        <f t="shared" si="20"/>
        <v>0</v>
      </c>
      <c r="V240" s="126">
        <f t="shared" si="21"/>
        <v>0</v>
      </c>
      <c r="W240" s="92">
        <f t="shared" si="22"/>
        <v>0</v>
      </c>
      <c r="Y240" s="210"/>
    </row>
    <row r="241" spans="1:25" ht="14.4" customHeight="1" thickBot="1" x14ac:dyDescent="0.3">
      <c r="A241" s="149"/>
      <c r="J241" s="130">
        <v>1</v>
      </c>
      <c r="K241" s="132">
        <f t="shared" si="18"/>
        <v>0</v>
      </c>
      <c r="M241" s="132">
        <v>1</v>
      </c>
      <c r="N241" s="132">
        <f t="shared" si="19"/>
        <v>0</v>
      </c>
      <c r="P241" s="132">
        <v>1</v>
      </c>
      <c r="Q241" s="132">
        <f t="shared" si="23"/>
        <v>0</v>
      </c>
      <c r="S241" s="132">
        <v>1</v>
      </c>
      <c r="T241" s="132">
        <f t="shared" si="20"/>
        <v>0</v>
      </c>
      <c r="V241" s="126">
        <f t="shared" si="21"/>
        <v>0</v>
      </c>
      <c r="W241" s="92">
        <f t="shared" si="22"/>
        <v>0</v>
      </c>
      <c r="Y241" s="210"/>
    </row>
    <row r="242" spans="1:25" ht="14.4" customHeight="1" thickBot="1" x14ac:dyDescent="0.3">
      <c r="A242" s="149"/>
      <c r="J242" s="130">
        <v>1</v>
      </c>
      <c r="K242" s="132">
        <f t="shared" si="18"/>
        <v>0</v>
      </c>
      <c r="M242" s="132">
        <v>1</v>
      </c>
      <c r="N242" s="132">
        <f t="shared" si="19"/>
        <v>0</v>
      </c>
      <c r="P242" s="132">
        <v>1</v>
      </c>
      <c r="Q242" s="132">
        <f t="shared" si="23"/>
        <v>0</v>
      </c>
      <c r="S242" s="132">
        <v>1</v>
      </c>
      <c r="T242" s="132">
        <f t="shared" si="20"/>
        <v>0</v>
      </c>
      <c r="V242" s="126">
        <f t="shared" si="21"/>
        <v>0</v>
      </c>
      <c r="W242" s="92">
        <f t="shared" si="22"/>
        <v>0</v>
      </c>
      <c r="Y242" s="210"/>
    </row>
    <row r="243" spans="1:25" ht="14.4" customHeight="1" thickBot="1" x14ac:dyDescent="0.3">
      <c r="A243" s="149"/>
      <c r="J243" s="130">
        <v>1</v>
      </c>
      <c r="K243" s="132">
        <f t="shared" si="18"/>
        <v>0</v>
      </c>
      <c r="M243" s="132">
        <v>1</v>
      </c>
      <c r="N243" s="132">
        <f t="shared" si="19"/>
        <v>0</v>
      </c>
      <c r="P243" s="132">
        <v>1</v>
      </c>
      <c r="Q243" s="132">
        <f t="shared" si="23"/>
        <v>0</v>
      </c>
      <c r="S243" s="132">
        <v>1</v>
      </c>
      <c r="T243" s="132">
        <f t="shared" si="20"/>
        <v>0</v>
      </c>
      <c r="V243" s="126">
        <f t="shared" si="21"/>
        <v>0</v>
      </c>
      <c r="W243" s="92">
        <f t="shared" si="22"/>
        <v>0</v>
      </c>
      <c r="Y243" s="210"/>
    </row>
    <row r="244" spans="1:25" ht="14.4" customHeight="1" thickBot="1" x14ac:dyDescent="0.3">
      <c r="A244" s="149"/>
      <c r="J244" s="130">
        <v>1</v>
      </c>
      <c r="K244" s="132">
        <f t="shared" si="18"/>
        <v>0</v>
      </c>
      <c r="M244" s="132">
        <v>1</v>
      </c>
      <c r="N244" s="132">
        <f t="shared" si="19"/>
        <v>0</v>
      </c>
      <c r="P244" s="132">
        <v>1</v>
      </c>
      <c r="Q244" s="132">
        <f t="shared" si="23"/>
        <v>0</v>
      </c>
      <c r="S244" s="132">
        <v>1</v>
      </c>
      <c r="T244" s="132">
        <f t="shared" si="20"/>
        <v>0</v>
      </c>
      <c r="V244" s="126">
        <f t="shared" si="21"/>
        <v>0</v>
      </c>
      <c r="W244" s="92">
        <f t="shared" si="22"/>
        <v>0</v>
      </c>
      <c r="Y244" s="210"/>
    </row>
    <row r="245" spans="1:25" ht="14.4" customHeight="1" thickBot="1" x14ac:dyDescent="0.3">
      <c r="A245" s="149"/>
      <c r="J245" s="130">
        <v>1</v>
      </c>
      <c r="K245" s="132">
        <f t="shared" si="18"/>
        <v>0</v>
      </c>
      <c r="M245" s="132">
        <v>1</v>
      </c>
      <c r="N245" s="132">
        <f t="shared" si="19"/>
        <v>0</v>
      </c>
      <c r="P245" s="132">
        <v>1</v>
      </c>
      <c r="Q245" s="132">
        <f t="shared" si="23"/>
        <v>0</v>
      </c>
      <c r="S245" s="132">
        <v>1</v>
      </c>
      <c r="T245" s="132">
        <f t="shared" si="20"/>
        <v>0</v>
      </c>
      <c r="V245" s="126">
        <f t="shared" si="21"/>
        <v>0</v>
      </c>
      <c r="W245" s="92">
        <f t="shared" si="22"/>
        <v>0</v>
      </c>
      <c r="Y245" s="210"/>
    </row>
    <row r="246" spans="1:25" ht="14.4" customHeight="1" thickBot="1" x14ac:dyDescent="0.3">
      <c r="A246" s="149"/>
      <c r="J246" s="130">
        <v>1</v>
      </c>
      <c r="K246" s="132">
        <f t="shared" si="18"/>
        <v>0</v>
      </c>
      <c r="M246" s="132">
        <v>1</v>
      </c>
      <c r="N246" s="132">
        <f t="shared" si="19"/>
        <v>0</v>
      </c>
      <c r="P246" s="132">
        <v>1</v>
      </c>
      <c r="Q246" s="132">
        <f t="shared" si="23"/>
        <v>0</v>
      </c>
      <c r="S246" s="132">
        <v>1</v>
      </c>
      <c r="T246" s="132">
        <f t="shared" si="20"/>
        <v>0</v>
      </c>
      <c r="V246" s="126">
        <f t="shared" si="21"/>
        <v>0</v>
      </c>
      <c r="W246" s="92">
        <f t="shared" si="22"/>
        <v>0</v>
      </c>
      <c r="Y246" s="210"/>
    </row>
    <row r="247" spans="1:25" ht="14.4" customHeight="1" thickBot="1" x14ac:dyDescent="0.3">
      <c r="A247" s="149"/>
      <c r="J247" s="130">
        <v>1</v>
      </c>
      <c r="K247" s="132">
        <f t="shared" si="18"/>
        <v>0</v>
      </c>
      <c r="M247" s="132">
        <v>1</v>
      </c>
      <c r="N247" s="132">
        <f t="shared" si="19"/>
        <v>0</v>
      </c>
      <c r="P247" s="132">
        <v>1</v>
      </c>
      <c r="Q247" s="132">
        <f t="shared" si="23"/>
        <v>0</v>
      </c>
      <c r="S247" s="132">
        <v>1</v>
      </c>
      <c r="T247" s="132">
        <f t="shared" si="20"/>
        <v>0</v>
      </c>
      <c r="V247" s="126">
        <f t="shared" si="21"/>
        <v>0</v>
      </c>
      <c r="W247" s="92">
        <f t="shared" si="22"/>
        <v>0</v>
      </c>
      <c r="Y247" s="210"/>
    </row>
    <row r="248" spans="1:25" ht="14.4" customHeight="1" thickBot="1" x14ac:dyDescent="0.3">
      <c r="A248" s="149"/>
      <c r="J248" s="130">
        <v>1</v>
      </c>
      <c r="K248" s="132">
        <f t="shared" si="18"/>
        <v>0</v>
      </c>
      <c r="M248" s="132">
        <v>1</v>
      </c>
      <c r="N248" s="132">
        <f t="shared" si="19"/>
        <v>0</v>
      </c>
      <c r="P248" s="132">
        <v>1</v>
      </c>
      <c r="Q248" s="132">
        <f t="shared" si="23"/>
        <v>0</v>
      </c>
      <c r="S248" s="132">
        <v>1</v>
      </c>
      <c r="T248" s="132">
        <f t="shared" si="20"/>
        <v>0</v>
      </c>
      <c r="V248" s="126">
        <f t="shared" si="21"/>
        <v>0</v>
      </c>
      <c r="W248" s="92">
        <f t="shared" si="22"/>
        <v>0</v>
      </c>
      <c r="Y248" s="210"/>
    </row>
    <row r="249" spans="1:25" ht="14.4" customHeight="1" thickBot="1" x14ac:dyDescent="0.3">
      <c r="A249" s="149"/>
      <c r="J249" s="130">
        <v>1</v>
      </c>
      <c r="K249" s="132">
        <f t="shared" si="18"/>
        <v>0</v>
      </c>
      <c r="M249" s="132">
        <v>1</v>
      </c>
      <c r="N249" s="132">
        <f t="shared" si="19"/>
        <v>0</v>
      </c>
      <c r="P249" s="132">
        <v>1</v>
      </c>
      <c r="Q249" s="132">
        <f t="shared" si="23"/>
        <v>0</v>
      </c>
      <c r="S249" s="132">
        <v>1</v>
      </c>
      <c r="T249" s="132">
        <f t="shared" si="20"/>
        <v>0</v>
      </c>
      <c r="V249" s="126">
        <f t="shared" si="21"/>
        <v>0</v>
      </c>
      <c r="W249" s="92">
        <f t="shared" si="22"/>
        <v>0</v>
      </c>
      <c r="Y249" s="210"/>
    </row>
    <row r="250" spans="1:25" ht="14.4" customHeight="1" thickBot="1" x14ac:dyDescent="0.3">
      <c r="A250" s="149"/>
      <c r="J250" s="130">
        <v>1</v>
      </c>
      <c r="K250" s="132">
        <f t="shared" si="18"/>
        <v>0</v>
      </c>
      <c r="M250" s="132">
        <v>1</v>
      </c>
      <c r="N250" s="132">
        <f t="shared" si="19"/>
        <v>0</v>
      </c>
      <c r="P250" s="132">
        <v>1</v>
      </c>
      <c r="Q250" s="132">
        <f t="shared" si="23"/>
        <v>0</v>
      </c>
      <c r="S250" s="132">
        <v>1</v>
      </c>
      <c r="T250" s="132">
        <f t="shared" si="20"/>
        <v>0</v>
      </c>
      <c r="V250" s="126">
        <f t="shared" si="21"/>
        <v>0</v>
      </c>
      <c r="W250" s="92">
        <f t="shared" si="22"/>
        <v>0</v>
      </c>
      <c r="Y250" s="210"/>
    </row>
    <row r="251" spans="1:25" ht="14.4" customHeight="1" thickBot="1" x14ac:dyDescent="0.3">
      <c r="A251" s="149"/>
      <c r="J251" s="130">
        <v>1</v>
      </c>
      <c r="K251" s="132">
        <f t="shared" si="18"/>
        <v>0</v>
      </c>
      <c r="M251" s="132">
        <v>1</v>
      </c>
      <c r="N251" s="132">
        <f t="shared" si="19"/>
        <v>0</v>
      </c>
      <c r="P251" s="132">
        <v>1</v>
      </c>
      <c r="Q251" s="132">
        <f t="shared" si="23"/>
        <v>0</v>
      </c>
      <c r="S251" s="132">
        <v>1</v>
      </c>
      <c r="T251" s="132">
        <f t="shared" si="20"/>
        <v>0</v>
      </c>
      <c r="V251" s="126">
        <f t="shared" si="21"/>
        <v>0</v>
      </c>
      <c r="W251" s="92">
        <f t="shared" si="22"/>
        <v>0</v>
      </c>
      <c r="Y251" s="210"/>
    </row>
    <row r="252" spans="1:25" ht="14.4" customHeight="1" thickBot="1" x14ac:dyDescent="0.3">
      <c r="A252" s="149"/>
      <c r="J252" s="130">
        <v>1</v>
      </c>
      <c r="K252" s="132">
        <f t="shared" si="18"/>
        <v>0</v>
      </c>
      <c r="M252" s="132">
        <v>1</v>
      </c>
      <c r="N252" s="132">
        <f t="shared" si="19"/>
        <v>0</v>
      </c>
      <c r="P252" s="132">
        <v>1</v>
      </c>
      <c r="Q252" s="132">
        <f t="shared" si="23"/>
        <v>0</v>
      </c>
      <c r="S252" s="132">
        <v>1</v>
      </c>
      <c r="T252" s="132">
        <f t="shared" si="20"/>
        <v>0</v>
      </c>
      <c r="V252" s="126">
        <f t="shared" si="21"/>
        <v>0</v>
      </c>
      <c r="W252" s="92">
        <f t="shared" si="22"/>
        <v>0</v>
      </c>
      <c r="Y252" s="210"/>
    </row>
    <row r="253" spans="1:25" ht="14.4" customHeight="1" thickBot="1" x14ac:dyDescent="0.3">
      <c r="A253" s="149"/>
      <c r="J253" s="130">
        <v>1</v>
      </c>
      <c r="K253" s="132">
        <f t="shared" si="18"/>
        <v>0</v>
      </c>
      <c r="M253" s="132">
        <v>1</v>
      </c>
      <c r="N253" s="132">
        <f t="shared" si="19"/>
        <v>0</v>
      </c>
      <c r="P253" s="132">
        <v>1</v>
      </c>
      <c r="Q253" s="132">
        <f t="shared" si="23"/>
        <v>0</v>
      </c>
      <c r="S253" s="132">
        <v>1</v>
      </c>
      <c r="T253" s="132">
        <f t="shared" si="20"/>
        <v>0</v>
      </c>
      <c r="V253" s="126">
        <f t="shared" si="21"/>
        <v>0</v>
      </c>
      <c r="W253" s="92">
        <f t="shared" si="22"/>
        <v>0</v>
      </c>
      <c r="Y253" s="210"/>
    </row>
    <row r="254" spans="1:25" ht="14.4" customHeight="1" thickBot="1" x14ac:dyDescent="0.3">
      <c r="A254" s="149"/>
      <c r="J254" s="130">
        <v>1</v>
      </c>
      <c r="K254" s="132">
        <f t="shared" si="18"/>
        <v>0</v>
      </c>
      <c r="M254" s="132">
        <v>1</v>
      </c>
      <c r="N254" s="132">
        <f t="shared" si="19"/>
        <v>0</v>
      </c>
      <c r="P254" s="132">
        <v>1</v>
      </c>
      <c r="Q254" s="132">
        <f t="shared" si="23"/>
        <v>0</v>
      </c>
      <c r="S254" s="132">
        <v>1</v>
      </c>
      <c r="T254" s="132">
        <f t="shared" si="20"/>
        <v>0</v>
      </c>
      <c r="V254" s="126">
        <f t="shared" si="21"/>
        <v>0</v>
      </c>
      <c r="W254" s="92">
        <f t="shared" si="22"/>
        <v>0</v>
      </c>
      <c r="Y254" s="210"/>
    </row>
    <row r="255" spans="1:25" ht="14.4" customHeight="1" thickBot="1" x14ac:dyDescent="0.3">
      <c r="A255" s="149"/>
      <c r="J255" s="130">
        <v>1</v>
      </c>
      <c r="K255" s="132">
        <f t="shared" si="18"/>
        <v>0</v>
      </c>
      <c r="M255" s="132">
        <v>1</v>
      </c>
      <c r="N255" s="132">
        <f t="shared" si="19"/>
        <v>0</v>
      </c>
      <c r="P255" s="132">
        <v>1</v>
      </c>
      <c r="Q255" s="132">
        <f t="shared" si="23"/>
        <v>0</v>
      </c>
      <c r="S255" s="132">
        <v>1</v>
      </c>
      <c r="T255" s="132">
        <f t="shared" si="20"/>
        <v>0</v>
      </c>
      <c r="V255" s="126">
        <f t="shared" si="21"/>
        <v>0</v>
      </c>
      <c r="W255" s="92">
        <f t="shared" si="22"/>
        <v>0</v>
      </c>
      <c r="Y255" s="210"/>
    </row>
    <row r="256" spans="1:25" ht="14.4" customHeight="1" thickBot="1" x14ac:dyDescent="0.3">
      <c r="A256" s="149"/>
      <c r="J256" s="130">
        <v>1</v>
      </c>
      <c r="K256" s="132">
        <f t="shared" si="18"/>
        <v>0</v>
      </c>
      <c r="M256" s="132">
        <v>1</v>
      </c>
      <c r="N256" s="132">
        <f t="shared" si="19"/>
        <v>0</v>
      </c>
      <c r="P256" s="132">
        <v>1</v>
      </c>
      <c r="Q256" s="132">
        <f t="shared" si="23"/>
        <v>0</v>
      </c>
      <c r="S256" s="132">
        <v>1</v>
      </c>
      <c r="T256" s="132">
        <f t="shared" si="20"/>
        <v>0</v>
      </c>
      <c r="V256" s="126">
        <f t="shared" si="21"/>
        <v>0</v>
      </c>
      <c r="W256" s="92">
        <f t="shared" si="22"/>
        <v>0</v>
      </c>
      <c r="Y256" s="210"/>
    </row>
    <row r="257" spans="1:25" ht="14.4" customHeight="1" thickBot="1" x14ac:dyDescent="0.3">
      <c r="A257" s="149"/>
      <c r="J257" s="130">
        <v>1</v>
      </c>
      <c r="K257" s="132">
        <f t="shared" si="18"/>
        <v>0</v>
      </c>
      <c r="M257" s="132">
        <v>1</v>
      </c>
      <c r="N257" s="132">
        <f t="shared" si="19"/>
        <v>0</v>
      </c>
      <c r="P257" s="132">
        <v>1</v>
      </c>
      <c r="Q257" s="132">
        <f t="shared" si="23"/>
        <v>0</v>
      </c>
      <c r="S257" s="132">
        <v>1</v>
      </c>
      <c r="T257" s="132">
        <f t="shared" si="20"/>
        <v>0</v>
      </c>
      <c r="V257" s="126">
        <f t="shared" si="21"/>
        <v>0</v>
      </c>
      <c r="W257" s="92">
        <f t="shared" si="22"/>
        <v>0</v>
      </c>
      <c r="Y257" s="210"/>
    </row>
    <row r="258" spans="1:25" ht="14.4" customHeight="1" thickBot="1" x14ac:dyDescent="0.3">
      <c r="A258" s="149"/>
      <c r="J258" s="130">
        <v>1</v>
      </c>
      <c r="K258" s="132">
        <f t="shared" ref="K258:K321" si="24">I258/J258</f>
        <v>0</v>
      </c>
      <c r="M258" s="132">
        <v>1</v>
      </c>
      <c r="N258" s="132">
        <f t="shared" ref="N258:N321" si="25">L258/M258</f>
        <v>0</v>
      </c>
      <c r="P258" s="132">
        <v>1</v>
      </c>
      <c r="Q258" s="132">
        <f t="shared" si="23"/>
        <v>0</v>
      </c>
      <c r="S258" s="132">
        <v>1</v>
      </c>
      <c r="T258" s="132">
        <f t="shared" ref="T258:T321" si="26">R258/S258</f>
        <v>0</v>
      </c>
      <c r="V258" s="126">
        <f t="shared" ref="V258:V321" si="27">D258+E258-G258-I258/J258-L258/M258-O258/P258-R258/S258</f>
        <v>0</v>
      </c>
      <c r="W258" s="92">
        <f t="shared" ref="W258:W321" si="28">G258+I258/J258+L258/M258+O258/P258+R258/S258</f>
        <v>0</v>
      </c>
      <c r="Y258" s="210"/>
    </row>
    <row r="259" spans="1:25" ht="14.4" customHeight="1" thickBot="1" x14ac:dyDescent="0.3">
      <c r="A259" s="149"/>
      <c r="J259" s="130">
        <v>1</v>
      </c>
      <c r="K259" s="132">
        <f t="shared" si="24"/>
        <v>0</v>
      </c>
      <c r="M259" s="132">
        <v>1</v>
      </c>
      <c r="N259" s="132">
        <f t="shared" si="25"/>
        <v>0</v>
      </c>
      <c r="P259" s="132">
        <v>1</v>
      </c>
      <c r="Q259" s="132">
        <f t="shared" ref="Q259:Q322" si="29">O259/P259</f>
        <v>0</v>
      </c>
      <c r="S259" s="132">
        <v>1</v>
      </c>
      <c r="T259" s="132">
        <f t="shared" si="26"/>
        <v>0</v>
      </c>
      <c r="V259" s="126">
        <f t="shared" si="27"/>
        <v>0</v>
      </c>
      <c r="W259" s="92">
        <f t="shared" si="28"/>
        <v>0</v>
      </c>
      <c r="Y259" s="210"/>
    </row>
    <row r="260" spans="1:25" ht="14.4" customHeight="1" thickBot="1" x14ac:dyDescent="0.3">
      <c r="A260" s="149"/>
      <c r="J260" s="130">
        <v>1</v>
      </c>
      <c r="K260" s="132">
        <f t="shared" si="24"/>
        <v>0</v>
      </c>
      <c r="M260" s="132">
        <v>1</v>
      </c>
      <c r="N260" s="132">
        <f t="shared" si="25"/>
        <v>0</v>
      </c>
      <c r="P260" s="132">
        <v>1</v>
      </c>
      <c r="Q260" s="132">
        <f t="shared" si="29"/>
        <v>0</v>
      </c>
      <c r="S260" s="132">
        <v>1</v>
      </c>
      <c r="T260" s="132">
        <f t="shared" si="26"/>
        <v>0</v>
      </c>
      <c r="V260" s="126">
        <f t="shared" si="27"/>
        <v>0</v>
      </c>
      <c r="W260" s="92">
        <f t="shared" si="28"/>
        <v>0</v>
      </c>
      <c r="Y260" s="210"/>
    </row>
    <row r="261" spans="1:25" ht="14.4" customHeight="1" thickBot="1" x14ac:dyDescent="0.3">
      <c r="A261" s="149"/>
      <c r="J261" s="130">
        <v>1</v>
      </c>
      <c r="K261" s="132">
        <f t="shared" si="24"/>
        <v>0</v>
      </c>
      <c r="M261" s="132">
        <v>1</v>
      </c>
      <c r="N261" s="132">
        <f t="shared" si="25"/>
        <v>0</v>
      </c>
      <c r="P261" s="132">
        <v>1</v>
      </c>
      <c r="Q261" s="132">
        <f t="shared" si="29"/>
        <v>0</v>
      </c>
      <c r="S261" s="132">
        <v>1</v>
      </c>
      <c r="T261" s="132">
        <f t="shared" si="26"/>
        <v>0</v>
      </c>
      <c r="V261" s="126">
        <f t="shared" si="27"/>
        <v>0</v>
      </c>
      <c r="W261" s="92">
        <f t="shared" si="28"/>
        <v>0</v>
      </c>
      <c r="Y261" s="210"/>
    </row>
    <row r="262" spans="1:25" ht="14.4" customHeight="1" thickBot="1" x14ac:dyDescent="0.3">
      <c r="A262" s="149"/>
      <c r="J262" s="130">
        <v>1</v>
      </c>
      <c r="K262" s="132">
        <f t="shared" si="24"/>
        <v>0</v>
      </c>
      <c r="M262" s="132">
        <v>1</v>
      </c>
      <c r="N262" s="132">
        <f t="shared" si="25"/>
        <v>0</v>
      </c>
      <c r="P262" s="132">
        <v>1</v>
      </c>
      <c r="Q262" s="132">
        <f t="shared" si="29"/>
        <v>0</v>
      </c>
      <c r="S262" s="132">
        <v>1</v>
      </c>
      <c r="T262" s="132">
        <f t="shared" si="26"/>
        <v>0</v>
      </c>
      <c r="V262" s="126">
        <f t="shared" si="27"/>
        <v>0</v>
      </c>
      <c r="W262" s="92">
        <f t="shared" si="28"/>
        <v>0</v>
      </c>
      <c r="Y262" s="210"/>
    </row>
    <row r="263" spans="1:25" ht="14.4" customHeight="1" thickBot="1" x14ac:dyDescent="0.3">
      <c r="A263" s="149"/>
      <c r="J263" s="130">
        <v>1</v>
      </c>
      <c r="K263" s="132">
        <f t="shared" si="24"/>
        <v>0</v>
      </c>
      <c r="M263" s="132">
        <v>1</v>
      </c>
      <c r="N263" s="132">
        <f t="shared" si="25"/>
        <v>0</v>
      </c>
      <c r="P263" s="132">
        <v>1</v>
      </c>
      <c r="Q263" s="132">
        <f t="shared" si="29"/>
        <v>0</v>
      </c>
      <c r="S263" s="132">
        <v>1</v>
      </c>
      <c r="T263" s="132">
        <f t="shared" si="26"/>
        <v>0</v>
      </c>
      <c r="V263" s="126">
        <f t="shared" si="27"/>
        <v>0</v>
      </c>
      <c r="W263" s="92">
        <f t="shared" si="28"/>
        <v>0</v>
      </c>
      <c r="Y263" s="210"/>
    </row>
    <row r="264" spans="1:25" ht="14.4" customHeight="1" thickBot="1" x14ac:dyDescent="0.3">
      <c r="A264" s="149"/>
      <c r="J264" s="130">
        <v>1</v>
      </c>
      <c r="K264" s="132">
        <f t="shared" si="24"/>
        <v>0</v>
      </c>
      <c r="M264" s="132">
        <v>1</v>
      </c>
      <c r="N264" s="132">
        <f t="shared" si="25"/>
        <v>0</v>
      </c>
      <c r="P264" s="132">
        <v>1</v>
      </c>
      <c r="Q264" s="132">
        <f t="shared" si="29"/>
        <v>0</v>
      </c>
      <c r="S264" s="132">
        <v>1</v>
      </c>
      <c r="T264" s="132">
        <f t="shared" si="26"/>
        <v>0</v>
      </c>
      <c r="V264" s="126">
        <f t="shared" si="27"/>
        <v>0</v>
      </c>
      <c r="W264" s="92">
        <f t="shared" si="28"/>
        <v>0</v>
      </c>
      <c r="Y264" s="210"/>
    </row>
    <row r="265" spans="1:25" ht="14.4" customHeight="1" thickBot="1" x14ac:dyDescent="0.3">
      <c r="A265" s="149"/>
      <c r="J265" s="130">
        <v>1</v>
      </c>
      <c r="K265" s="132">
        <f t="shared" si="24"/>
        <v>0</v>
      </c>
      <c r="M265" s="132">
        <v>1</v>
      </c>
      <c r="N265" s="132">
        <f t="shared" si="25"/>
        <v>0</v>
      </c>
      <c r="P265" s="132">
        <v>1</v>
      </c>
      <c r="Q265" s="132">
        <f t="shared" si="29"/>
        <v>0</v>
      </c>
      <c r="S265" s="132">
        <v>1</v>
      </c>
      <c r="T265" s="132">
        <f t="shared" si="26"/>
        <v>0</v>
      </c>
      <c r="V265" s="126">
        <f t="shared" si="27"/>
        <v>0</v>
      </c>
      <c r="W265" s="92">
        <f t="shared" si="28"/>
        <v>0</v>
      </c>
      <c r="Y265" s="210"/>
    </row>
    <row r="266" spans="1:25" ht="14.4" customHeight="1" thickBot="1" x14ac:dyDescent="0.3">
      <c r="A266" s="149"/>
      <c r="J266" s="130">
        <v>1</v>
      </c>
      <c r="K266" s="132">
        <f t="shared" si="24"/>
        <v>0</v>
      </c>
      <c r="M266" s="132">
        <v>1</v>
      </c>
      <c r="N266" s="132">
        <f t="shared" si="25"/>
        <v>0</v>
      </c>
      <c r="P266" s="132">
        <v>1</v>
      </c>
      <c r="Q266" s="132">
        <f t="shared" si="29"/>
        <v>0</v>
      </c>
      <c r="S266" s="132">
        <v>1</v>
      </c>
      <c r="T266" s="132">
        <f t="shared" si="26"/>
        <v>0</v>
      </c>
      <c r="V266" s="126">
        <f t="shared" si="27"/>
        <v>0</v>
      </c>
      <c r="W266" s="92">
        <f t="shared" si="28"/>
        <v>0</v>
      </c>
      <c r="Y266" s="210"/>
    </row>
    <row r="267" spans="1:25" ht="14.4" customHeight="1" thickBot="1" x14ac:dyDescent="0.3">
      <c r="A267" s="149"/>
      <c r="J267" s="130">
        <v>1</v>
      </c>
      <c r="K267" s="132">
        <f t="shared" si="24"/>
        <v>0</v>
      </c>
      <c r="M267" s="132">
        <v>1</v>
      </c>
      <c r="N267" s="132">
        <f t="shared" si="25"/>
        <v>0</v>
      </c>
      <c r="P267" s="132">
        <v>1</v>
      </c>
      <c r="Q267" s="132">
        <f t="shared" si="29"/>
        <v>0</v>
      </c>
      <c r="S267" s="132">
        <v>1</v>
      </c>
      <c r="T267" s="132">
        <f t="shared" si="26"/>
        <v>0</v>
      </c>
      <c r="V267" s="126">
        <f t="shared" si="27"/>
        <v>0</v>
      </c>
      <c r="W267" s="92">
        <f t="shared" si="28"/>
        <v>0</v>
      </c>
      <c r="Y267" s="210"/>
    </row>
    <row r="268" spans="1:25" ht="14.4" customHeight="1" thickBot="1" x14ac:dyDescent="0.3">
      <c r="A268" s="149"/>
      <c r="J268" s="130">
        <v>1</v>
      </c>
      <c r="K268" s="132">
        <f t="shared" si="24"/>
        <v>0</v>
      </c>
      <c r="M268" s="132">
        <v>1</v>
      </c>
      <c r="N268" s="132">
        <f t="shared" si="25"/>
        <v>0</v>
      </c>
      <c r="P268" s="132">
        <v>1</v>
      </c>
      <c r="Q268" s="132">
        <f t="shared" si="29"/>
        <v>0</v>
      </c>
      <c r="S268" s="132">
        <v>1</v>
      </c>
      <c r="T268" s="132">
        <f t="shared" si="26"/>
        <v>0</v>
      </c>
      <c r="V268" s="126">
        <f t="shared" si="27"/>
        <v>0</v>
      </c>
      <c r="W268" s="92">
        <f t="shared" si="28"/>
        <v>0</v>
      </c>
      <c r="Y268" s="210"/>
    </row>
    <row r="269" spans="1:25" ht="14.4" customHeight="1" thickBot="1" x14ac:dyDescent="0.3">
      <c r="A269" s="149"/>
      <c r="J269" s="130">
        <v>1</v>
      </c>
      <c r="K269" s="132">
        <f t="shared" si="24"/>
        <v>0</v>
      </c>
      <c r="M269" s="132">
        <v>1</v>
      </c>
      <c r="N269" s="132">
        <f t="shared" si="25"/>
        <v>0</v>
      </c>
      <c r="P269" s="132">
        <v>1</v>
      </c>
      <c r="Q269" s="132">
        <f t="shared" si="29"/>
        <v>0</v>
      </c>
      <c r="S269" s="132">
        <v>1</v>
      </c>
      <c r="T269" s="132">
        <f t="shared" si="26"/>
        <v>0</v>
      </c>
      <c r="V269" s="126">
        <f t="shared" si="27"/>
        <v>0</v>
      </c>
      <c r="W269" s="92">
        <f t="shared" si="28"/>
        <v>0</v>
      </c>
      <c r="Y269" s="210"/>
    </row>
    <row r="270" spans="1:25" ht="14.4" customHeight="1" thickBot="1" x14ac:dyDescent="0.3">
      <c r="A270" s="149"/>
      <c r="J270" s="130">
        <v>1</v>
      </c>
      <c r="K270" s="132">
        <f t="shared" si="24"/>
        <v>0</v>
      </c>
      <c r="M270" s="132">
        <v>1</v>
      </c>
      <c r="N270" s="132">
        <f t="shared" si="25"/>
        <v>0</v>
      </c>
      <c r="P270" s="132">
        <v>1</v>
      </c>
      <c r="Q270" s="132">
        <f t="shared" si="29"/>
        <v>0</v>
      </c>
      <c r="S270" s="132">
        <v>1</v>
      </c>
      <c r="T270" s="132">
        <f t="shared" si="26"/>
        <v>0</v>
      </c>
      <c r="V270" s="126">
        <f t="shared" si="27"/>
        <v>0</v>
      </c>
      <c r="W270" s="92">
        <f t="shared" si="28"/>
        <v>0</v>
      </c>
      <c r="Y270" s="210"/>
    </row>
    <row r="271" spans="1:25" ht="14.4" customHeight="1" thickBot="1" x14ac:dyDescent="0.3">
      <c r="A271" s="149"/>
      <c r="J271" s="130">
        <v>1</v>
      </c>
      <c r="K271" s="132">
        <f t="shared" si="24"/>
        <v>0</v>
      </c>
      <c r="M271" s="132">
        <v>1</v>
      </c>
      <c r="N271" s="132">
        <f t="shared" si="25"/>
        <v>0</v>
      </c>
      <c r="P271" s="132">
        <v>1</v>
      </c>
      <c r="Q271" s="132">
        <f t="shared" si="29"/>
        <v>0</v>
      </c>
      <c r="S271" s="132">
        <v>1</v>
      </c>
      <c r="T271" s="132">
        <f t="shared" si="26"/>
        <v>0</v>
      </c>
      <c r="V271" s="126">
        <f t="shared" si="27"/>
        <v>0</v>
      </c>
      <c r="W271" s="92">
        <f t="shared" si="28"/>
        <v>0</v>
      </c>
      <c r="Y271" s="210"/>
    </row>
    <row r="272" spans="1:25" ht="14.4" customHeight="1" thickBot="1" x14ac:dyDescent="0.3">
      <c r="A272" s="149"/>
      <c r="J272" s="130">
        <v>1</v>
      </c>
      <c r="K272" s="132">
        <f t="shared" si="24"/>
        <v>0</v>
      </c>
      <c r="M272" s="132">
        <v>1</v>
      </c>
      <c r="N272" s="132">
        <f t="shared" si="25"/>
        <v>0</v>
      </c>
      <c r="P272" s="132">
        <v>1</v>
      </c>
      <c r="Q272" s="132">
        <f t="shared" si="29"/>
        <v>0</v>
      </c>
      <c r="S272" s="132">
        <v>1</v>
      </c>
      <c r="T272" s="132">
        <f t="shared" si="26"/>
        <v>0</v>
      </c>
      <c r="V272" s="126">
        <f t="shared" si="27"/>
        <v>0</v>
      </c>
      <c r="W272" s="92">
        <f t="shared" si="28"/>
        <v>0</v>
      </c>
      <c r="Y272" s="210"/>
    </row>
    <row r="273" spans="1:25" ht="14.4" customHeight="1" thickBot="1" x14ac:dyDescent="0.3">
      <c r="A273" s="149"/>
      <c r="J273" s="130">
        <v>1</v>
      </c>
      <c r="K273" s="132">
        <f t="shared" si="24"/>
        <v>0</v>
      </c>
      <c r="M273" s="132">
        <v>1</v>
      </c>
      <c r="N273" s="132">
        <f t="shared" si="25"/>
        <v>0</v>
      </c>
      <c r="P273" s="132">
        <v>1</v>
      </c>
      <c r="Q273" s="132">
        <f t="shared" si="29"/>
        <v>0</v>
      </c>
      <c r="S273" s="132">
        <v>1</v>
      </c>
      <c r="T273" s="132">
        <f t="shared" si="26"/>
        <v>0</v>
      </c>
      <c r="V273" s="126">
        <f t="shared" si="27"/>
        <v>0</v>
      </c>
      <c r="W273" s="92">
        <f t="shared" si="28"/>
        <v>0</v>
      </c>
      <c r="Y273" s="210"/>
    </row>
    <row r="274" spans="1:25" ht="14.4" customHeight="1" thickBot="1" x14ac:dyDescent="0.3">
      <c r="A274" s="149"/>
      <c r="J274" s="130">
        <v>1</v>
      </c>
      <c r="K274" s="132">
        <f t="shared" si="24"/>
        <v>0</v>
      </c>
      <c r="M274" s="132">
        <v>1</v>
      </c>
      <c r="N274" s="132">
        <f t="shared" si="25"/>
        <v>0</v>
      </c>
      <c r="P274" s="132">
        <v>1</v>
      </c>
      <c r="Q274" s="132">
        <f t="shared" si="29"/>
        <v>0</v>
      </c>
      <c r="S274" s="132">
        <v>1</v>
      </c>
      <c r="T274" s="132">
        <f t="shared" si="26"/>
        <v>0</v>
      </c>
      <c r="V274" s="126">
        <f t="shared" si="27"/>
        <v>0</v>
      </c>
      <c r="W274" s="92">
        <f t="shared" si="28"/>
        <v>0</v>
      </c>
      <c r="Y274" s="210"/>
    </row>
    <row r="275" spans="1:25" ht="14.4" customHeight="1" thickBot="1" x14ac:dyDescent="0.3">
      <c r="A275" s="149"/>
      <c r="J275" s="130">
        <v>1</v>
      </c>
      <c r="K275" s="132">
        <f t="shared" si="24"/>
        <v>0</v>
      </c>
      <c r="M275" s="132">
        <v>1</v>
      </c>
      <c r="N275" s="132">
        <f t="shared" si="25"/>
        <v>0</v>
      </c>
      <c r="P275" s="132">
        <v>1</v>
      </c>
      <c r="Q275" s="132">
        <f t="shared" si="29"/>
        <v>0</v>
      </c>
      <c r="S275" s="132">
        <v>1</v>
      </c>
      <c r="T275" s="132">
        <f t="shared" si="26"/>
        <v>0</v>
      </c>
      <c r="V275" s="126">
        <f t="shared" si="27"/>
        <v>0</v>
      </c>
      <c r="W275" s="92">
        <f t="shared" si="28"/>
        <v>0</v>
      </c>
      <c r="Y275" s="210"/>
    </row>
    <row r="276" spans="1:25" ht="14.4" customHeight="1" thickBot="1" x14ac:dyDescent="0.3">
      <c r="A276" s="149"/>
      <c r="J276" s="130">
        <v>1</v>
      </c>
      <c r="K276" s="132">
        <f t="shared" si="24"/>
        <v>0</v>
      </c>
      <c r="M276" s="132">
        <v>1</v>
      </c>
      <c r="N276" s="132">
        <f t="shared" si="25"/>
        <v>0</v>
      </c>
      <c r="P276" s="132">
        <v>1</v>
      </c>
      <c r="Q276" s="132">
        <f t="shared" si="29"/>
        <v>0</v>
      </c>
      <c r="S276" s="132">
        <v>1</v>
      </c>
      <c r="T276" s="132">
        <f t="shared" si="26"/>
        <v>0</v>
      </c>
      <c r="V276" s="126">
        <f t="shared" si="27"/>
        <v>0</v>
      </c>
      <c r="W276" s="92">
        <f t="shared" si="28"/>
        <v>0</v>
      </c>
      <c r="Y276" s="210"/>
    </row>
    <row r="277" spans="1:25" ht="14.4" customHeight="1" thickBot="1" x14ac:dyDescent="0.3">
      <c r="A277" s="149"/>
      <c r="J277" s="130">
        <v>1</v>
      </c>
      <c r="K277" s="132">
        <f t="shared" si="24"/>
        <v>0</v>
      </c>
      <c r="M277" s="132">
        <v>1</v>
      </c>
      <c r="N277" s="132">
        <f t="shared" si="25"/>
        <v>0</v>
      </c>
      <c r="P277" s="132">
        <v>1</v>
      </c>
      <c r="Q277" s="132">
        <f t="shared" si="29"/>
        <v>0</v>
      </c>
      <c r="S277" s="132">
        <v>1</v>
      </c>
      <c r="T277" s="132">
        <f t="shared" si="26"/>
        <v>0</v>
      </c>
      <c r="V277" s="126">
        <f t="shared" si="27"/>
        <v>0</v>
      </c>
      <c r="W277" s="92">
        <f t="shared" si="28"/>
        <v>0</v>
      </c>
      <c r="Y277" s="210"/>
    </row>
    <row r="278" spans="1:25" ht="14.4" customHeight="1" thickBot="1" x14ac:dyDescent="0.3">
      <c r="A278" s="149"/>
      <c r="J278" s="130">
        <v>1</v>
      </c>
      <c r="K278" s="132">
        <f t="shared" si="24"/>
        <v>0</v>
      </c>
      <c r="M278" s="132">
        <v>1</v>
      </c>
      <c r="N278" s="132">
        <f t="shared" si="25"/>
        <v>0</v>
      </c>
      <c r="P278" s="132">
        <v>1</v>
      </c>
      <c r="Q278" s="132">
        <f t="shared" si="29"/>
        <v>0</v>
      </c>
      <c r="S278" s="132">
        <v>1</v>
      </c>
      <c r="T278" s="132">
        <f t="shared" si="26"/>
        <v>0</v>
      </c>
      <c r="V278" s="126">
        <f t="shared" si="27"/>
        <v>0</v>
      </c>
      <c r="W278" s="92">
        <f t="shared" si="28"/>
        <v>0</v>
      </c>
      <c r="Y278" s="210"/>
    </row>
    <row r="279" spans="1:25" ht="14.4" customHeight="1" thickBot="1" x14ac:dyDescent="0.3">
      <c r="A279" s="149"/>
      <c r="J279" s="130">
        <v>1</v>
      </c>
      <c r="K279" s="132">
        <f t="shared" si="24"/>
        <v>0</v>
      </c>
      <c r="M279" s="132">
        <v>1</v>
      </c>
      <c r="N279" s="132">
        <f t="shared" si="25"/>
        <v>0</v>
      </c>
      <c r="P279" s="132">
        <v>1</v>
      </c>
      <c r="Q279" s="132">
        <f t="shared" si="29"/>
        <v>0</v>
      </c>
      <c r="S279" s="132">
        <v>1</v>
      </c>
      <c r="T279" s="132">
        <f t="shared" si="26"/>
        <v>0</v>
      </c>
      <c r="V279" s="126">
        <f t="shared" si="27"/>
        <v>0</v>
      </c>
      <c r="W279" s="92">
        <f t="shared" si="28"/>
        <v>0</v>
      </c>
      <c r="Y279" s="210"/>
    </row>
    <row r="280" spans="1:25" ht="14.4" customHeight="1" thickBot="1" x14ac:dyDescent="0.3">
      <c r="A280" s="149"/>
      <c r="J280" s="130">
        <v>1</v>
      </c>
      <c r="K280" s="132">
        <f t="shared" si="24"/>
        <v>0</v>
      </c>
      <c r="M280" s="132">
        <v>1</v>
      </c>
      <c r="N280" s="132">
        <f t="shared" si="25"/>
        <v>0</v>
      </c>
      <c r="P280" s="132">
        <v>1</v>
      </c>
      <c r="Q280" s="132">
        <f t="shared" si="29"/>
        <v>0</v>
      </c>
      <c r="S280" s="132">
        <v>1</v>
      </c>
      <c r="T280" s="132">
        <f t="shared" si="26"/>
        <v>0</v>
      </c>
      <c r="V280" s="126">
        <f t="shared" si="27"/>
        <v>0</v>
      </c>
      <c r="W280" s="92">
        <f t="shared" si="28"/>
        <v>0</v>
      </c>
      <c r="Y280" s="210"/>
    </row>
    <row r="281" spans="1:25" ht="14.4" customHeight="1" thickBot="1" x14ac:dyDescent="0.3">
      <c r="A281" s="149"/>
      <c r="J281" s="130">
        <v>1</v>
      </c>
      <c r="K281" s="132">
        <f t="shared" si="24"/>
        <v>0</v>
      </c>
      <c r="M281" s="132">
        <v>1</v>
      </c>
      <c r="N281" s="132">
        <f t="shared" si="25"/>
        <v>0</v>
      </c>
      <c r="P281" s="132">
        <v>1</v>
      </c>
      <c r="Q281" s="132">
        <f t="shared" si="29"/>
        <v>0</v>
      </c>
      <c r="S281" s="132">
        <v>1</v>
      </c>
      <c r="T281" s="132">
        <f t="shared" si="26"/>
        <v>0</v>
      </c>
      <c r="V281" s="126">
        <f t="shared" si="27"/>
        <v>0</v>
      </c>
      <c r="W281" s="92">
        <f t="shared" si="28"/>
        <v>0</v>
      </c>
      <c r="Y281" s="210"/>
    </row>
    <row r="282" spans="1:25" ht="14.4" customHeight="1" thickBot="1" x14ac:dyDescent="0.3">
      <c r="A282" s="149"/>
      <c r="J282" s="130">
        <v>1</v>
      </c>
      <c r="K282" s="132">
        <f t="shared" si="24"/>
        <v>0</v>
      </c>
      <c r="M282" s="132">
        <v>1</v>
      </c>
      <c r="N282" s="132">
        <f t="shared" si="25"/>
        <v>0</v>
      </c>
      <c r="P282" s="132">
        <v>1</v>
      </c>
      <c r="Q282" s="132">
        <f t="shared" si="29"/>
        <v>0</v>
      </c>
      <c r="S282" s="132">
        <v>1</v>
      </c>
      <c r="T282" s="132">
        <f t="shared" si="26"/>
        <v>0</v>
      </c>
      <c r="V282" s="126">
        <f t="shared" si="27"/>
        <v>0</v>
      </c>
      <c r="W282" s="92">
        <f t="shared" si="28"/>
        <v>0</v>
      </c>
      <c r="Y282" s="210"/>
    </row>
    <row r="283" spans="1:25" ht="14.4" customHeight="1" thickBot="1" x14ac:dyDescent="0.3">
      <c r="A283" s="149"/>
      <c r="J283" s="130">
        <v>1</v>
      </c>
      <c r="K283" s="132">
        <f t="shared" si="24"/>
        <v>0</v>
      </c>
      <c r="M283" s="132">
        <v>1</v>
      </c>
      <c r="N283" s="132">
        <f t="shared" si="25"/>
        <v>0</v>
      </c>
      <c r="P283" s="132">
        <v>1</v>
      </c>
      <c r="Q283" s="132">
        <f t="shared" si="29"/>
        <v>0</v>
      </c>
      <c r="S283" s="132">
        <v>1</v>
      </c>
      <c r="T283" s="132">
        <f t="shared" si="26"/>
        <v>0</v>
      </c>
      <c r="V283" s="126">
        <f t="shared" si="27"/>
        <v>0</v>
      </c>
      <c r="W283" s="92">
        <f t="shared" si="28"/>
        <v>0</v>
      </c>
      <c r="Y283" s="210"/>
    </row>
    <row r="284" spans="1:25" ht="14.4" customHeight="1" thickBot="1" x14ac:dyDescent="0.3">
      <c r="A284" s="149"/>
      <c r="J284" s="130">
        <v>1</v>
      </c>
      <c r="K284" s="132">
        <f t="shared" si="24"/>
        <v>0</v>
      </c>
      <c r="M284" s="132">
        <v>1</v>
      </c>
      <c r="N284" s="132">
        <f t="shared" si="25"/>
        <v>0</v>
      </c>
      <c r="P284" s="132">
        <v>1</v>
      </c>
      <c r="Q284" s="132">
        <f t="shared" si="29"/>
        <v>0</v>
      </c>
      <c r="S284" s="132">
        <v>1</v>
      </c>
      <c r="T284" s="132">
        <f t="shared" si="26"/>
        <v>0</v>
      </c>
      <c r="V284" s="126">
        <f t="shared" si="27"/>
        <v>0</v>
      </c>
      <c r="W284" s="92">
        <f t="shared" si="28"/>
        <v>0</v>
      </c>
      <c r="Y284" s="210"/>
    </row>
    <row r="285" spans="1:25" ht="14.4" customHeight="1" thickBot="1" x14ac:dyDescent="0.3">
      <c r="A285" s="149"/>
      <c r="J285" s="130">
        <v>1</v>
      </c>
      <c r="K285" s="132">
        <f t="shared" si="24"/>
        <v>0</v>
      </c>
      <c r="M285" s="132">
        <v>1</v>
      </c>
      <c r="N285" s="132">
        <f t="shared" si="25"/>
        <v>0</v>
      </c>
      <c r="P285" s="132">
        <v>1</v>
      </c>
      <c r="Q285" s="132">
        <f t="shared" si="29"/>
        <v>0</v>
      </c>
      <c r="S285" s="132">
        <v>1</v>
      </c>
      <c r="T285" s="132">
        <f t="shared" si="26"/>
        <v>0</v>
      </c>
      <c r="V285" s="126">
        <f t="shared" si="27"/>
        <v>0</v>
      </c>
      <c r="W285" s="92">
        <f t="shared" si="28"/>
        <v>0</v>
      </c>
      <c r="Y285" s="210"/>
    </row>
    <row r="286" spans="1:25" ht="14.4" customHeight="1" thickBot="1" x14ac:dyDescent="0.3">
      <c r="A286" s="149"/>
      <c r="J286" s="130">
        <v>1</v>
      </c>
      <c r="K286" s="132">
        <f t="shared" si="24"/>
        <v>0</v>
      </c>
      <c r="M286" s="132">
        <v>1</v>
      </c>
      <c r="N286" s="132">
        <f t="shared" si="25"/>
        <v>0</v>
      </c>
      <c r="P286" s="132">
        <v>1</v>
      </c>
      <c r="Q286" s="132">
        <f t="shared" si="29"/>
        <v>0</v>
      </c>
      <c r="S286" s="132">
        <v>1</v>
      </c>
      <c r="T286" s="132">
        <f t="shared" si="26"/>
        <v>0</v>
      </c>
      <c r="V286" s="126">
        <f t="shared" si="27"/>
        <v>0</v>
      </c>
      <c r="W286" s="92">
        <f t="shared" si="28"/>
        <v>0</v>
      </c>
      <c r="Y286" s="210"/>
    </row>
    <row r="287" spans="1:25" ht="14.4" customHeight="1" thickBot="1" x14ac:dyDescent="0.3">
      <c r="A287" s="149"/>
      <c r="J287" s="130">
        <v>1</v>
      </c>
      <c r="K287" s="132">
        <f t="shared" si="24"/>
        <v>0</v>
      </c>
      <c r="M287" s="132">
        <v>1</v>
      </c>
      <c r="N287" s="132">
        <f t="shared" si="25"/>
        <v>0</v>
      </c>
      <c r="P287" s="132">
        <v>1</v>
      </c>
      <c r="Q287" s="132">
        <f t="shared" si="29"/>
        <v>0</v>
      </c>
      <c r="S287" s="132">
        <v>1</v>
      </c>
      <c r="T287" s="132">
        <f t="shared" si="26"/>
        <v>0</v>
      </c>
      <c r="V287" s="126">
        <f t="shared" si="27"/>
        <v>0</v>
      </c>
      <c r="W287" s="92">
        <f t="shared" si="28"/>
        <v>0</v>
      </c>
      <c r="Y287" s="210"/>
    </row>
    <row r="288" spans="1:25" ht="14.4" customHeight="1" thickBot="1" x14ac:dyDescent="0.3">
      <c r="A288" s="149"/>
      <c r="J288" s="130">
        <v>1</v>
      </c>
      <c r="K288" s="132">
        <f t="shared" si="24"/>
        <v>0</v>
      </c>
      <c r="M288" s="132">
        <v>1</v>
      </c>
      <c r="N288" s="132">
        <f t="shared" si="25"/>
        <v>0</v>
      </c>
      <c r="P288" s="132">
        <v>1</v>
      </c>
      <c r="Q288" s="132">
        <f t="shared" si="29"/>
        <v>0</v>
      </c>
      <c r="S288" s="132">
        <v>1</v>
      </c>
      <c r="T288" s="132">
        <f t="shared" si="26"/>
        <v>0</v>
      </c>
      <c r="V288" s="126">
        <f t="shared" si="27"/>
        <v>0</v>
      </c>
      <c r="W288" s="92">
        <f t="shared" si="28"/>
        <v>0</v>
      </c>
      <c r="Y288" s="210"/>
    </row>
    <row r="289" spans="1:25" ht="14.4" customHeight="1" thickBot="1" x14ac:dyDescent="0.3">
      <c r="A289" s="149"/>
      <c r="J289" s="130">
        <v>1</v>
      </c>
      <c r="K289" s="132">
        <f t="shared" si="24"/>
        <v>0</v>
      </c>
      <c r="M289" s="132">
        <v>1</v>
      </c>
      <c r="N289" s="132">
        <f t="shared" si="25"/>
        <v>0</v>
      </c>
      <c r="P289" s="132">
        <v>1</v>
      </c>
      <c r="Q289" s="132">
        <f t="shared" si="29"/>
        <v>0</v>
      </c>
      <c r="S289" s="132">
        <v>1</v>
      </c>
      <c r="T289" s="132">
        <f t="shared" si="26"/>
        <v>0</v>
      </c>
      <c r="V289" s="126">
        <f t="shared" si="27"/>
        <v>0</v>
      </c>
      <c r="W289" s="92">
        <f t="shared" si="28"/>
        <v>0</v>
      </c>
      <c r="Y289" s="210"/>
    </row>
    <row r="290" spans="1:25" ht="14.4" customHeight="1" thickBot="1" x14ac:dyDescent="0.3">
      <c r="A290" s="149"/>
      <c r="J290" s="130">
        <v>1</v>
      </c>
      <c r="K290" s="132">
        <f t="shared" si="24"/>
        <v>0</v>
      </c>
      <c r="M290" s="132">
        <v>1</v>
      </c>
      <c r="N290" s="132">
        <f t="shared" si="25"/>
        <v>0</v>
      </c>
      <c r="P290" s="132">
        <v>1</v>
      </c>
      <c r="Q290" s="132">
        <f t="shared" si="29"/>
        <v>0</v>
      </c>
      <c r="S290" s="132">
        <v>1</v>
      </c>
      <c r="T290" s="132">
        <f t="shared" si="26"/>
        <v>0</v>
      </c>
      <c r="V290" s="126">
        <f t="shared" si="27"/>
        <v>0</v>
      </c>
      <c r="W290" s="92">
        <f t="shared" si="28"/>
        <v>0</v>
      </c>
      <c r="Y290" s="210"/>
    </row>
    <row r="291" spans="1:25" ht="14.4" customHeight="1" thickBot="1" x14ac:dyDescent="0.3">
      <c r="A291" s="149"/>
      <c r="J291" s="130">
        <v>1</v>
      </c>
      <c r="K291" s="132">
        <f t="shared" si="24"/>
        <v>0</v>
      </c>
      <c r="M291" s="132">
        <v>1</v>
      </c>
      <c r="N291" s="132">
        <f t="shared" si="25"/>
        <v>0</v>
      </c>
      <c r="P291" s="132">
        <v>1</v>
      </c>
      <c r="Q291" s="132">
        <f t="shared" si="29"/>
        <v>0</v>
      </c>
      <c r="S291" s="132">
        <v>1</v>
      </c>
      <c r="T291" s="132">
        <f t="shared" si="26"/>
        <v>0</v>
      </c>
      <c r="V291" s="126">
        <f t="shared" si="27"/>
        <v>0</v>
      </c>
      <c r="W291" s="92">
        <f t="shared" si="28"/>
        <v>0</v>
      </c>
      <c r="Y291" s="210"/>
    </row>
    <row r="292" spans="1:25" ht="14.4" customHeight="1" thickBot="1" x14ac:dyDescent="0.3">
      <c r="A292" s="149"/>
      <c r="J292" s="130">
        <v>1</v>
      </c>
      <c r="K292" s="132">
        <f t="shared" si="24"/>
        <v>0</v>
      </c>
      <c r="M292" s="132">
        <v>1</v>
      </c>
      <c r="N292" s="132">
        <f t="shared" si="25"/>
        <v>0</v>
      </c>
      <c r="P292" s="132">
        <v>1</v>
      </c>
      <c r="Q292" s="132">
        <f t="shared" si="29"/>
        <v>0</v>
      </c>
      <c r="S292" s="132">
        <v>1</v>
      </c>
      <c r="T292" s="132">
        <f t="shared" si="26"/>
        <v>0</v>
      </c>
      <c r="V292" s="126">
        <f t="shared" si="27"/>
        <v>0</v>
      </c>
      <c r="W292" s="92">
        <f t="shared" si="28"/>
        <v>0</v>
      </c>
      <c r="Y292" s="210"/>
    </row>
    <row r="293" spans="1:25" ht="14.4" customHeight="1" thickBot="1" x14ac:dyDescent="0.3">
      <c r="A293" s="149"/>
      <c r="J293" s="130">
        <v>1</v>
      </c>
      <c r="K293" s="132">
        <f t="shared" si="24"/>
        <v>0</v>
      </c>
      <c r="M293" s="132">
        <v>1</v>
      </c>
      <c r="N293" s="132">
        <f t="shared" si="25"/>
        <v>0</v>
      </c>
      <c r="P293" s="132">
        <v>1</v>
      </c>
      <c r="Q293" s="132">
        <f t="shared" si="29"/>
        <v>0</v>
      </c>
      <c r="S293" s="132">
        <v>1</v>
      </c>
      <c r="T293" s="132">
        <f t="shared" si="26"/>
        <v>0</v>
      </c>
      <c r="V293" s="126">
        <f t="shared" si="27"/>
        <v>0</v>
      </c>
      <c r="W293" s="92">
        <f t="shared" si="28"/>
        <v>0</v>
      </c>
      <c r="Y293" s="210"/>
    </row>
    <row r="294" spans="1:25" ht="14.4" customHeight="1" thickBot="1" x14ac:dyDescent="0.3">
      <c r="A294" s="149"/>
      <c r="J294" s="130">
        <v>1</v>
      </c>
      <c r="K294" s="132">
        <f t="shared" si="24"/>
        <v>0</v>
      </c>
      <c r="M294" s="132">
        <v>1</v>
      </c>
      <c r="N294" s="132">
        <f t="shared" si="25"/>
        <v>0</v>
      </c>
      <c r="P294" s="132">
        <v>1</v>
      </c>
      <c r="Q294" s="132">
        <f t="shared" si="29"/>
        <v>0</v>
      </c>
      <c r="S294" s="132">
        <v>1</v>
      </c>
      <c r="T294" s="132">
        <f t="shared" si="26"/>
        <v>0</v>
      </c>
      <c r="V294" s="126">
        <f t="shared" si="27"/>
        <v>0</v>
      </c>
      <c r="W294" s="92">
        <f t="shared" si="28"/>
        <v>0</v>
      </c>
      <c r="Y294" s="210"/>
    </row>
    <row r="295" spans="1:25" ht="14.4" customHeight="1" thickBot="1" x14ac:dyDescent="0.3">
      <c r="A295" s="149"/>
      <c r="J295" s="130">
        <v>1</v>
      </c>
      <c r="K295" s="132">
        <f t="shared" si="24"/>
        <v>0</v>
      </c>
      <c r="M295" s="132">
        <v>1</v>
      </c>
      <c r="N295" s="132">
        <f t="shared" si="25"/>
        <v>0</v>
      </c>
      <c r="P295" s="132">
        <v>1</v>
      </c>
      <c r="Q295" s="132">
        <f t="shared" si="29"/>
        <v>0</v>
      </c>
      <c r="S295" s="132">
        <v>1</v>
      </c>
      <c r="T295" s="132">
        <f t="shared" si="26"/>
        <v>0</v>
      </c>
      <c r="V295" s="126">
        <f t="shared" si="27"/>
        <v>0</v>
      </c>
      <c r="W295" s="92">
        <f t="shared" si="28"/>
        <v>0</v>
      </c>
      <c r="Y295" s="210"/>
    </row>
    <row r="296" spans="1:25" ht="14.4" customHeight="1" thickBot="1" x14ac:dyDescent="0.3">
      <c r="A296" s="149"/>
      <c r="J296" s="130">
        <v>1</v>
      </c>
      <c r="K296" s="132">
        <f t="shared" si="24"/>
        <v>0</v>
      </c>
      <c r="M296" s="132">
        <v>1</v>
      </c>
      <c r="N296" s="132">
        <f t="shared" si="25"/>
        <v>0</v>
      </c>
      <c r="P296" s="132">
        <v>1</v>
      </c>
      <c r="Q296" s="132">
        <f t="shared" si="29"/>
        <v>0</v>
      </c>
      <c r="S296" s="132">
        <v>1</v>
      </c>
      <c r="T296" s="132">
        <f t="shared" si="26"/>
        <v>0</v>
      </c>
      <c r="V296" s="126">
        <f t="shared" si="27"/>
        <v>0</v>
      </c>
      <c r="W296" s="92">
        <f t="shared" si="28"/>
        <v>0</v>
      </c>
      <c r="Y296" s="210"/>
    </row>
    <row r="297" spans="1:25" ht="14.4" customHeight="1" thickBot="1" x14ac:dyDescent="0.3">
      <c r="A297" s="149"/>
      <c r="J297" s="130">
        <v>1</v>
      </c>
      <c r="K297" s="132">
        <f t="shared" si="24"/>
        <v>0</v>
      </c>
      <c r="M297" s="132">
        <v>1</v>
      </c>
      <c r="N297" s="132">
        <f t="shared" si="25"/>
        <v>0</v>
      </c>
      <c r="P297" s="132">
        <v>1</v>
      </c>
      <c r="Q297" s="132">
        <f t="shared" si="29"/>
        <v>0</v>
      </c>
      <c r="S297" s="132">
        <v>1</v>
      </c>
      <c r="T297" s="132">
        <f t="shared" si="26"/>
        <v>0</v>
      </c>
      <c r="V297" s="126">
        <f t="shared" si="27"/>
        <v>0</v>
      </c>
      <c r="W297" s="92">
        <f t="shared" si="28"/>
        <v>0</v>
      </c>
      <c r="Y297" s="210"/>
    </row>
    <row r="298" spans="1:25" ht="14.4" customHeight="1" thickBot="1" x14ac:dyDescent="0.3">
      <c r="A298" s="149"/>
      <c r="J298" s="130">
        <v>1</v>
      </c>
      <c r="K298" s="132">
        <f t="shared" si="24"/>
        <v>0</v>
      </c>
      <c r="M298" s="132">
        <v>1</v>
      </c>
      <c r="N298" s="132">
        <f t="shared" si="25"/>
        <v>0</v>
      </c>
      <c r="P298" s="132">
        <v>1</v>
      </c>
      <c r="Q298" s="132">
        <f t="shared" si="29"/>
        <v>0</v>
      </c>
      <c r="S298" s="132">
        <v>1</v>
      </c>
      <c r="T298" s="132">
        <f t="shared" si="26"/>
        <v>0</v>
      </c>
      <c r="V298" s="126">
        <f t="shared" si="27"/>
        <v>0</v>
      </c>
      <c r="W298" s="92">
        <f t="shared" si="28"/>
        <v>0</v>
      </c>
      <c r="Y298" s="210"/>
    </row>
    <row r="299" spans="1:25" ht="14.4" customHeight="1" thickBot="1" x14ac:dyDescent="0.3">
      <c r="A299" s="149"/>
      <c r="J299" s="130">
        <v>1</v>
      </c>
      <c r="K299" s="132">
        <f t="shared" si="24"/>
        <v>0</v>
      </c>
      <c r="M299" s="132">
        <v>1</v>
      </c>
      <c r="N299" s="132">
        <f t="shared" si="25"/>
        <v>0</v>
      </c>
      <c r="P299" s="132">
        <v>1</v>
      </c>
      <c r="Q299" s="132">
        <f t="shared" si="29"/>
        <v>0</v>
      </c>
      <c r="S299" s="132">
        <v>1</v>
      </c>
      <c r="T299" s="132">
        <f t="shared" si="26"/>
        <v>0</v>
      </c>
      <c r="V299" s="126">
        <f t="shared" si="27"/>
        <v>0</v>
      </c>
      <c r="W299" s="92">
        <f t="shared" si="28"/>
        <v>0</v>
      </c>
      <c r="Y299" s="210"/>
    </row>
    <row r="300" spans="1:25" ht="14.4" customHeight="1" thickBot="1" x14ac:dyDescent="0.3">
      <c r="A300" s="149"/>
      <c r="J300" s="130">
        <v>1</v>
      </c>
      <c r="K300" s="132">
        <f t="shared" si="24"/>
        <v>0</v>
      </c>
      <c r="M300" s="132">
        <v>1</v>
      </c>
      <c r="N300" s="132">
        <f t="shared" si="25"/>
        <v>0</v>
      </c>
      <c r="P300" s="132">
        <v>1</v>
      </c>
      <c r="Q300" s="132">
        <f t="shared" si="29"/>
        <v>0</v>
      </c>
      <c r="S300" s="132">
        <v>1</v>
      </c>
      <c r="T300" s="132">
        <f t="shared" si="26"/>
        <v>0</v>
      </c>
      <c r="V300" s="126">
        <f t="shared" si="27"/>
        <v>0</v>
      </c>
      <c r="W300" s="92">
        <f t="shared" si="28"/>
        <v>0</v>
      </c>
      <c r="Y300" s="210"/>
    </row>
    <row r="301" spans="1:25" ht="14.4" customHeight="1" thickBot="1" x14ac:dyDescent="0.3">
      <c r="A301" s="149"/>
      <c r="J301" s="130">
        <v>1</v>
      </c>
      <c r="K301" s="132">
        <f t="shared" si="24"/>
        <v>0</v>
      </c>
      <c r="M301" s="132">
        <v>1</v>
      </c>
      <c r="N301" s="132">
        <f t="shared" si="25"/>
        <v>0</v>
      </c>
      <c r="P301" s="132">
        <v>1</v>
      </c>
      <c r="Q301" s="132">
        <f t="shared" si="29"/>
        <v>0</v>
      </c>
      <c r="S301" s="132">
        <v>1</v>
      </c>
      <c r="T301" s="132">
        <f t="shared" si="26"/>
        <v>0</v>
      </c>
      <c r="V301" s="126">
        <f t="shared" si="27"/>
        <v>0</v>
      </c>
      <c r="W301" s="92">
        <f t="shared" si="28"/>
        <v>0</v>
      </c>
      <c r="Y301" s="210"/>
    </row>
    <row r="302" spans="1:25" ht="14.4" customHeight="1" thickBot="1" x14ac:dyDescent="0.3">
      <c r="A302" s="149"/>
      <c r="J302" s="130">
        <v>1</v>
      </c>
      <c r="K302" s="132">
        <f t="shared" si="24"/>
        <v>0</v>
      </c>
      <c r="M302" s="132">
        <v>1</v>
      </c>
      <c r="N302" s="132">
        <f t="shared" si="25"/>
        <v>0</v>
      </c>
      <c r="P302" s="132">
        <v>1</v>
      </c>
      <c r="Q302" s="132">
        <f t="shared" si="29"/>
        <v>0</v>
      </c>
      <c r="S302" s="132">
        <v>1</v>
      </c>
      <c r="T302" s="132">
        <f t="shared" si="26"/>
        <v>0</v>
      </c>
      <c r="V302" s="126">
        <f t="shared" si="27"/>
        <v>0</v>
      </c>
      <c r="W302" s="92">
        <f t="shared" si="28"/>
        <v>0</v>
      </c>
      <c r="Y302" s="210"/>
    </row>
    <row r="303" spans="1:25" ht="14.4" customHeight="1" thickBot="1" x14ac:dyDescent="0.3">
      <c r="A303" s="149"/>
      <c r="J303" s="130">
        <v>1</v>
      </c>
      <c r="K303" s="132">
        <f t="shared" si="24"/>
        <v>0</v>
      </c>
      <c r="M303" s="132">
        <v>1</v>
      </c>
      <c r="N303" s="132">
        <f t="shared" si="25"/>
        <v>0</v>
      </c>
      <c r="P303" s="132">
        <v>1</v>
      </c>
      <c r="Q303" s="132">
        <f t="shared" si="29"/>
        <v>0</v>
      </c>
      <c r="S303" s="132">
        <v>1</v>
      </c>
      <c r="T303" s="132">
        <f t="shared" si="26"/>
        <v>0</v>
      </c>
      <c r="V303" s="126">
        <f t="shared" si="27"/>
        <v>0</v>
      </c>
      <c r="W303" s="92">
        <f t="shared" si="28"/>
        <v>0</v>
      </c>
      <c r="Y303" s="210"/>
    </row>
    <row r="304" spans="1:25" ht="14.4" customHeight="1" thickBot="1" x14ac:dyDescent="0.3">
      <c r="A304" s="149"/>
      <c r="J304" s="130">
        <v>1</v>
      </c>
      <c r="K304" s="132">
        <f t="shared" si="24"/>
        <v>0</v>
      </c>
      <c r="M304" s="132">
        <v>1</v>
      </c>
      <c r="N304" s="132">
        <f t="shared" si="25"/>
        <v>0</v>
      </c>
      <c r="P304" s="132">
        <v>1</v>
      </c>
      <c r="Q304" s="132">
        <f t="shared" si="29"/>
        <v>0</v>
      </c>
      <c r="S304" s="132">
        <v>1</v>
      </c>
      <c r="T304" s="132">
        <f t="shared" si="26"/>
        <v>0</v>
      </c>
      <c r="V304" s="126">
        <f t="shared" si="27"/>
        <v>0</v>
      </c>
      <c r="W304" s="92">
        <f t="shared" si="28"/>
        <v>0</v>
      </c>
      <c r="Y304" s="210"/>
    </row>
    <row r="305" spans="1:25" ht="14.4" customHeight="1" thickBot="1" x14ac:dyDescent="0.3">
      <c r="A305" s="149"/>
      <c r="J305" s="130">
        <v>1</v>
      </c>
      <c r="K305" s="132">
        <f t="shared" si="24"/>
        <v>0</v>
      </c>
      <c r="M305" s="132">
        <v>1</v>
      </c>
      <c r="N305" s="132">
        <f t="shared" si="25"/>
        <v>0</v>
      </c>
      <c r="P305" s="132">
        <v>1</v>
      </c>
      <c r="Q305" s="132">
        <f t="shared" si="29"/>
        <v>0</v>
      </c>
      <c r="S305" s="132">
        <v>1</v>
      </c>
      <c r="T305" s="132">
        <f t="shared" si="26"/>
        <v>0</v>
      </c>
      <c r="V305" s="126">
        <f t="shared" si="27"/>
        <v>0</v>
      </c>
      <c r="W305" s="92">
        <f t="shared" si="28"/>
        <v>0</v>
      </c>
      <c r="Y305" s="210"/>
    </row>
    <row r="306" spans="1:25" ht="14.4" customHeight="1" thickBot="1" x14ac:dyDescent="0.3">
      <c r="A306" s="149"/>
      <c r="J306" s="130">
        <v>1</v>
      </c>
      <c r="K306" s="132">
        <f t="shared" si="24"/>
        <v>0</v>
      </c>
      <c r="M306" s="132">
        <v>1</v>
      </c>
      <c r="N306" s="132">
        <f t="shared" si="25"/>
        <v>0</v>
      </c>
      <c r="P306" s="132">
        <v>1</v>
      </c>
      <c r="Q306" s="132">
        <f t="shared" si="29"/>
        <v>0</v>
      </c>
      <c r="S306" s="132">
        <v>1</v>
      </c>
      <c r="T306" s="132">
        <f t="shared" si="26"/>
        <v>0</v>
      </c>
      <c r="V306" s="126">
        <f t="shared" si="27"/>
        <v>0</v>
      </c>
      <c r="W306" s="92">
        <f t="shared" si="28"/>
        <v>0</v>
      </c>
      <c r="Y306" s="210"/>
    </row>
    <row r="307" spans="1:25" ht="14.4" customHeight="1" thickBot="1" x14ac:dyDescent="0.3">
      <c r="A307" s="149"/>
      <c r="J307" s="130">
        <v>1</v>
      </c>
      <c r="K307" s="132">
        <f t="shared" si="24"/>
        <v>0</v>
      </c>
      <c r="M307" s="132">
        <v>1</v>
      </c>
      <c r="N307" s="132">
        <f t="shared" si="25"/>
        <v>0</v>
      </c>
      <c r="P307" s="132">
        <v>1</v>
      </c>
      <c r="Q307" s="132">
        <f t="shared" si="29"/>
        <v>0</v>
      </c>
      <c r="S307" s="132">
        <v>1</v>
      </c>
      <c r="T307" s="132">
        <f t="shared" si="26"/>
        <v>0</v>
      </c>
      <c r="V307" s="126">
        <f t="shared" si="27"/>
        <v>0</v>
      </c>
      <c r="W307" s="92">
        <f t="shared" si="28"/>
        <v>0</v>
      </c>
      <c r="Y307" s="210"/>
    </row>
    <row r="308" spans="1:25" ht="14.4" customHeight="1" thickBot="1" x14ac:dyDescent="0.3">
      <c r="A308" s="149"/>
      <c r="J308" s="130">
        <v>1</v>
      </c>
      <c r="K308" s="132">
        <f t="shared" si="24"/>
        <v>0</v>
      </c>
      <c r="M308" s="132">
        <v>1</v>
      </c>
      <c r="N308" s="132">
        <f t="shared" si="25"/>
        <v>0</v>
      </c>
      <c r="P308" s="132">
        <v>1</v>
      </c>
      <c r="Q308" s="132">
        <f t="shared" si="29"/>
        <v>0</v>
      </c>
      <c r="S308" s="132">
        <v>1</v>
      </c>
      <c r="T308" s="132">
        <f t="shared" si="26"/>
        <v>0</v>
      </c>
      <c r="V308" s="126">
        <f t="shared" si="27"/>
        <v>0</v>
      </c>
      <c r="W308" s="92">
        <f t="shared" si="28"/>
        <v>0</v>
      </c>
      <c r="Y308" s="210"/>
    </row>
    <row r="309" spans="1:25" ht="14.4" customHeight="1" thickBot="1" x14ac:dyDescent="0.3">
      <c r="A309" s="149"/>
      <c r="J309" s="130">
        <v>1</v>
      </c>
      <c r="K309" s="132">
        <f t="shared" si="24"/>
        <v>0</v>
      </c>
      <c r="M309" s="132">
        <v>1</v>
      </c>
      <c r="N309" s="132">
        <f t="shared" si="25"/>
        <v>0</v>
      </c>
      <c r="P309" s="132">
        <v>1</v>
      </c>
      <c r="Q309" s="132">
        <f t="shared" si="29"/>
        <v>0</v>
      </c>
      <c r="S309" s="132">
        <v>1</v>
      </c>
      <c r="T309" s="132">
        <f t="shared" si="26"/>
        <v>0</v>
      </c>
      <c r="V309" s="126">
        <f t="shared" si="27"/>
        <v>0</v>
      </c>
      <c r="W309" s="92">
        <f t="shared" si="28"/>
        <v>0</v>
      </c>
      <c r="Y309" s="210"/>
    </row>
    <row r="310" spans="1:25" ht="14.4" customHeight="1" thickBot="1" x14ac:dyDescent="0.3">
      <c r="A310" s="149"/>
      <c r="J310" s="130">
        <v>1</v>
      </c>
      <c r="K310" s="132">
        <f t="shared" si="24"/>
        <v>0</v>
      </c>
      <c r="M310" s="132">
        <v>1</v>
      </c>
      <c r="N310" s="132">
        <f t="shared" si="25"/>
        <v>0</v>
      </c>
      <c r="P310" s="132">
        <v>1</v>
      </c>
      <c r="Q310" s="132">
        <f t="shared" si="29"/>
        <v>0</v>
      </c>
      <c r="S310" s="132">
        <v>1</v>
      </c>
      <c r="T310" s="132">
        <f t="shared" si="26"/>
        <v>0</v>
      </c>
      <c r="V310" s="126">
        <f t="shared" si="27"/>
        <v>0</v>
      </c>
      <c r="W310" s="92">
        <f t="shared" si="28"/>
        <v>0</v>
      </c>
      <c r="Y310" s="210"/>
    </row>
    <row r="311" spans="1:25" ht="14.4" customHeight="1" thickBot="1" x14ac:dyDescent="0.3">
      <c r="A311" s="149"/>
      <c r="J311" s="130">
        <v>1</v>
      </c>
      <c r="K311" s="132">
        <f t="shared" si="24"/>
        <v>0</v>
      </c>
      <c r="M311" s="132">
        <v>1</v>
      </c>
      <c r="N311" s="132">
        <f t="shared" si="25"/>
        <v>0</v>
      </c>
      <c r="P311" s="132">
        <v>1</v>
      </c>
      <c r="Q311" s="132">
        <f t="shared" si="29"/>
        <v>0</v>
      </c>
      <c r="S311" s="132">
        <v>1</v>
      </c>
      <c r="T311" s="132">
        <f t="shared" si="26"/>
        <v>0</v>
      </c>
      <c r="V311" s="126">
        <f t="shared" si="27"/>
        <v>0</v>
      </c>
      <c r="W311" s="92">
        <f t="shared" si="28"/>
        <v>0</v>
      </c>
      <c r="Y311" s="210"/>
    </row>
    <row r="312" spans="1:25" ht="14.4" customHeight="1" thickBot="1" x14ac:dyDescent="0.3">
      <c r="A312" s="149"/>
      <c r="J312" s="130">
        <v>1</v>
      </c>
      <c r="K312" s="132">
        <f t="shared" si="24"/>
        <v>0</v>
      </c>
      <c r="M312" s="132">
        <v>1</v>
      </c>
      <c r="N312" s="132">
        <f t="shared" si="25"/>
        <v>0</v>
      </c>
      <c r="P312" s="132">
        <v>1</v>
      </c>
      <c r="Q312" s="132">
        <f t="shared" si="29"/>
        <v>0</v>
      </c>
      <c r="S312" s="132">
        <v>1</v>
      </c>
      <c r="T312" s="132">
        <f t="shared" si="26"/>
        <v>0</v>
      </c>
      <c r="V312" s="126">
        <f t="shared" si="27"/>
        <v>0</v>
      </c>
      <c r="W312" s="92">
        <f t="shared" si="28"/>
        <v>0</v>
      </c>
      <c r="Y312" s="210"/>
    </row>
    <row r="313" spans="1:25" ht="14.4" customHeight="1" thickBot="1" x14ac:dyDescent="0.3">
      <c r="A313" s="149"/>
      <c r="J313" s="130">
        <v>1</v>
      </c>
      <c r="K313" s="132">
        <f t="shared" si="24"/>
        <v>0</v>
      </c>
      <c r="M313" s="132">
        <v>1</v>
      </c>
      <c r="N313" s="132">
        <f t="shared" si="25"/>
        <v>0</v>
      </c>
      <c r="P313" s="132">
        <v>1</v>
      </c>
      <c r="Q313" s="132">
        <f t="shared" si="29"/>
        <v>0</v>
      </c>
      <c r="S313" s="132">
        <v>1</v>
      </c>
      <c r="T313" s="132">
        <f t="shared" si="26"/>
        <v>0</v>
      </c>
      <c r="V313" s="126">
        <f t="shared" si="27"/>
        <v>0</v>
      </c>
      <c r="W313" s="92">
        <f t="shared" si="28"/>
        <v>0</v>
      </c>
      <c r="Y313" s="210"/>
    </row>
    <row r="314" spans="1:25" ht="14.4" customHeight="1" thickBot="1" x14ac:dyDescent="0.3">
      <c r="A314" s="149"/>
      <c r="J314" s="130">
        <v>1</v>
      </c>
      <c r="K314" s="132">
        <f t="shared" si="24"/>
        <v>0</v>
      </c>
      <c r="M314" s="132">
        <v>1</v>
      </c>
      <c r="N314" s="132">
        <f t="shared" si="25"/>
        <v>0</v>
      </c>
      <c r="P314" s="132">
        <v>1</v>
      </c>
      <c r="Q314" s="132">
        <f t="shared" si="29"/>
        <v>0</v>
      </c>
      <c r="S314" s="132">
        <v>1</v>
      </c>
      <c r="T314" s="132">
        <f t="shared" si="26"/>
        <v>0</v>
      </c>
      <c r="V314" s="126">
        <f t="shared" si="27"/>
        <v>0</v>
      </c>
      <c r="W314" s="92">
        <f t="shared" si="28"/>
        <v>0</v>
      </c>
      <c r="Y314" s="210"/>
    </row>
    <row r="315" spans="1:25" ht="14.4" customHeight="1" thickBot="1" x14ac:dyDescent="0.3">
      <c r="A315" s="149"/>
      <c r="J315" s="130">
        <v>1</v>
      </c>
      <c r="K315" s="132">
        <f t="shared" si="24"/>
        <v>0</v>
      </c>
      <c r="M315" s="132">
        <v>1</v>
      </c>
      <c r="N315" s="132">
        <f t="shared" si="25"/>
        <v>0</v>
      </c>
      <c r="P315" s="132">
        <v>1</v>
      </c>
      <c r="Q315" s="132">
        <f t="shared" si="29"/>
        <v>0</v>
      </c>
      <c r="S315" s="132">
        <v>1</v>
      </c>
      <c r="T315" s="132">
        <f t="shared" si="26"/>
        <v>0</v>
      </c>
      <c r="V315" s="126">
        <f t="shared" si="27"/>
        <v>0</v>
      </c>
      <c r="W315" s="92">
        <f t="shared" si="28"/>
        <v>0</v>
      </c>
      <c r="Y315" s="210"/>
    </row>
    <row r="316" spans="1:25" ht="14.4" customHeight="1" thickBot="1" x14ac:dyDescent="0.3">
      <c r="A316" s="149"/>
      <c r="J316" s="130">
        <v>1</v>
      </c>
      <c r="K316" s="132">
        <f t="shared" si="24"/>
        <v>0</v>
      </c>
      <c r="M316" s="132">
        <v>1</v>
      </c>
      <c r="N316" s="132">
        <f t="shared" si="25"/>
        <v>0</v>
      </c>
      <c r="P316" s="132">
        <v>1</v>
      </c>
      <c r="Q316" s="132">
        <f t="shared" si="29"/>
        <v>0</v>
      </c>
      <c r="S316" s="132">
        <v>1</v>
      </c>
      <c r="T316" s="132">
        <f t="shared" si="26"/>
        <v>0</v>
      </c>
      <c r="V316" s="126">
        <f t="shared" si="27"/>
        <v>0</v>
      </c>
      <c r="W316" s="92">
        <f t="shared" si="28"/>
        <v>0</v>
      </c>
      <c r="Y316" s="210"/>
    </row>
    <row r="317" spans="1:25" ht="14.4" customHeight="1" thickBot="1" x14ac:dyDescent="0.3">
      <c r="A317" s="149"/>
      <c r="J317" s="130">
        <v>1</v>
      </c>
      <c r="K317" s="132">
        <f t="shared" si="24"/>
        <v>0</v>
      </c>
      <c r="M317" s="132">
        <v>1</v>
      </c>
      <c r="N317" s="132">
        <f t="shared" si="25"/>
        <v>0</v>
      </c>
      <c r="P317" s="132">
        <v>1</v>
      </c>
      <c r="Q317" s="132">
        <f t="shared" si="29"/>
        <v>0</v>
      </c>
      <c r="S317" s="132">
        <v>1</v>
      </c>
      <c r="T317" s="132">
        <f t="shared" si="26"/>
        <v>0</v>
      </c>
      <c r="V317" s="126">
        <f t="shared" si="27"/>
        <v>0</v>
      </c>
      <c r="W317" s="92">
        <f t="shared" si="28"/>
        <v>0</v>
      </c>
      <c r="Y317" s="210"/>
    </row>
    <row r="318" spans="1:25" ht="14.4" customHeight="1" thickBot="1" x14ac:dyDescent="0.3">
      <c r="A318" s="149"/>
      <c r="J318" s="130">
        <v>1</v>
      </c>
      <c r="K318" s="132">
        <f t="shared" si="24"/>
        <v>0</v>
      </c>
      <c r="M318" s="132">
        <v>1</v>
      </c>
      <c r="N318" s="132">
        <f t="shared" si="25"/>
        <v>0</v>
      </c>
      <c r="P318" s="132">
        <v>1</v>
      </c>
      <c r="Q318" s="132">
        <f t="shared" si="29"/>
        <v>0</v>
      </c>
      <c r="S318" s="132">
        <v>1</v>
      </c>
      <c r="T318" s="132">
        <f t="shared" si="26"/>
        <v>0</v>
      </c>
      <c r="V318" s="126">
        <f t="shared" si="27"/>
        <v>0</v>
      </c>
      <c r="W318" s="92">
        <f t="shared" si="28"/>
        <v>0</v>
      </c>
      <c r="Y318" s="210"/>
    </row>
    <row r="319" spans="1:25" ht="14.4" customHeight="1" thickBot="1" x14ac:dyDescent="0.3">
      <c r="A319" s="149"/>
      <c r="J319" s="130">
        <v>1</v>
      </c>
      <c r="K319" s="132">
        <f t="shared" si="24"/>
        <v>0</v>
      </c>
      <c r="M319" s="132">
        <v>1</v>
      </c>
      <c r="N319" s="132">
        <f t="shared" si="25"/>
        <v>0</v>
      </c>
      <c r="P319" s="132">
        <v>1</v>
      </c>
      <c r="Q319" s="132">
        <f t="shared" si="29"/>
        <v>0</v>
      </c>
      <c r="S319" s="132">
        <v>1</v>
      </c>
      <c r="T319" s="132">
        <f t="shared" si="26"/>
        <v>0</v>
      </c>
      <c r="V319" s="126">
        <f t="shared" si="27"/>
        <v>0</v>
      </c>
      <c r="W319" s="92">
        <f t="shared" si="28"/>
        <v>0</v>
      </c>
      <c r="Y319" s="210"/>
    </row>
    <row r="320" spans="1:25" ht="14.4" customHeight="1" thickBot="1" x14ac:dyDescent="0.3">
      <c r="A320" s="149"/>
      <c r="J320" s="130">
        <v>1</v>
      </c>
      <c r="K320" s="132">
        <f t="shared" si="24"/>
        <v>0</v>
      </c>
      <c r="M320" s="132">
        <v>1</v>
      </c>
      <c r="N320" s="132">
        <f t="shared" si="25"/>
        <v>0</v>
      </c>
      <c r="P320" s="132">
        <v>1</v>
      </c>
      <c r="Q320" s="132">
        <f t="shared" si="29"/>
        <v>0</v>
      </c>
      <c r="S320" s="132">
        <v>1</v>
      </c>
      <c r="T320" s="132">
        <f t="shared" si="26"/>
        <v>0</v>
      </c>
      <c r="V320" s="126">
        <f t="shared" si="27"/>
        <v>0</v>
      </c>
      <c r="W320" s="92">
        <f t="shared" si="28"/>
        <v>0</v>
      </c>
      <c r="Y320" s="210"/>
    </row>
    <row r="321" spans="1:25" ht="14.4" customHeight="1" thickBot="1" x14ac:dyDescent="0.3">
      <c r="A321" s="149"/>
      <c r="J321" s="130">
        <v>1</v>
      </c>
      <c r="K321" s="132">
        <f t="shared" si="24"/>
        <v>0</v>
      </c>
      <c r="M321" s="132">
        <v>1</v>
      </c>
      <c r="N321" s="132">
        <f t="shared" si="25"/>
        <v>0</v>
      </c>
      <c r="P321" s="132">
        <v>1</v>
      </c>
      <c r="Q321" s="132">
        <f t="shared" si="29"/>
        <v>0</v>
      </c>
      <c r="S321" s="132">
        <v>1</v>
      </c>
      <c r="T321" s="132">
        <f t="shared" si="26"/>
        <v>0</v>
      </c>
      <c r="V321" s="126">
        <f t="shared" si="27"/>
        <v>0</v>
      </c>
      <c r="W321" s="92">
        <f t="shared" si="28"/>
        <v>0</v>
      </c>
      <c r="Y321" s="210"/>
    </row>
    <row r="322" spans="1:25" ht="14.4" customHeight="1" thickBot="1" x14ac:dyDescent="0.3">
      <c r="A322" s="149"/>
      <c r="J322" s="130">
        <v>1</v>
      </c>
      <c r="K322" s="132">
        <f t="shared" ref="K322:K385" si="30">I322/J322</f>
        <v>0</v>
      </c>
      <c r="M322" s="132">
        <v>1</v>
      </c>
      <c r="N322" s="132">
        <f t="shared" ref="N322:N385" si="31">L322/M322</f>
        <v>0</v>
      </c>
      <c r="P322" s="132">
        <v>1</v>
      </c>
      <c r="Q322" s="132">
        <f t="shared" si="29"/>
        <v>0</v>
      </c>
      <c r="S322" s="132">
        <v>1</v>
      </c>
      <c r="T322" s="132">
        <f t="shared" ref="T322:T385" si="32">R322/S322</f>
        <v>0</v>
      </c>
      <c r="V322" s="126">
        <f t="shared" ref="V322:V385" si="33">D322+E322-G322-I322/J322-L322/M322-O322/P322-R322/S322</f>
        <v>0</v>
      </c>
      <c r="W322" s="92">
        <f t="shared" ref="W322:W385" si="34">G322+I322/J322+L322/M322+O322/P322+R322/S322</f>
        <v>0</v>
      </c>
      <c r="Y322" s="210"/>
    </row>
    <row r="323" spans="1:25" ht="14.4" customHeight="1" thickBot="1" x14ac:dyDescent="0.3">
      <c r="A323" s="149"/>
      <c r="J323" s="130">
        <v>1</v>
      </c>
      <c r="K323" s="132">
        <f t="shared" si="30"/>
        <v>0</v>
      </c>
      <c r="M323" s="132">
        <v>1</v>
      </c>
      <c r="N323" s="132">
        <f t="shared" si="31"/>
        <v>0</v>
      </c>
      <c r="P323" s="132">
        <v>1</v>
      </c>
      <c r="Q323" s="132">
        <f t="shared" ref="Q323:Q386" si="35">O323/P323</f>
        <v>0</v>
      </c>
      <c r="S323" s="132">
        <v>1</v>
      </c>
      <c r="T323" s="132">
        <f t="shared" si="32"/>
        <v>0</v>
      </c>
      <c r="V323" s="126">
        <f t="shared" si="33"/>
        <v>0</v>
      </c>
      <c r="W323" s="92">
        <f t="shared" si="34"/>
        <v>0</v>
      </c>
      <c r="Y323" s="210"/>
    </row>
    <row r="324" spans="1:25" ht="14.4" customHeight="1" thickBot="1" x14ac:dyDescent="0.3">
      <c r="A324" s="149"/>
      <c r="J324" s="130">
        <v>1</v>
      </c>
      <c r="K324" s="132">
        <f t="shared" si="30"/>
        <v>0</v>
      </c>
      <c r="M324" s="132">
        <v>1</v>
      </c>
      <c r="N324" s="132">
        <f t="shared" si="31"/>
        <v>0</v>
      </c>
      <c r="P324" s="132">
        <v>1</v>
      </c>
      <c r="Q324" s="132">
        <f t="shared" si="35"/>
        <v>0</v>
      </c>
      <c r="S324" s="132">
        <v>1</v>
      </c>
      <c r="T324" s="132">
        <f t="shared" si="32"/>
        <v>0</v>
      </c>
      <c r="V324" s="126">
        <f t="shared" si="33"/>
        <v>0</v>
      </c>
      <c r="W324" s="92">
        <f t="shared" si="34"/>
        <v>0</v>
      </c>
      <c r="Y324" s="210"/>
    </row>
    <row r="325" spans="1:25" ht="14.4" customHeight="1" thickBot="1" x14ac:dyDescent="0.3">
      <c r="A325" s="149"/>
      <c r="J325" s="130">
        <v>1</v>
      </c>
      <c r="K325" s="132">
        <f t="shared" si="30"/>
        <v>0</v>
      </c>
      <c r="M325" s="132">
        <v>1</v>
      </c>
      <c r="N325" s="132">
        <f t="shared" si="31"/>
        <v>0</v>
      </c>
      <c r="P325" s="132">
        <v>1</v>
      </c>
      <c r="Q325" s="132">
        <f t="shared" si="35"/>
        <v>0</v>
      </c>
      <c r="S325" s="132">
        <v>1</v>
      </c>
      <c r="T325" s="132">
        <f t="shared" si="32"/>
        <v>0</v>
      </c>
      <c r="V325" s="126">
        <f t="shared" si="33"/>
        <v>0</v>
      </c>
      <c r="W325" s="92">
        <f t="shared" si="34"/>
        <v>0</v>
      </c>
      <c r="Y325" s="210"/>
    </row>
    <row r="326" spans="1:25" ht="14.4" customHeight="1" thickBot="1" x14ac:dyDescent="0.3">
      <c r="A326" s="149"/>
      <c r="J326" s="130">
        <v>1</v>
      </c>
      <c r="K326" s="132">
        <f t="shared" si="30"/>
        <v>0</v>
      </c>
      <c r="M326" s="132">
        <v>1</v>
      </c>
      <c r="N326" s="132">
        <f t="shared" si="31"/>
        <v>0</v>
      </c>
      <c r="P326" s="132">
        <v>1</v>
      </c>
      <c r="Q326" s="132">
        <f t="shared" si="35"/>
        <v>0</v>
      </c>
      <c r="S326" s="132">
        <v>1</v>
      </c>
      <c r="T326" s="132">
        <f t="shared" si="32"/>
        <v>0</v>
      </c>
      <c r="V326" s="126">
        <f t="shared" si="33"/>
        <v>0</v>
      </c>
      <c r="W326" s="92">
        <f t="shared" si="34"/>
        <v>0</v>
      </c>
      <c r="Y326" s="210"/>
    </row>
    <row r="327" spans="1:25" ht="14.4" customHeight="1" thickBot="1" x14ac:dyDescent="0.3">
      <c r="A327" s="149"/>
      <c r="J327" s="130">
        <v>1</v>
      </c>
      <c r="K327" s="132">
        <f t="shared" si="30"/>
        <v>0</v>
      </c>
      <c r="M327" s="132">
        <v>1</v>
      </c>
      <c r="N327" s="132">
        <f t="shared" si="31"/>
        <v>0</v>
      </c>
      <c r="P327" s="132">
        <v>1</v>
      </c>
      <c r="Q327" s="132">
        <f t="shared" si="35"/>
        <v>0</v>
      </c>
      <c r="S327" s="132">
        <v>1</v>
      </c>
      <c r="T327" s="132">
        <f t="shared" si="32"/>
        <v>0</v>
      </c>
      <c r="V327" s="126">
        <f t="shared" si="33"/>
        <v>0</v>
      </c>
      <c r="W327" s="92">
        <f t="shared" si="34"/>
        <v>0</v>
      </c>
      <c r="Y327" s="210"/>
    </row>
    <row r="328" spans="1:25" ht="14.4" customHeight="1" thickBot="1" x14ac:dyDescent="0.3">
      <c r="A328" s="149"/>
      <c r="J328" s="130">
        <v>1</v>
      </c>
      <c r="K328" s="132">
        <f t="shared" si="30"/>
        <v>0</v>
      </c>
      <c r="M328" s="132">
        <v>1</v>
      </c>
      <c r="N328" s="132">
        <f t="shared" si="31"/>
        <v>0</v>
      </c>
      <c r="P328" s="132">
        <v>1</v>
      </c>
      <c r="Q328" s="132">
        <f t="shared" si="35"/>
        <v>0</v>
      </c>
      <c r="S328" s="132">
        <v>1</v>
      </c>
      <c r="T328" s="132">
        <f t="shared" si="32"/>
        <v>0</v>
      </c>
      <c r="V328" s="126">
        <f t="shared" si="33"/>
        <v>0</v>
      </c>
      <c r="W328" s="92">
        <f t="shared" si="34"/>
        <v>0</v>
      </c>
      <c r="Y328" s="210"/>
    </row>
    <row r="329" spans="1:25" ht="14.4" customHeight="1" thickBot="1" x14ac:dyDescent="0.3">
      <c r="A329" s="149"/>
      <c r="J329" s="130">
        <v>1</v>
      </c>
      <c r="K329" s="132">
        <f t="shared" si="30"/>
        <v>0</v>
      </c>
      <c r="M329" s="132">
        <v>1</v>
      </c>
      <c r="N329" s="132">
        <f t="shared" si="31"/>
        <v>0</v>
      </c>
      <c r="P329" s="132">
        <v>1</v>
      </c>
      <c r="Q329" s="132">
        <f t="shared" si="35"/>
        <v>0</v>
      </c>
      <c r="S329" s="132">
        <v>1</v>
      </c>
      <c r="T329" s="132">
        <f t="shared" si="32"/>
        <v>0</v>
      </c>
      <c r="V329" s="126">
        <f t="shared" si="33"/>
        <v>0</v>
      </c>
      <c r="W329" s="92">
        <f t="shared" si="34"/>
        <v>0</v>
      </c>
      <c r="Y329" s="210"/>
    </row>
    <row r="330" spans="1:25" ht="14.4" customHeight="1" thickBot="1" x14ac:dyDescent="0.3">
      <c r="A330" s="149"/>
      <c r="J330" s="130">
        <v>1</v>
      </c>
      <c r="K330" s="132">
        <f t="shared" si="30"/>
        <v>0</v>
      </c>
      <c r="M330" s="132">
        <v>1</v>
      </c>
      <c r="N330" s="132">
        <f t="shared" si="31"/>
        <v>0</v>
      </c>
      <c r="P330" s="132">
        <v>1</v>
      </c>
      <c r="Q330" s="132">
        <f t="shared" si="35"/>
        <v>0</v>
      </c>
      <c r="S330" s="132">
        <v>1</v>
      </c>
      <c r="T330" s="132">
        <f t="shared" si="32"/>
        <v>0</v>
      </c>
      <c r="V330" s="126">
        <f t="shared" si="33"/>
        <v>0</v>
      </c>
      <c r="W330" s="92">
        <f t="shared" si="34"/>
        <v>0</v>
      </c>
      <c r="Y330" s="210"/>
    </row>
    <row r="331" spans="1:25" ht="14.4" customHeight="1" thickBot="1" x14ac:dyDescent="0.3">
      <c r="A331" s="149"/>
      <c r="J331" s="130">
        <v>1</v>
      </c>
      <c r="K331" s="132">
        <f t="shared" si="30"/>
        <v>0</v>
      </c>
      <c r="M331" s="132">
        <v>1</v>
      </c>
      <c r="N331" s="132">
        <f t="shared" si="31"/>
        <v>0</v>
      </c>
      <c r="P331" s="132">
        <v>1</v>
      </c>
      <c r="Q331" s="132">
        <f t="shared" si="35"/>
        <v>0</v>
      </c>
      <c r="S331" s="132">
        <v>1</v>
      </c>
      <c r="T331" s="132">
        <f t="shared" si="32"/>
        <v>0</v>
      </c>
      <c r="V331" s="126">
        <f t="shared" si="33"/>
        <v>0</v>
      </c>
      <c r="W331" s="92">
        <f t="shared" si="34"/>
        <v>0</v>
      </c>
      <c r="Y331" s="210"/>
    </row>
    <row r="332" spans="1:25" ht="14.4" customHeight="1" thickBot="1" x14ac:dyDescent="0.3">
      <c r="A332" s="149"/>
      <c r="J332" s="130">
        <v>1</v>
      </c>
      <c r="K332" s="132">
        <f t="shared" si="30"/>
        <v>0</v>
      </c>
      <c r="M332" s="132">
        <v>1</v>
      </c>
      <c r="N332" s="132">
        <f t="shared" si="31"/>
        <v>0</v>
      </c>
      <c r="P332" s="132">
        <v>1</v>
      </c>
      <c r="Q332" s="132">
        <f t="shared" si="35"/>
        <v>0</v>
      </c>
      <c r="S332" s="132">
        <v>1</v>
      </c>
      <c r="T332" s="132">
        <f t="shared" si="32"/>
        <v>0</v>
      </c>
      <c r="V332" s="126">
        <f t="shared" si="33"/>
        <v>0</v>
      </c>
      <c r="W332" s="92">
        <f t="shared" si="34"/>
        <v>0</v>
      </c>
      <c r="Y332" s="210"/>
    </row>
    <row r="333" spans="1:25" ht="14.4" customHeight="1" thickBot="1" x14ac:dyDescent="0.3">
      <c r="A333" s="149"/>
      <c r="J333" s="130">
        <v>1</v>
      </c>
      <c r="K333" s="132">
        <f t="shared" si="30"/>
        <v>0</v>
      </c>
      <c r="M333" s="132">
        <v>1</v>
      </c>
      <c r="N333" s="132">
        <f t="shared" si="31"/>
        <v>0</v>
      </c>
      <c r="P333" s="132">
        <v>1</v>
      </c>
      <c r="Q333" s="132">
        <f t="shared" si="35"/>
        <v>0</v>
      </c>
      <c r="S333" s="132">
        <v>1</v>
      </c>
      <c r="T333" s="132">
        <f t="shared" si="32"/>
        <v>0</v>
      </c>
      <c r="V333" s="126">
        <f t="shared" si="33"/>
        <v>0</v>
      </c>
      <c r="W333" s="92">
        <f t="shared" si="34"/>
        <v>0</v>
      </c>
      <c r="Y333" s="210"/>
    </row>
    <row r="334" spans="1:25" ht="14.4" customHeight="1" thickBot="1" x14ac:dyDescent="0.3">
      <c r="A334" s="149"/>
      <c r="J334" s="130">
        <v>1</v>
      </c>
      <c r="K334" s="132">
        <f t="shared" si="30"/>
        <v>0</v>
      </c>
      <c r="M334" s="132">
        <v>1</v>
      </c>
      <c r="N334" s="132">
        <f t="shared" si="31"/>
        <v>0</v>
      </c>
      <c r="P334" s="132">
        <v>1</v>
      </c>
      <c r="Q334" s="132">
        <f t="shared" si="35"/>
        <v>0</v>
      </c>
      <c r="S334" s="132">
        <v>1</v>
      </c>
      <c r="T334" s="132">
        <f t="shared" si="32"/>
        <v>0</v>
      </c>
      <c r="V334" s="126">
        <f t="shared" si="33"/>
        <v>0</v>
      </c>
      <c r="W334" s="92">
        <f t="shared" si="34"/>
        <v>0</v>
      </c>
      <c r="Y334" s="210"/>
    </row>
    <row r="335" spans="1:25" ht="14.4" customHeight="1" thickBot="1" x14ac:dyDescent="0.3">
      <c r="A335" s="149"/>
      <c r="J335" s="130">
        <v>1</v>
      </c>
      <c r="K335" s="132">
        <f t="shared" si="30"/>
        <v>0</v>
      </c>
      <c r="M335" s="132">
        <v>1</v>
      </c>
      <c r="N335" s="132">
        <f t="shared" si="31"/>
        <v>0</v>
      </c>
      <c r="P335" s="132">
        <v>1</v>
      </c>
      <c r="Q335" s="132">
        <f t="shared" si="35"/>
        <v>0</v>
      </c>
      <c r="S335" s="132">
        <v>1</v>
      </c>
      <c r="T335" s="132">
        <f t="shared" si="32"/>
        <v>0</v>
      </c>
      <c r="V335" s="126">
        <f t="shared" si="33"/>
        <v>0</v>
      </c>
      <c r="W335" s="92">
        <f t="shared" si="34"/>
        <v>0</v>
      </c>
      <c r="Y335" s="210"/>
    </row>
    <row r="336" spans="1:25" ht="14.4" customHeight="1" thickBot="1" x14ac:dyDescent="0.3">
      <c r="A336" s="149"/>
      <c r="J336" s="130">
        <v>1</v>
      </c>
      <c r="K336" s="132">
        <f t="shared" si="30"/>
        <v>0</v>
      </c>
      <c r="M336" s="132">
        <v>1</v>
      </c>
      <c r="N336" s="132">
        <f t="shared" si="31"/>
        <v>0</v>
      </c>
      <c r="P336" s="132">
        <v>1</v>
      </c>
      <c r="Q336" s="132">
        <f t="shared" si="35"/>
        <v>0</v>
      </c>
      <c r="S336" s="132">
        <v>1</v>
      </c>
      <c r="T336" s="132">
        <f t="shared" si="32"/>
        <v>0</v>
      </c>
      <c r="V336" s="126">
        <f t="shared" si="33"/>
        <v>0</v>
      </c>
      <c r="W336" s="92">
        <f t="shared" si="34"/>
        <v>0</v>
      </c>
      <c r="Y336" s="210"/>
    </row>
    <row r="337" spans="1:25" ht="14.4" customHeight="1" thickBot="1" x14ac:dyDescent="0.3">
      <c r="A337" s="149"/>
      <c r="J337" s="130">
        <v>1</v>
      </c>
      <c r="K337" s="132">
        <f t="shared" si="30"/>
        <v>0</v>
      </c>
      <c r="M337" s="132">
        <v>1</v>
      </c>
      <c r="N337" s="132">
        <f t="shared" si="31"/>
        <v>0</v>
      </c>
      <c r="P337" s="132">
        <v>1</v>
      </c>
      <c r="Q337" s="132">
        <f t="shared" si="35"/>
        <v>0</v>
      </c>
      <c r="S337" s="132">
        <v>1</v>
      </c>
      <c r="T337" s="132">
        <f t="shared" si="32"/>
        <v>0</v>
      </c>
      <c r="V337" s="126">
        <f t="shared" si="33"/>
        <v>0</v>
      </c>
      <c r="W337" s="92">
        <f t="shared" si="34"/>
        <v>0</v>
      </c>
      <c r="Y337" s="210"/>
    </row>
    <row r="338" spans="1:25" ht="14.4" customHeight="1" thickBot="1" x14ac:dyDescent="0.3">
      <c r="A338" s="149"/>
      <c r="J338" s="130">
        <v>1</v>
      </c>
      <c r="K338" s="132">
        <f t="shared" si="30"/>
        <v>0</v>
      </c>
      <c r="M338" s="132">
        <v>1</v>
      </c>
      <c r="N338" s="132">
        <f t="shared" si="31"/>
        <v>0</v>
      </c>
      <c r="P338" s="132">
        <v>1</v>
      </c>
      <c r="Q338" s="132">
        <f t="shared" si="35"/>
        <v>0</v>
      </c>
      <c r="S338" s="132">
        <v>1</v>
      </c>
      <c r="T338" s="132">
        <f t="shared" si="32"/>
        <v>0</v>
      </c>
      <c r="V338" s="126">
        <f t="shared" si="33"/>
        <v>0</v>
      </c>
      <c r="W338" s="92">
        <f t="shared" si="34"/>
        <v>0</v>
      </c>
      <c r="Y338" s="210"/>
    </row>
    <row r="339" spans="1:25" ht="14.4" customHeight="1" thickBot="1" x14ac:dyDescent="0.3">
      <c r="A339" s="149"/>
      <c r="J339" s="130">
        <v>1</v>
      </c>
      <c r="K339" s="132">
        <f t="shared" si="30"/>
        <v>0</v>
      </c>
      <c r="M339" s="132">
        <v>1</v>
      </c>
      <c r="N339" s="132">
        <f t="shared" si="31"/>
        <v>0</v>
      </c>
      <c r="P339" s="132">
        <v>1</v>
      </c>
      <c r="Q339" s="132">
        <f t="shared" si="35"/>
        <v>0</v>
      </c>
      <c r="S339" s="132">
        <v>1</v>
      </c>
      <c r="T339" s="132">
        <f t="shared" si="32"/>
        <v>0</v>
      </c>
      <c r="V339" s="126">
        <f t="shared" si="33"/>
        <v>0</v>
      </c>
      <c r="W339" s="92">
        <f t="shared" si="34"/>
        <v>0</v>
      </c>
      <c r="Y339" s="210"/>
    </row>
    <row r="340" spans="1:25" ht="14.4" customHeight="1" thickBot="1" x14ac:dyDescent="0.3">
      <c r="A340" s="149"/>
      <c r="J340" s="130">
        <v>1</v>
      </c>
      <c r="K340" s="132">
        <f t="shared" si="30"/>
        <v>0</v>
      </c>
      <c r="M340" s="132">
        <v>1</v>
      </c>
      <c r="N340" s="132">
        <f t="shared" si="31"/>
        <v>0</v>
      </c>
      <c r="P340" s="132">
        <v>1</v>
      </c>
      <c r="Q340" s="132">
        <f t="shared" si="35"/>
        <v>0</v>
      </c>
      <c r="S340" s="132">
        <v>1</v>
      </c>
      <c r="T340" s="132">
        <f t="shared" si="32"/>
        <v>0</v>
      </c>
      <c r="V340" s="126">
        <f t="shared" si="33"/>
        <v>0</v>
      </c>
      <c r="W340" s="92">
        <f t="shared" si="34"/>
        <v>0</v>
      </c>
      <c r="Y340" s="210"/>
    </row>
    <row r="341" spans="1:25" ht="14.4" customHeight="1" thickBot="1" x14ac:dyDescent="0.3">
      <c r="A341" s="149"/>
      <c r="J341" s="130">
        <v>1</v>
      </c>
      <c r="K341" s="132">
        <f t="shared" si="30"/>
        <v>0</v>
      </c>
      <c r="M341" s="132">
        <v>1</v>
      </c>
      <c r="N341" s="132">
        <f t="shared" si="31"/>
        <v>0</v>
      </c>
      <c r="P341" s="132">
        <v>1</v>
      </c>
      <c r="Q341" s="132">
        <f t="shared" si="35"/>
        <v>0</v>
      </c>
      <c r="S341" s="132">
        <v>1</v>
      </c>
      <c r="T341" s="132">
        <f t="shared" si="32"/>
        <v>0</v>
      </c>
      <c r="V341" s="126">
        <f t="shared" si="33"/>
        <v>0</v>
      </c>
      <c r="W341" s="92">
        <f t="shared" si="34"/>
        <v>0</v>
      </c>
      <c r="Y341" s="210"/>
    </row>
    <row r="342" spans="1:25" ht="14.4" customHeight="1" thickBot="1" x14ac:dyDescent="0.3">
      <c r="A342" s="149"/>
      <c r="J342" s="130">
        <v>1</v>
      </c>
      <c r="K342" s="132">
        <f t="shared" si="30"/>
        <v>0</v>
      </c>
      <c r="M342" s="132">
        <v>1</v>
      </c>
      <c r="N342" s="132">
        <f t="shared" si="31"/>
        <v>0</v>
      </c>
      <c r="P342" s="132">
        <v>1</v>
      </c>
      <c r="Q342" s="132">
        <f t="shared" si="35"/>
        <v>0</v>
      </c>
      <c r="S342" s="132">
        <v>1</v>
      </c>
      <c r="T342" s="132">
        <f t="shared" si="32"/>
        <v>0</v>
      </c>
      <c r="V342" s="126">
        <f t="shared" si="33"/>
        <v>0</v>
      </c>
      <c r="W342" s="92">
        <f t="shared" si="34"/>
        <v>0</v>
      </c>
      <c r="Y342" s="210"/>
    </row>
    <row r="343" spans="1:25" ht="14.4" customHeight="1" thickBot="1" x14ac:dyDescent="0.3">
      <c r="A343" s="149"/>
      <c r="J343" s="130">
        <v>1</v>
      </c>
      <c r="K343" s="132">
        <f t="shared" si="30"/>
        <v>0</v>
      </c>
      <c r="M343" s="132">
        <v>1</v>
      </c>
      <c r="N343" s="132">
        <f t="shared" si="31"/>
        <v>0</v>
      </c>
      <c r="P343" s="132">
        <v>1</v>
      </c>
      <c r="Q343" s="132">
        <f t="shared" si="35"/>
        <v>0</v>
      </c>
      <c r="S343" s="132">
        <v>1</v>
      </c>
      <c r="T343" s="132">
        <f t="shared" si="32"/>
        <v>0</v>
      </c>
      <c r="V343" s="126">
        <f t="shared" si="33"/>
        <v>0</v>
      </c>
      <c r="W343" s="92">
        <f t="shared" si="34"/>
        <v>0</v>
      </c>
      <c r="Y343" s="210"/>
    </row>
    <row r="344" spans="1:25" ht="14.4" customHeight="1" thickBot="1" x14ac:dyDescent="0.3">
      <c r="A344" s="149"/>
      <c r="J344" s="130">
        <v>1</v>
      </c>
      <c r="K344" s="132">
        <f t="shared" si="30"/>
        <v>0</v>
      </c>
      <c r="M344" s="132">
        <v>1</v>
      </c>
      <c r="N344" s="132">
        <f t="shared" si="31"/>
        <v>0</v>
      </c>
      <c r="P344" s="132">
        <v>1</v>
      </c>
      <c r="Q344" s="132">
        <f t="shared" si="35"/>
        <v>0</v>
      </c>
      <c r="S344" s="132">
        <v>1</v>
      </c>
      <c r="T344" s="132">
        <f t="shared" si="32"/>
        <v>0</v>
      </c>
      <c r="V344" s="126">
        <f t="shared" si="33"/>
        <v>0</v>
      </c>
      <c r="W344" s="92">
        <f t="shared" si="34"/>
        <v>0</v>
      </c>
      <c r="Y344" s="210"/>
    </row>
    <row r="345" spans="1:25" ht="14.4" customHeight="1" thickBot="1" x14ac:dyDescent="0.3">
      <c r="A345" s="149"/>
      <c r="J345" s="130">
        <v>1</v>
      </c>
      <c r="K345" s="132">
        <f t="shared" si="30"/>
        <v>0</v>
      </c>
      <c r="M345" s="132">
        <v>1</v>
      </c>
      <c r="N345" s="132">
        <f t="shared" si="31"/>
        <v>0</v>
      </c>
      <c r="P345" s="132">
        <v>1</v>
      </c>
      <c r="Q345" s="132">
        <f t="shared" si="35"/>
        <v>0</v>
      </c>
      <c r="S345" s="132">
        <v>1</v>
      </c>
      <c r="T345" s="132">
        <f t="shared" si="32"/>
        <v>0</v>
      </c>
      <c r="V345" s="126">
        <f t="shared" si="33"/>
        <v>0</v>
      </c>
      <c r="W345" s="92">
        <f t="shared" si="34"/>
        <v>0</v>
      </c>
      <c r="Y345" s="210"/>
    </row>
    <row r="346" spans="1:25" ht="14.4" customHeight="1" thickBot="1" x14ac:dyDescent="0.3">
      <c r="A346" s="149"/>
      <c r="J346" s="130">
        <v>1</v>
      </c>
      <c r="K346" s="132">
        <f t="shared" si="30"/>
        <v>0</v>
      </c>
      <c r="M346" s="132">
        <v>1</v>
      </c>
      <c r="N346" s="132">
        <f t="shared" si="31"/>
        <v>0</v>
      </c>
      <c r="P346" s="132">
        <v>1</v>
      </c>
      <c r="Q346" s="132">
        <f t="shared" si="35"/>
        <v>0</v>
      </c>
      <c r="S346" s="132">
        <v>1</v>
      </c>
      <c r="T346" s="132">
        <f t="shared" si="32"/>
        <v>0</v>
      </c>
      <c r="V346" s="126">
        <f t="shared" si="33"/>
        <v>0</v>
      </c>
      <c r="W346" s="92">
        <f t="shared" si="34"/>
        <v>0</v>
      </c>
      <c r="Y346" s="210"/>
    </row>
    <row r="347" spans="1:25" ht="14.4" customHeight="1" thickBot="1" x14ac:dyDescent="0.3">
      <c r="A347" s="149"/>
      <c r="J347" s="130">
        <v>1</v>
      </c>
      <c r="K347" s="132">
        <f t="shared" si="30"/>
        <v>0</v>
      </c>
      <c r="M347" s="132">
        <v>1</v>
      </c>
      <c r="N347" s="132">
        <f t="shared" si="31"/>
        <v>0</v>
      </c>
      <c r="P347" s="132">
        <v>1</v>
      </c>
      <c r="Q347" s="132">
        <f t="shared" si="35"/>
        <v>0</v>
      </c>
      <c r="S347" s="132">
        <v>1</v>
      </c>
      <c r="T347" s="132">
        <f t="shared" si="32"/>
        <v>0</v>
      </c>
      <c r="V347" s="126">
        <f t="shared" si="33"/>
        <v>0</v>
      </c>
      <c r="W347" s="92">
        <f t="shared" si="34"/>
        <v>0</v>
      </c>
      <c r="Y347" s="210"/>
    </row>
    <row r="348" spans="1:25" ht="14.4" customHeight="1" thickBot="1" x14ac:dyDescent="0.3">
      <c r="A348" s="149"/>
      <c r="J348" s="130">
        <v>1</v>
      </c>
      <c r="K348" s="132">
        <f t="shared" si="30"/>
        <v>0</v>
      </c>
      <c r="M348" s="132">
        <v>1</v>
      </c>
      <c r="N348" s="132">
        <f t="shared" si="31"/>
        <v>0</v>
      </c>
      <c r="P348" s="132">
        <v>1</v>
      </c>
      <c r="Q348" s="132">
        <f t="shared" si="35"/>
        <v>0</v>
      </c>
      <c r="S348" s="132">
        <v>1</v>
      </c>
      <c r="T348" s="132">
        <f t="shared" si="32"/>
        <v>0</v>
      </c>
      <c r="V348" s="126">
        <f t="shared" si="33"/>
        <v>0</v>
      </c>
      <c r="W348" s="92">
        <f t="shared" si="34"/>
        <v>0</v>
      </c>
      <c r="Y348" s="210"/>
    </row>
    <row r="349" spans="1:25" ht="14.4" customHeight="1" thickBot="1" x14ac:dyDescent="0.3">
      <c r="A349" s="149"/>
      <c r="J349" s="130">
        <v>1</v>
      </c>
      <c r="K349" s="132">
        <f t="shared" si="30"/>
        <v>0</v>
      </c>
      <c r="M349" s="132">
        <v>1</v>
      </c>
      <c r="N349" s="132">
        <f t="shared" si="31"/>
        <v>0</v>
      </c>
      <c r="P349" s="132">
        <v>1</v>
      </c>
      <c r="Q349" s="132">
        <f t="shared" si="35"/>
        <v>0</v>
      </c>
      <c r="S349" s="132">
        <v>1</v>
      </c>
      <c r="T349" s="132">
        <f t="shared" si="32"/>
        <v>0</v>
      </c>
      <c r="V349" s="126">
        <f t="shared" si="33"/>
        <v>0</v>
      </c>
      <c r="W349" s="92">
        <f t="shared" si="34"/>
        <v>0</v>
      </c>
      <c r="Y349" s="210"/>
    </row>
    <row r="350" spans="1:25" ht="14.4" customHeight="1" thickBot="1" x14ac:dyDescent="0.3">
      <c r="A350" s="149"/>
      <c r="J350" s="130">
        <v>1</v>
      </c>
      <c r="K350" s="132">
        <f t="shared" si="30"/>
        <v>0</v>
      </c>
      <c r="M350" s="132">
        <v>1</v>
      </c>
      <c r="N350" s="132">
        <f t="shared" si="31"/>
        <v>0</v>
      </c>
      <c r="P350" s="132">
        <v>1</v>
      </c>
      <c r="Q350" s="132">
        <f t="shared" si="35"/>
        <v>0</v>
      </c>
      <c r="S350" s="132">
        <v>1</v>
      </c>
      <c r="T350" s="132">
        <f t="shared" si="32"/>
        <v>0</v>
      </c>
      <c r="V350" s="126">
        <f t="shared" si="33"/>
        <v>0</v>
      </c>
      <c r="W350" s="92">
        <f t="shared" si="34"/>
        <v>0</v>
      </c>
      <c r="Y350" s="210"/>
    </row>
    <row r="351" spans="1:25" ht="14.4" customHeight="1" thickBot="1" x14ac:dyDescent="0.3">
      <c r="A351" s="149"/>
      <c r="J351" s="130">
        <v>1</v>
      </c>
      <c r="K351" s="132">
        <f t="shared" si="30"/>
        <v>0</v>
      </c>
      <c r="M351" s="132">
        <v>1</v>
      </c>
      <c r="N351" s="132">
        <f t="shared" si="31"/>
        <v>0</v>
      </c>
      <c r="P351" s="132">
        <v>1</v>
      </c>
      <c r="Q351" s="132">
        <f t="shared" si="35"/>
        <v>0</v>
      </c>
      <c r="S351" s="132">
        <v>1</v>
      </c>
      <c r="T351" s="132">
        <f t="shared" si="32"/>
        <v>0</v>
      </c>
      <c r="V351" s="126">
        <f t="shared" si="33"/>
        <v>0</v>
      </c>
      <c r="W351" s="92">
        <f t="shared" si="34"/>
        <v>0</v>
      </c>
      <c r="Y351" s="210"/>
    </row>
    <row r="352" spans="1:25" ht="14.4" customHeight="1" thickBot="1" x14ac:dyDescent="0.3">
      <c r="A352" s="149"/>
      <c r="J352" s="130">
        <v>1</v>
      </c>
      <c r="K352" s="132">
        <f t="shared" si="30"/>
        <v>0</v>
      </c>
      <c r="M352" s="132">
        <v>1</v>
      </c>
      <c r="N352" s="132">
        <f t="shared" si="31"/>
        <v>0</v>
      </c>
      <c r="P352" s="132">
        <v>1</v>
      </c>
      <c r="Q352" s="132">
        <f t="shared" si="35"/>
        <v>0</v>
      </c>
      <c r="S352" s="132">
        <v>1</v>
      </c>
      <c r="T352" s="132">
        <f t="shared" si="32"/>
        <v>0</v>
      </c>
      <c r="V352" s="126">
        <f t="shared" si="33"/>
        <v>0</v>
      </c>
      <c r="W352" s="92">
        <f t="shared" si="34"/>
        <v>0</v>
      </c>
      <c r="Y352" s="210"/>
    </row>
    <row r="353" spans="1:25" ht="14.4" customHeight="1" thickBot="1" x14ac:dyDescent="0.3">
      <c r="A353" s="149"/>
      <c r="J353" s="130">
        <v>1</v>
      </c>
      <c r="K353" s="132">
        <f t="shared" si="30"/>
        <v>0</v>
      </c>
      <c r="M353" s="132">
        <v>1</v>
      </c>
      <c r="N353" s="132">
        <f t="shared" si="31"/>
        <v>0</v>
      </c>
      <c r="P353" s="132">
        <v>1</v>
      </c>
      <c r="Q353" s="132">
        <f t="shared" si="35"/>
        <v>0</v>
      </c>
      <c r="S353" s="132">
        <v>1</v>
      </c>
      <c r="T353" s="132">
        <f t="shared" si="32"/>
        <v>0</v>
      </c>
      <c r="V353" s="126">
        <f t="shared" si="33"/>
        <v>0</v>
      </c>
      <c r="W353" s="92">
        <f t="shared" si="34"/>
        <v>0</v>
      </c>
      <c r="Y353" s="210"/>
    </row>
    <row r="354" spans="1:25" ht="14.4" customHeight="1" thickBot="1" x14ac:dyDescent="0.3">
      <c r="A354" s="149"/>
      <c r="J354" s="130">
        <v>1</v>
      </c>
      <c r="K354" s="132">
        <f t="shared" si="30"/>
        <v>0</v>
      </c>
      <c r="M354" s="132">
        <v>1</v>
      </c>
      <c r="N354" s="132">
        <f t="shared" si="31"/>
        <v>0</v>
      </c>
      <c r="P354" s="132">
        <v>1</v>
      </c>
      <c r="Q354" s="132">
        <f t="shared" si="35"/>
        <v>0</v>
      </c>
      <c r="S354" s="132">
        <v>1</v>
      </c>
      <c r="T354" s="132">
        <f t="shared" si="32"/>
        <v>0</v>
      </c>
      <c r="V354" s="126">
        <f t="shared" si="33"/>
        <v>0</v>
      </c>
      <c r="W354" s="92">
        <f t="shared" si="34"/>
        <v>0</v>
      </c>
      <c r="Y354" s="210"/>
    </row>
    <row r="355" spans="1:25" ht="14.4" customHeight="1" thickBot="1" x14ac:dyDescent="0.3">
      <c r="A355" s="149"/>
      <c r="J355" s="130">
        <v>1</v>
      </c>
      <c r="K355" s="132">
        <f t="shared" si="30"/>
        <v>0</v>
      </c>
      <c r="M355" s="132">
        <v>1</v>
      </c>
      <c r="N355" s="132">
        <f t="shared" si="31"/>
        <v>0</v>
      </c>
      <c r="P355" s="132">
        <v>1</v>
      </c>
      <c r="Q355" s="132">
        <f t="shared" si="35"/>
        <v>0</v>
      </c>
      <c r="S355" s="132">
        <v>1</v>
      </c>
      <c r="T355" s="132">
        <f t="shared" si="32"/>
        <v>0</v>
      </c>
      <c r="V355" s="126">
        <f t="shared" si="33"/>
        <v>0</v>
      </c>
      <c r="W355" s="92">
        <f t="shared" si="34"/>
        <v>0</v>
      </c>
      <c r="Y355" s="210"/>
    </row>
    <row r="356" spans="1:25" ht="14.4" customHeight="1" thickBot="1" x14ac:dyDescent="0.3">
      <c r="A356" s="149"/>
      <c r="J356" s="130">
        <v>1</v>
      </c>
      <c r="K356" s="132">
        <f t="shared" si="30"/>
        <v>0</v>
      </c>
      <c r="M356" s="132">
        <v>1</v>
      </c>
      <c r="N356" s="132">
        <f t="shared" si="31"/>
        <v>0</v>
      </c>
      <c r="P356" s="132">
        <v>1</v>
      </c>
      <c r="Q356" s="132">
        <f t="shared" si="35"/>
        <v>0</v>
      </c>
      <c r="S356" s="132">
        <v>1</v>
      </c>
      <c r="T356" s="132">
        <f t="shared" si="32"/>
        <v>0</v>
      </c>
      <c r="V356" s="126">
        <f t="shared" si="33"/>
        <v>0</v>
      </c>
      <c r="W356" s="92">
        <f t="shared" si="34"/>
        <v>0</v>
      </c>
      <c r="Y356" s="210"/>
    </row>
    <row r="357" spans="1:25" ht="14.4" customHeight="1" thickBot="1" x14ac:dyDescent="0.3">
      <c r="A357" s="149"/>
      <c r="J357" s="130">
        <v>1</v>
      </c>
      <c r="K357" s="132">
        <f t="shared" si="30"/>
        <v>0</v>
      </c>
      <c r="M357" s="132">
        <v>1</v>
      </c>
      <c r="N357" s="132">
        <f t="shared" si="31"/>
        <v>0</v>
      </c>
      <c r="P357" s="132">
        <v>1</v>
      </c>
      <c r="Q357" s="132">
        <f t="shared" si="35"/>
        <v>0</v>
      </c>
      <c r="S357" s="132">
        <v>1</v>
      </c>
      <c r="T357" s="132">
        <f t="shared" si="32"/>
        <v>0</v>
      </c>
      <c r="V357" s="126">
        <f t="shared" si="33"/>
        <v>0</v>
      </c>
      <c r="W357" s="92">
        <f t="shared" si="34"/>
        <v>0</v>
      </c>
      <c r="Y357" s="210"/>
    </row>
    <row r="358" spans="1:25" ht="14.4" customHeight="1" thickBot="1" x14ac:dyDescent="0.3">
      <c r="A358" s="149"/>
      <c r="J358" s="130">
        <v>1</v>
      </c>
      <c r="K358" s="132">
        <f t="shared" si="30"/>
        <v>0</v>
      </c>
      <c r="M358" s="132">
        <v>1</v>
      </c>
      <c r="N358" s="132">
        <f t="shared" si="31"/>
        <v>0</v>
      </c>
      <c r="P358" s="132">
        <v>1</v>
      </c>
      <c r="Q358" s="132">
        <f t="shared" si="35"/>
        <v>0</v>
      </c>
      <c r="S358" s="132">
        <v>1</v>
      </c>
      <c r="T358" s="132">
        <f t="shared" si="32"/>
        <v>0</v>
      </c>
      <c r="V358" s="126">
        <f t="shared" si="33"/>
        <v>0</v>
      </c>
      <c r="W358" s="92">
        <f t="shared" si="34"/>
        <v>0</v>
      </c>
      <c r="Y358" s="210"/>
    </row>
    <row r="359" spans="1:25" ht="14.4" customHeight="1" thickBot="1" x14ac:dyDescent="0.3">
      <c r="A359" s="149"/>
      <c r="J359" s="130">
        <v>1</v>
      </c>
      <c r="K359" s="132">
        <f t="shared" si="30"/>
        <v>0</v>
      </c>
      <c r="M359" s="132">
        <v>1</v>
      </c>
      <c r="N359" s="132">
        <f t="shared" si="31"/>
        <v>0</v>
      </c>
      <c r="P359" s="132">
        <v>1</v>
      </c>
      <c r="Q359" s="132">
        <f t="shared" si="35"/>
        <v>0</v>
      </c>
      <c r="S359" s="132">
        <v>1</v>
      </c>
      <c r="T359" s="132">
        <f t="shared" si="32"/>
        <v>0</v>
      </c>
      <c r="V359" s="126">
        <f t="shared" si="33"/>
        <v>0</v>
      </c>
      <c r="W359" s="92">
        <f t="shared" si="34"/>
        <v>0</v>
      </c>
      <c r="Y359" s="210"/>
    </row>
    <row r="360" spans="1:25" ht="14.4" customHeight="1" thickBot="1" x14ac:dyDescent="0.3">
      <c r="A360" s="149"/>
      <c r="J360" s="130">
        <v>1</v>
      </c>
      <c r="K360" s="132">
        <f t="shared" si="30"/>
        <v>0</v>
      </c>
      <c r="M360" s="132">
        <v>1</v>
      </c>
      <c r="N360" s="132">
        <f t="shared" si="31"/>
        <v>0</v>
      </c>
      <c r="P360" s="132">
        <v>1</v>
      </c>
      <c r="Q360" s="132">
        <f t="shared" si="35"/>
        <v>0</v>
      </c>
      <c r="S360" s="132">
        <v>1</v>
      </c>
      <c r="T360" s="132">
        <f t="shared" si="32"/>
        <v>0</v>
      </c>
      <c r="V360" s="126">
        <f t="shared" si="33"/>
        <v>0</v>
      </c>
      <c r="W360" s="92">
        <f t="shared" si="34"/>
        <v>0</v>
      </c>
      <c r="Y360" s="210"/>
    </row>
    <row r="361" spans="1:25" ht="14.4" customHeight="1" thickBot="1" x14ac:dyDescent="0.3">
      <c r="A361" s="149"/>
      <c r="J361" s="130">
        <v>1</v>
      </c>
      <c r="K361" s="132">
        <f t="shared" si="30"/>
        <v>0</v>
      </c>
      <c r="M361" s="132">
        <v>1</v>
      </c>
      <c r="N361" s="132">
        <f t="shared" si="31"/>
        <v>0</v>
      </c>
      <c r="P361" s="132">
        <v>1</v>
      </c>
      <c r="Q361" s="132">
        <f t="shared" si="35"/>
        <v>0</v>
      </c>
      <c r="S361" s="132">
        <v>1</v>
      </c>
      <c r="T361" s="132">
        <f t="shared" si="32"/>
        <v>0</v>
      </c>
      <c r="V361" s="126">
        <f t="shared" si="33"/>
        <v>0</v>
      </c>
      <c r="W361" s="92">
        <f t="shared" si="34"/>
        <v>0</v>
      </c>
      <c r="Y361" s="210"/>
    </row>
    <row r="362" spans="1:25" ht="14.4" customHeight="1" thickBot="1" x14ac:dyDescent="0.3">
      <c r="A362" s="149"/>
      <c r="J362" s="130">
        <v>1</v>
      </c>
      <c r="K362" s="132">
        <f t="shared" si="30"/>
        <v>0</v>
      </c>
      <c r="M362" s="132">
        <v>1</v>
      </c>
      <c r="N362" s="132">
        <f t="shared" si="31"/>
        <v>0</v>
      </c>
      <c r="P362" s="132">
        <v>1</v>
      </c>
      <c r="Q362" s="132">
        <f t="shared" si="35"/>
        <v>0</v>
      </c>
      <c r="S362" s="132">
        <v>1</v>
      </c>
      <c r="T362" s="132">
        <f t="shared" si="32"/>
        <v>0</v>
      </c>
      <c r="V362" s="126">
        <f t="shared" si="33"/>
        <v>0</v>
      </c>
      <c r="W362" s="92">
        <f t="shared" si="34"/>
        <v>0</v>
      </c>
      <c r="Y362" s="210"/>
    </row>
    <row r="363" spans="1:25" ht="14.4" customHeight="1" thickBot="1" x14ac:dyDescent="0.3">
      <c r="A363" s="149"/>
      <c r="J363" s="130">
        <v>1</v>
      </c>
      <c r="K363" s="132">
        <f t="shared" si="30"/>
        <v>0</v>
      </c>
      <c r="M363" s="132">
        <v>1</v>
      </c>
      <c r="N363" s="132">
        <f t="shared" si="31"/>
        <v>0</v>
      </c>
      <c r="P363" s="132">
        <v>1</v>
      </c>
      <c r="Q363" s="132">
        <f t="shared" si="35"/>
        <v>0</v>
      </c>
      <c r="S363" s="132">
        <v>1</v>
      </c>
      <c r="T363" s="132">
        <f t="shared" si="32"/>
        <v>0</v>
      </c>
      <c r="V363" s="126">
        <f t="shared" si="33"/>
        <v>0</v>
      </c>
      <c r="W363" s="92">
        <f t="shared" si="34"/>
        <v>0</v>
      </c>
      <c r="Y363" s="210"/>
    </row>
    <row r="364" spans="1:25" ht="14.4" customHeight="1" thickBot="1" x14ac:dyDescent="0.3">
      <c r="A364" s="149"/>
      <c r="J364" s="130">
        <v>1</v>
      </c>
      <c r="K364" s="132">
        <f t="shared" si="30"/>
        <v>0</v>
      </c>
      <c r="M364" s="132">
        <v>1</v>
      </c>
      <c r="N364" s="132">
        <f t="shared" si="31"/>
        <v>0</v>
      </c>
      <c r="P364" s="132">
        <v>1</v>
      </c>
      <c r="Q364" s="132">
        <f t="shared" si="35"/>
        <v>0</v>
      </c>
      <c r="S364" s="132">
        <v>1</v>
      </c>
      <c r="T364" s="132">
        <f t="shared" si="32"/>
        <v>0</v>
      </c>
      <c r="V364" s="126">
        <f t="shared" si="33"/>
        <v>0</v>
      </c>
      <c r="W364" s="92">
        <f t="shared" si="34"/>
        <v>0</v>
      </c>
      <c r="Y364" s="210"/>
    </row>
    <row r="365" spans="1:25" ht="14.4" customHeight="1" thickBot="1" x14ac:dyDescent="0.3">
      <c r="A365" s="149"/>
      <c r="J365" s="130">
        <v>1</v>
      </c>
      <c r="K365" s="132">
        <f t="shared" si="30"/>
        <v>0</v>
      </c>
      <c r="M365" s="132">
        <v>1</v>
      </c>
      <c r="N365" s="132">
        <f t="shared" si="31"/>
        <v>0</v>
      </c>
      <c r="P365" s="132">
        <v>1</v>
      </c>
      <c r="Q365" s="132">
        <f t="shared" si="35"/>
        <v>0</v>
      </c>
      <c r="S365" s="132">
        <v>1</v>
      </c>
      <c r="T365" s="132">
        <f t="shared" si="32"/>
        <v>0</v>
      </c>
      <c r="V365" s="126">
        <f t="shared" si="33"/>
        <v>0</v>
      </c>
      <c r="W365" s="92">
        <f t="shared" si="34"/>
        <v>0</v>
      </c>
      <c r="Y365" s="210"/>
    </row>
    <row r="366" spans="1:25" ht="14.4" customHeight="1" thickBot="1" x14ac:dyDescent="0.3">
      <c r="A366" s="149"/>
      <c r="J366" s="130">
        <v>1</v>
      </c>
      <c r="K366" s="132">
        <f t="shared" si="30"/>
        <v>0</v>
      </c>
      <c r="M366" s="132">
        <v>1</v>
      </c>
      <c r="N366" s="132">
        <f t="shared" si="31"/>
        <v>0</v>
      </c>
      <c r="P366" s="132">
        <v>1</v>
      </c>
      <c r="Q366" s="132">
        <f t="shared" si="35"/>
        <v>0</v>
      </c>
      <c r="S366" s="132">
        <v>1</v>
      </c>
      <c r="T366" s="132">
        <f t="shared" si="32"/>
        <v>0</v>
      </c>
      <c r="V366" s="126">
        <f t="shared" si="33"/>
        <v>0</v>
      </c>
      <c r="W366" s="92">
        <f t="shared" si="34"/>
        <v>0</v>
      </c>
      <c r="Y366" s="210"/>
    </row>
    <row r="367" spans="1:25" ht="14.4" customHeight="1" thickBot="1" x14ac:dyDescent="0.3">
      <c r="A367" s="149"/>
      <c r="J367" s="130">
        <v>1</v>
      </c>
      <c r="K367" s="132">
        <f t="shared" si="30"/>
        <v>0</v>
      </c>
      <c r="M367" s="132">
        <v>1</v>
      </c>
      <c r="N367" s="132">
        <f t="shared" si="31"/>
        <v>0</v>
      </c>
      <c r="P367" s="132">
        <v>1</v>
      </c>
      <c r="Q367" s="132">
        <f t="shared" si="35"/>
        <v>0</v>
      </c>
      <c r="S367" s="132">
        <v>1</v>
      </c>
      <c r="T367" s="132">
        <f t="shared" si="32"/>
        <v>0</v>
      </c>
      <c r="V367" s="126">
        <f t="shared" si="33"/>
        <v>0</v>
      </c>
      <c r="W367" s="92">
        <f t="shared" si="34"/>
        <v>0</v>
      </c>
      <c r="Y367" s="210"/>
    </row>
    <row r="368" spans="1:25" ht="14.4" customHeight="1" thickBot="1" x14ac:dyDescent="0.3">
      <c r="A368" s="149"/>
      <c r="J368" s="130">
        <v>1</v>
      </c>
      <c r="K368" s="132">
        <f t="shared" si="30"/>
        <v>0</v>
      </c>
      <c r="M368" s="132">
        <v>1</v>
      </c>
      <c r="N368" s="132">
        <f t="shared" si="31"/>
        <v>0</v>
      </c>
      <c r="P368" s="132">
        <v>1</v>
      </c>
      <c r="Q368" s="132">
        <f t="shared" si="35"/>
        <v>0</v>
      </c>
      <c r="S368" s="132">
        <v>1</v>
      </c>
      <c r="T368" s="132">
        <f t="shared" si="32"/>
        <v>0</v>
      </c>
      <c r="V368" s="126">
        <f t="shared" si="33"/>
        <v>0</v>
      </c>
      <c r="W368" s="92">
        <f t="shared" si="34"/>
        <v>0</v>
      </c>
      <c r="Y368" s="210"/>
    </row>
    <row r="369" spans="1:25" ht="14.4" customHeight="1" thickBot="1" x14ac:dyDescent="0.3">
      <c r="A369" s="149"/>
      <c r="J369" s="130">
        <v>1</v>
      </c>
      <c r="K369" s="132">
        <f t="shared" si="30"/>
        <v>0</v>
      </c>
      <c r="M369" s="132">
        <v>1</v>
      </c>
      <c r="N369" s="132">
        <f t="shared" si="31"/>
        <v>0</v>
      </c>
      <c r="P369" s="132">
        <v>1</v>
      </c>
      <c r="Q369" s="132">
        <f t="shared" si="35"/>
        <v>0</v>
      </c>
      <c r="S369" s="132">
        <v>1</v>
      </c>
      <c r="T369" s="132">
        <f t="shared" si="32"/>
        <v>0</v>
      </c>
      <c r="V369" s="126">
        <f t="shared" si="33"/>
        <v>0</v>
      </c>
      <c r="W369" s="92">
        <f t="shared" si="34"/>
        <v>0</v>
      </c>
      <c r="Y369" s="210"/>
    </row>
    <row r="370" spans="1:25" ht="14.4" customHeight="1" thickBot="1" x14ac:dyDescent="0.3">
      <c r="A370" s="149"/>
      <c r="J370" s="130">
        <v>1</v>
      </c>
      <c r="K370" s="132">
        <f t="shared" si="30"/>
        <v>0</v>
      </c>
      <c r="M370" s="132">
        <v>1</v>
      </c>
      <c r="N370" s="132">
        <f t="shared" si="31"/>
        <v>0</v>
      </c>
      <c r="P370" s="132">
        <v>1</v>
      </c>
      <c r="Q370" s="132">
        <f t="shared" si="35"/>
        <v>0</v>
      </c>
      <c r="S370" s="132">
        <v>1</v>
      </c>
      <c r="T370" s="132">
        <f t="shared" si="32"/>
        <v>0</v>
      </c>
      <c r="V370" s="126">
        <f t="shared" si="33"/>
        <v>0</v>
      </c>
      <c r="W370" s="92">
        <f t="shared" si="34"/>
        <v>0</v>
      </c>
      <c r="Y370" s="210"/>
    </row>
    <row r="371" spans="1:25" ht="14.4" customHeight="1" thickBot="1" x14ac:dyDescent="0.3">
      <c r="A371" s="149"/>
      <c r="J371" s="130">
        <v>1</v>
      </c>
      <c r="K371" s="132">
        <f t="shared" si="30"/>
        <v>0</v>
      </c>
      <c r="M371" s="132">
        <v>1</v>
      </c>
      <c r="N371" s="132">
        <f t="shared" si="31"/>
        <v>0</v>
      </c>
      <c r="P371" s="132">
        <v>1</v>
      </c>
      <c r="Q371" s="132">
        <f t="shared" si="35"/>
        <v>0</v>
      </c>
      <c r="S371" s="132">
        <v>1</v>
      </c>
      <c r="T371" s="132">
        <f t="shared" si="32"/>
        <v>0</v>
      </c>
      <c r="V371" s="126">
        <f t="shared" si="33"/>
        <v>0</v>
      </c>
      <c r="W371" s="92">
        <f t="shared" si="34"/>
        <v>0</v>
      </c>
      <c r="Y371" s="210"/>
    </row>
    <row r="372" spans="1:25" ht="14.4" customHeight="1" thickBot="1" x14ac:dyDescent="0.3">
      <c r="A372" s="149"/>
      <c r="J372" s="130">
        <v>1</v>
      </c>
      <c r="K372" s="132">
        <f t="shared" si="30"/>
        <v>0</v>
      </c>
      <c r="M372" s="132">
        <v>1</v>
      </c>
      <c r="N372" s="132">
        <f t="shared" si="31"/>
        <v>0</v>
      </c>
      <c r="P372" s="132">
        <v>1</v>
      </c>
      <c r="Q372" s="132">
        <f t="shared" si="35"/>
        <v>0</v>
      </c>
      <c r="S372" s="132">
        <v>1</v>
      </c>
      <c r="T372" s="132">
        <f t="shared" si="32"/>
        <v>0</v>
      </c>
      <c r="V372" s="126">
        <f t="shared" si="33"/>
        <v>0</v>
      </c>
      <c r="W372" s="92">
        <f t="shared" si="34"/>
        <v>0</v>
      </c>
      <c r="Y372" s="210"/>
    </row>
    <row r="373" spans="1:25" ht="14.4" customHeight="1" thickBot="1" x14ac:dyDescent="0.3">
      <c r="A373" s="149"/>
      <c r="J373" s="130">
        <v>1</v>
      </c>
      <c r="K373" s="132">
        <f t="shared" si="30"/>
        <v>0</v>
      </c>
      <c r="M373" s="132">
        <v>1</v>
      </c>
      <c r="N373" s="132">
        <f t="shared" si="31"/>
        <v>0</v>
      </c>
      <c r="P373" s="132">
        <v>1</v>
      </c>
      <c r="Q373" s="132">
        <f t="shared" si="35"/>
        <v>0</v>
      </c>
      <c r="S373" s="132">
        <v>1</v>
      </c>
      <c r="T373" s="132">
        <f t="shared" si="32"/>
        <v>0</v>
      </c>
      <c r="V373" s="126">
        <f t="shared" si="33"/>
        <v>0</v>
      </c>
      <c r="W373" s="92">
        <f t="shared" si="34"/>
        <v>0</v>
      </c>
      <c r="Y373" s="210"/>
    </row>
    <row r="374" spans="1:25" ht="14.4" customHeight="1" thickBot="1" x14ac:dyDescent="0.3">
      <c r="A374" s="149"/>
      <c r="J374" s="130">
        <v>1</v>
      </c>
      <c r="K374" s="132">
        <f t="shared" si="30"/>
        <v>0</v>
      </c>
      <c r="M374" s="132">
        <v>1</v>
      </c>
      <c r="N374" s="132">
        <f t="shared" si="31"/>
        <v>0</v>
      </c>
      <c r="P374" s="132">
        <v>1</v>
      </c>
      <c r="Q374" s="132">
        <f t="shared" si="35"/>
        <v>0</v>
      </c>
      <c r="S374" s="132">
        <v>1</v>
      </c>
      <c r="T374" s="132">
        <f t="shared" si="32"/>
        <v>0</v>
      </c>
      <c r="V374" s="126">
        <f t="shared" si="33"/>
        <v>0</v>
      </c>
      <c r="W374" s="92">
        <f t="shared" si="34"/>
        <v>0</v>
      </c>
      <c r="Y374" s="210"/>
    </row>
    <row r="375" spans="1:25" ht="14.4" customHeight="1" thickBot="1" x14ac:dyDescent="0.3">
      <c r="A375" s="149"/>
      <c r="J375" s="130">
        <v>1</v>
      </c>
      <c r="K375" s="132">
        <f t="shared" si="30"/>
        <v>0</v>
      </c>
      <c r="M375" s="132">
        <v>1</v>
      </c>
      <c r="N375" s="132">
        <f t="shared" si="31"/>
        <v>0</v>
      </c>
      <c r="P375" s="132">
        <v>1</v>
      </c>
      <c r="Q375" s="132">
        <f t="shared" si="35"/>
        <v>0</v>
      </c>
      <c r="S375" s="132">
        <v>1</v>
      </c>
      <c r="T375" s="132">
        <f t="shared" si="32"/>
        <v>0</v>
      </c>
      <c r="V375" s="126">
        <f t="shared" si="33"/>
        <v>0</v>
      </c>
      <c r="W375" s="92">
        <f t="shared" si="34"/>
        <v>0</v>
      </c>
      <c r="Y375" s="210"/>
    </row>
    <row r="376" spans="1:25" ht="14.4" customHeight="1" thickBot="1" x14ac:dyDescent="0.3">
      <c r="A376" s="149"/>
      <c r="J376" s="130">
        <v>1</v>
      </c>
      <c r="K376" s="132">
        <f t="shared" si="30"/>
        <v>0</v>
      </c>
      <c r="M376" s="132">
        <v>1</v>
      </c>
      <c r="N376" s="132">
        <f t="shared" si="31"/>
        <v>0</v>
      </c>
      <c r="P376" s="132">
        <v>1</v>
      </c>
      <c r="Q376" s="132">
        <f t="shared" si="35"/>
        <v>0</v>
      </c>
      <c r="S376" s="132">
        <v>1</v>
      </c>
      <c r="T376" s="132">
        <f t="shared" si="32"/>
        <v>0</v>
      </c>
      <c r="V376" s="126">
        <f t="shared" si="33"/>
        <v>0</v>
      </c>
      <c r="W376" s="92">
        <f t="shared" si="34"/>
        <v>0</v>
      </c>
      <c r="Y376" s="210"/>
    </row>
    <row r="377" spans="1:25" ht="14.4" customHeight="1" thickBot="1" x14ac:dyDescent="0.3">
      <c r="A377" s="149"/>
      <c r="J377" s="130">
        <v>1</v>
      </c>
      <c r="K377" s="132">
        <f t="shared" si="30"/>
        <v>0</v>
      </c>
      <c r="M377" s="132">
        <v>1</v>
      </c>
      <c r="N377" s="132">
        <f t="shared" si="31"/>
        <v>0</v>
      </c>
      <c r="P377" s="132">
        <v>1</v>
      </c>
      <c r="Q377" s="132">
        <f t="shared" si="35"/>
        <v>0</v>
      </c>
      <c r="S377" s="132">
        <v>1</v>
      </c>
      <c r="T377" s="132">
        <f t="shared" si="32"/>
        <v>0</v>
      </c>
      <c r="V377" s="126">
        <f t="shared" si="33"/>
        <v>0</v>
      </c>
      <c r="W377" s="92">
        <f t="shared" si="34"/>
        <v>0</v>
      </c>
      <c r="Y377" s="210"/>
    </row>
    <row r="378" spans="1:25" ht="14.4" customHeight="1" thickBot="1" x14ac:dyDescent="0.3">
      <c r="A378" s="149"/>
      <c r="J378" s="130">
        <v>1</v>
      </c>
      <c r="K378" s="132">
        <f t="shared" si="30"/>
        <v>0</v>
      </c>
      <c r="M378" s="132">
        <v>1</v>
      </c>
      <c r="N378" s="132">
        <f t="shared" si="31"/>
        <v>0</v>
      </c>
      <c r="P378" s="132">
        <v>1</v>
      </c>
      <c r="Q378" s="132">
        <f t="shared" si="35"/>
        <v>0</v>
      </c>
      <c r="S378" s="132">
        <v>1</v>
      </c>
      <c r="T378" s="132">
        <f t="shared" si="32"/>
        <v>0</v>
      </c>
      <c r="V378" s="126">
        <f t="shared" si="33"/>
        <v>0</v>
      </c>
      <c r="W378" s="92">
        <f t="shared" si="34"/>
        <v>0</v>
      </c>
      <c r="Y378" s="210"/>
    </row>
    <row r="379" spans="1:25" ht="14.4" customHeight="1" thickBot="1" x14ac:dyDescent="0.3">
      <c r="A379" s="149"/>
      <c r="J379" s="130">
        <v>1</v>
      </c>
      <c r="K379" s="132">
        <f t="shared" si="30"/>
        <v>0</v>
      </c>
      <c r="M379" s="132">
        <v>1</v>
      </c>
      <c r="N379" s="132">
        <f t="shared" si="31"/>
        <v>0</v>
      </c>
      <c r="P379" s="132">
        <v>1</v>
      </c>
      <c r="Q379" s="132">
        <f t="shared" si="35"/>
        <v>0</v>
      </c>
      <c r="S379" s="132">
        <v>1</v>
      </c>
      <c r="T379" s="132">
        <f t="shared" si="32"/>
        <v>0</v>
      </c>
      <c r="V379" s="126">
        <f t="shared" si="33"/>
        <v>0</v>
      </c>
      <c r="W379" s="92">
        <f t="shared" si="34"/>
        <v>0</v>
      </c>
      <c r="Y379" s="210"/>
    </row>
    <row r="380" spans="1:25" ht="14.4" customHeight="1" thickBot="1" x14ac:dyDescent="0.3">
      <c r="A380" s="149"/>
      <c r="J380" s="130">
        <v>1</v>
      </c>
      <c r="K380" s="132">
        <f t="shared" si="30"/>
        <v>0</v>
      </c>
      <c r="M380" s="132">
        <v>1</v>
      </c>
      <c r="N380" s="132">
        <f t="shared" si="31"/>
        <v>0</v>
      </c>
      <c r="P380" s="132">
        <v>1</v>
      </c>
      <c r="Q380" s="132">
        <f t="shared" si="35"/>
        <v>0</v>
      </c>
      <c r="S380" s="132">
        <v>1</v>
      </c>
      <c r="T380" s="132">
        <f t="shared" si="32"/>
        <v>0</v>
      </c>
      <c r="V380" s="126">
        <f t="shared" si="33"/>
        <v>0</v>
      </c>
      <c r="W380" s="92">
        <f t="shared" si="34"/>
        <v>0</v>
      </c>
      <c r="Y380" s="210"/>
    </row>
    <row r="381" spans="1:25" ht="14.4" customHeight="1" thickBot="1" x14ac:dyDescent="0.3">
      <c r="A381" s="149"/>
      <c r="J381" s="130">
        <v>1</v>
      </c>
      <c r="K381" s="132">
        <f t="shared" si="30"/>
        <v>0</v>
      </c>
      <c r="M381" s="132">
        <v>1</v>
      </c>
      <c r="N381" s="132">
        <f t="shared" si="31"/>
        <v>0</v>
      </c>
      <c r="P381" s="132">
        <v>1</v>
      </c>
      <c r="Q381" s="132">
        <f t="shared" si="35"/>
        <v>0</v>
      </c>
      <c r="S381" s="132">
        <v>1</v>
      </c>
      <c r="T381" s="132">
        <f t="shared" si="32"/>
        <v>0</v>
      </c>
      <c r="V381" s="126">
        <f t="shared" si="33"/>
        <v>0</v>
      </c>
      <c r="W381" s="92">
        <f t="shared" si="34"/>
        <v>0</v>
      </c>
      <c r="Y381" s="210"/>
    </row>
    <row r="382" spans="1:25" ht="14.4" customHeight="1" thickBot="1" x14ac:dyDescent="0.3">
      <c r="A382" s="149"/>
      <c r="J382" s="130">
        <v>1</v>
      </c>
      <c r="K382" s="132">
        <f t="shared" si="30"/>
        <v>0</v>
      </c>
      <c r="M382" s="132">
        <v>1</v>
      </c>
      <c r="N382" s="132">
        <f t="shared" si="31"/>
        <v>0</v>
      </c>
      <c r="P382" s="132">
        <v>1</v>
      </c>
      <c r="Q382" s="132">
        <f t="shared" si="35"/>
        <v>0</v>
      </c>
      <c r="S382" s="132">
        <v>1</v>
      </c>
      <c r="T382" s="132">
        <f t="shared" si="32"/>
        <v>0</v>
      </c>
      <c r="V382" s="126">
        <f t="shared" si="33"/>
        <v>0</v>
      </c>
      <c r="W382" s="92">
        <f t="shared" si="34"/>
        <v>0</v>
      </c>
      <c r="Y382" s="210"/>
    </row>
    <row r="383" spans="1:25" ht="14.4" customHeight="1" thickBot="1" x14ac:dyDescent="0.3">
      <c r="A383" s="149"/>
      <c r="J383" s="130">
        <v>1</v>
      </c>
      <c r="K383" s="132">
        <f t="shared" si="30"/>
        <v>0</v>
      </c>
      <c r="M383" s="132">
        <v>1</v>
      </c>
      <c r="N383" s="132">
        <f t="shared" si="31"/>
        <v>0</v>
      </c>
      <c r="P383" s="132">
        <v>1</v>
      </c>
      <c r="Q383" s="132">
        <f t="shared" si="35"/>
        <v>0</v>
      </c>
      <c r="S383" s="132">
        <v>1</v>
      </c>
      <c r="T383" s="132">
        <f t="shared" si="32"/>
        <v>0</v>
      </c>
      <c r="V383" s="126">
        <f t="shared" si="33"/>
        <v>0</v>
      </c>
      <c r="W383" s="92">
        <f t="shared" si="34"/>
        <v>0</v>
      </c>
      <c r="Y383" s="210"/>
    </row>
    <row r="384" spans="1:25" ht="14.4" customHeight="1" thickBot="1" x14ac:dyDescent="0.3">
      <c r="A384" s="149"/>
      <c r="J384" s="130">
        <v>1</v>
      </c>
      <c r="K384" s="132">
        <f t="shared" si="30"/>
        <v>0</v>
      </c>
      <c r="M384" s="132">
        <v>1</v>
      </c>
      <c r="N384" s="132">
        <f t="shared" si="31"/>
        <v>0</v>
      </c>
      <c r="P384" s="132">
        <v>1</v>
      </c>
      <c r="Q384" s="132">
        <f t="shared" si="35"/>
        <v>0</v>
      </c>
      <c r="S384" s="132">
        <v>1</v>
      </c>
      <c r="T384" s="132">
        <f t="shared" si="32"/>
        <v>0</v>
      </c>
      <c r="V384" s="126">
        <f t="shared" si="33"/>
        <v>0</v>
      </c>
      <c r="W384" s="92">
        <f t="shared" si="34"/>
        <v>0</v>
      </c>
      <c r="Y384" s="210"/>
    </row>
    <row r="385" spans="1:25" ht="14.4" customHeight="1" thickBot="1" x14ac:dyDescent="0.3">
      <c r="A385" s="149"/>
      <c r="J385" s="130">
        <v>1</v>
      </c>
      <c r="K385" s="132">
        <f t="shared" si="30"/>
        <v>0</v>
      </c>
      <c r="M385" s="132">
        <v>1</v>
      </c>
      <c r="N385" s="132">
        <f t="shared" si="31"/>
        <v>0</v>
      </c>
      <c r="P385" s="132">
        <v>1</v>
      </c>
      <c r="Q385" s="132">
        <f t="shared" si="35"/>
        <v>0</v>
      </c>
      <c r="S385" s="132">
        <v>1</v>
      </c>
      <c r="T385" s="132">
        <f t="shared" si="32"/>
        <v>0</v>
      </c>
      <c r="V385" s="126">
        <f t="shared" si="33"/>
        <v>0</v>
      </c>
      <c r="W385" s="92">
        <f t="shared" si="34"/>
        <v>0</v>
      </c>
      <c r="Y385" s="210"/>
    </row>
    <row r="386" spans="1:25" ht="14.4" customHeight="1" thickBot="1" x14ac:dyDescent="0.3">
      <c r="A386" s="149"/>
      <c r="J386" s="130">
        <v>1</v>
      </c>
      <c r="K386" s="132">
        <f t="shared" ref="K386:K449" si="36">I386/J386</f>
        <v>0</v>
      </c>
      <c r="M386" s="132">
        <v>1</v>
      </c>
      <c r="N386" s="132">
        <f t="shared" ref="N386:N449" si="37">L386/M386</f>
        <v>0</v>
      </c>
      <c r="P386" s="132">
        <v>1</v>
      </c>
      <c r="Q386" s="132">
        <f t="shared" si="35"/>
        <v>0</v>
      </c>
      <c r="S386" s="132">
        <v>1</v>
      </c>
      <c r="T386" s="132">
        <f t="shared" ref="T386:T449" si="38">R386/S386</f>
        <v>0</v>
      </c>
      <c r="V386" s="126">
        <f t="shared" ref="V386:V449" si="39">D386+E386-G386-I386/J386-L386/M386-O386/P386-R386/S386</f>
        <v>0</v>
      </c>
      <c r="W386" s="92">
        <f t="shared" ref="W386:W449" si="40">G386+I386/J386+L386/M386+O386/P386+R386/S386</f>
        <v>0</v>
      </c>
      <c r="Y386" s="210"/>
    </row>
    <row r="387" spans="1:25" ht="14.4" customHeight="1" thickBot="1" x14ac:dyDescent="0.3">
      <c r="A387" s="149"/>
      <c r="J387" s="130">
        <v>1</v>
      </c>
      <c r="K387" s="132">
        <f t="shared" si="36"/>
        <v>0</v>
      </c>
      <c r="M387" s="132">
        <v>1</v>
      </c>
      <c r="N387" s="132">
        <f t="shared" si="37"/>
        <v>0</v>
      </c>
      <c r="P387" s="132">
        <v>1</v>
      </c>
      <c r="Q387" s="132">
        <f t="shared" ref="Q387:Q450" si="41">O387/P387</f>
        <v>0</v>
      </c>
      <c r="S387" s="132">
        <v>1</v>
      </c>
      <c r="T387" s="132">
        <f t="shared" si="38"/>
        <v>0</v>
      </c>
      <c r="V387" s="126">
        <f t="shared" si="39"/>
        <v>0</v>
      </c>
      <c r="W387" s="92">
        <f t="shared" si="40"/>
        <v>0</v>
      </c>
      <c r="Y387" s="210"/>
    </row>
    <row r="388" spans="1:25" ht="14.4" customHeight="1" thickBot="1" x14ac:dyDescent="0.3">
      <c r="A388" s="149"/>
      <c r="J388" s="130">
        <v>1</v>
      </c>
      <c r="K388" s="132">
        <f t="shared" si="36"/>
        <v>0</v>
      </c>
      <c r="M388" s="132">
        <v>1</v>
      </c>
      <c r="N388" s="132">
        <f t="shared" si="37"/>
        <v>0</v>
      </c>
      <c r="P388" s="132">
        <v>1</v>
      </c>
      <c r="Q388" s="132">
        <f t="shared" si="41"/>
        <v>0</v>
      </c>
      <c r="S388" s="132">
        <v>1</v>
      </c>
      <c r="T388" s="132">
        <f t="shared" si="38"/>
        <v>0</v>
      </c>
      <c r="V388" s="126">
        <f t="shared" si="39"/>
        <v>0</v>
      </c>
      <c r="W388" s="92">
        <f t="shared" si="40"/>
        <v>0</v>
      </c>
      <c r="Y388" s="210"/>
    </row>
    <row r="389" spans="1:25" ht="14.4" customHeight="1" thickBot="1" x14ac:dyDescent="0.3">
      <c r="A389" s="149"/>
      <c r="J389" s="130">
        <v>1</v>
      </c>
      <c r="K389" s="132">
        <f t="shared" si="36"/>
        <v>0</v>
      </c>
      <c r="M389" s="132">
        <v>1</v>
      </c>
      <c r="N389" s="132">
        <f t="shared" si="37"/>
        <v>0</v>
      </c>
      <c r="P389" s="132">
        <v>1</v>
      </c>
      <c r="Q389" s="132">
        <f t="shared" si="41"/>
        <v>0</v>
      </c>
      <c r="S389" s="132">
        <v>1</v>
      </c>
      <c r="T389" s="132">
        <f t="shared" si="38"/>
        <v>0</v>
      </c>
      <c r="V389" s="126">
        <f t="shared" si="39"/>
        <v>0</v>
      </c>
      <c r="W389" s="92">
        <f t="shared" si="40"/>
        <v>0</v>
      </c>
      <c r="Y389" s="210"/>
    </row>
    <row r="390" spans="1:25" ht="14.4" customHeight="1" thickBot="1" x14ac:dyDescent="0.3">
      <c r="A390" s="149"/>
      <c r="J390" s="130">
        <v>1</v>
      </c>
      <c r="K390" s="132">
        <f t="shared" si="36"/>
        <v>0</v>
      </c>
      <c r="M390" s="132">
        <v>1</v>
      </c>
      <c r="N390" s="132">
        <f t="shared" si="37"/>
        <v>0</v>
      </c>
      <c r="P390" s="132">
        <v>1</v>
      </c>
      <c r="Q390" s="132">
        <f t="shared" si="41"/>
        <v>0</v>
      </c>
      <c r="S390" s="132">
        <v>1</v>
      </c>
      <c r="T390" s="132">
        <f t="shared" si="38"/>
        <v>0</v>
      </c>
      <c r="V390" s="126">
        <f t="shared" si="39"/>
        <v>0</v>
      </c>
      <c r="W390" s="92">
        <f t="shared" si="40"/>
        <v>0</v>
      </c>
      <c r="Y390" s="210"/>
    </row>
    <row r="391" spans="1:25" ht="14.4" customHeight="1" thickBot="1" x14ac:dyDescent="0.3">
      <c r="A391" s="149"/>
      <c r="J391" s="130">
        <v>1</v>
      </c>
      <c r="K391" s="132">
        <f t="shared" si="36"/>
        <v>0</v>
      </c>
      <c r="M391" s="132">
        <v>1</v>
      </c>
      <c r="N391" s="132">
        <f t="shared" si="37"/>
        <v>0</v>
      </c>
      <c r="P391" s="132">
        <v>1</v>
      </c>
      <c r="Q391" s="132">
        <f t="shared" si="41"/>
        <v>0</v>
      </c>
      <c r="S391" s="132">
        <v>1</v>
      </c>
      <c r="T391" s="132">
        <f t="shared" si="38"/>
        <v>0</v>
      </c>
      <c r="V391" s="126">
        <f t="shared" si="39"/>
        <v>0</v>
      </c>
      <c r="W391" s="92">
        <f t="shared" si="40"/>
        <v>0</v>
      </c>
      <c r="Y391" s="210"/>
    </row>
    <row r="392" spans="1:25" ht="14.4" customHeight="1" thickBot="1" x14ac:dyDescent="0.3">
      <c r="A392" s="149"/>
      <c r="J392" s="130">
        <v>1</v>
      </c>
      <c r="K392" s="132">
        <f t="shared" si="36"/>
        <v>0</v>
      </c>
      <c r="M392" s="132">
        <v>1</v>
      </c>
      <c r="N392" s="132">
        <f t="shared" si="37"/>
        <v>0</v>
      </c>
      <c r="P392" s="132">
        <v>1</v>
      </c>
      <c r="Q392" s="132">
        <f t="shared" si="41"/>
        <v>0</v>
      </c>
      <c r="S392" s="132">
        <v>1</v>
      </c>
      <c r="T392" s="132">
        <f t="shared" si="38"/>
        <v>0</v>
      </c>
      <c r="V392" s="126">
        <f t="shared" si="39"/>
        <v>0</v>
      </c>
      <c r="W392" s="92">
        <f t="shared" si="40"/>
        <v>0</v>
      </c>
      <c r="Y392" s="210"/>
    </row>
    <row r="393" spans="1:25" ht="14.4" customHeight="1" thickBot="1" x14ac:dyDescent="0.3">
      <c r="A393" s="149"/>
      <c r="J393" s="130">
        <v>1</v>
      </c>
      <c r="K393" s="132">
        <f t="shared" si="36"/>
        <v>0</v>
      </c>
      <c r="M393" s="132">
        <v>1</v>
      </c>
      <c r="N393" s="132">
        <f t="shared" si="37"/>
        <v>0</v>
      </c>
      <c r="P393" s="132">
        <v>1</v>
      </c>
      <c r="Q393" s="132">
        <f t="shared" si="41"/>
        <v>0</v>
      </c>
      <c r="S393" s="132">
        <v>1</v>
      </c>
      <c r="T393" s="132">
        <f t="shared" si="38"/>
        <v>0</v>
      </c>
      <c r="V393" s="126">
        <f t="shared" si="39"/>
        <v>0</v>
      </c>
      <c r="W393" s="92">
        <f t="shared" si="40"/>
        <v>0</v>
      </c>
      <c r="Y393" s="210"/>
    </row>
    <row r="394" spans="1:25" ht="14.4" customHeight="1" thickBot="1" x14ac:dyDescent="0.3">
      <c r="A394" s="149"/>
      <c r="J394" s="130">
        <v>1</v>
      </c>
      <c r="K394" s="132">
        <f t="shared" si="36"/>
        <v>0</v>
      </c>
      <c r="M394" s="132">
        <v>1</v>
      </c>
      <c r="N394" s="132">
        <f t="shared" si="37"/>
        <v>0</v>
      </c>
      <c r="P394" s="132">
        <v>1</v>
      </c>
      <c r="Q394" s="132">
        <f t="shared" si="41"/>
        <v>0</v>
      </c>
      <c r="S394" s="132">
        <v>1</v>
      </c>
      <c r="T394" s="132">
        <f t="shared" si="38"/>
        <v>0</v>
      </c>
      <c r="V394" s="126">
        <f t="shared" si="39"/>
        <v>0</v>
      </c>
      <c r="W394" s="92">
        <f t="shared" si="40"/>
        <v>0</v>
      </c>
      <c r="Y394" s="210"/>
    </row>
    <row r="395" spans="1:25" ht="14.4" customHeight="1" thickBot="1" x14ac:dyDescent="0.3">
      <c r="A395" s="149"/>
      <c r="J395" s="130">
        <v>1</v>
      </c>
      <c r="K395" s="132">
        <f t="shared" si="36"/>
        <v>0</v>
      </c>
      <c r="M395" s="132">
        <v>1</v>
      </c>
      <c r="N395" s="132">
        <f t="shared" si="37"/>
        <v>0</v>
      </c>
      <c r="P395" s="132">
        <v>1</v>
      </c>
      <c r="Q395" s="132">
        <f t="shared" si="41"/>
        <v>0</v>
      </c>
      <c r="S395" s="132">
        <v>1</v>
      </c>
      <c r="T395" s="132">
        <f t="shared" si="38"/>
        <v>0</v>
      </c>
      <c r="V395" s="126">
        <f t="shared" si="39"/>
        <v>0</v>
      </c>
      <c r="W395" s="92">
        <f t="shared" si="40"/>
        <v>0</v>
      </c>
      <c r="Y395" s="210"/>
    </row>
    <row r="396" spans="1:25" ht="14.4" customHeight="1" thickBot="1" x14ac:dyDescent="0.3">
      <c r="A396" s="149"/>
      <c r="J396" s="130">
        <v>1</v>
      </c>
      <c r="K396" s="132">
        <f t="shared" si="36"/>
        <v>0</v>
      </c>
      <c r="M396" s="132">
        <v>1</v>
      </c>
      <c r="N396" s="132">
        <f t="shared" si="37"/>
        <v>0</v>
      </c>
      <c r="P396" s="132">
        <v>1</v>
      </c>
      <c r="Q396" s="132">
        <f t="shared" si="41"/>
        <v>0</v>
      </c>
      <c r="S396" s="132">
        <v>1</v>
      </c>
      <c r="T396" s="132">
        <f t="shared" si="38"/>
        <v>0</v>
      </c>
      <c r="V396" s="126">
        <f t="shared" si="39"/>
        <v>0</v>
      </c>
      <c r="W396" s="92">
        <f t="shared" si="40"/>
        <v>0</v>
      </c>
      <c r="Y396" s="210"/>
    </row>
    <row r="397" spans="1:25" ht="14.4" customHeight="1" thickBot="1" x14ac:dyDescent="0.3">
      <c r="A397" s="149"/>
      <c r="J397" s="130">
        <v>1</v>
      </c>
      <c r="K397" s="132">
        <f t="shared" si="36"/>
        <v>0</v>
      </c>
      <c r="M397" s="132">
        <v>1</v>
      </c>
      <c r="N397" s="132">
        <f t="shared" si="37"/>
        <v>0</v>
      </c>
      <c r="P397" s="132">
        <v>1</v>
      </c>
      <c r="Q397" s="132">
        <f t="shared" si="41"/>
        <v>0</v>
      </c>
      <c r="S397" s="132">
        <v>1</v>
      </c>
      <c r="T397" s="132">
        <f t="shared" si="38"/>
        <v>0</v>
      </c>
      <c r="V397" s="126">
        <f t="shared" si="39"/>
        <v>0</v>
      </c>
      <c r="W397" s="92">
        <f t="shared" si="40"/>
        <v>0</v>
      </c>
      <c r="Y397" s="210"/>
    </row>
    <row r="398" spans="1:25" ht="14.4" customHeight="1" thickBot="1" x14ac:dyDescent="0.3">
      <c r="A398" s="149"/>
      <c r="J398" s="130">
        <v>1</v>
      </c>
      <c r="K398" s="132">
        <f t="shared" si="36"/>
        <v>0</v>
      </c>
      <c r="M398" s="132">
        <v>1</v>
      </c>
      <c r="N398" s="132">
        <f t="shared" si="37"/>
        <v>0</v>
      </c>
      <c r="P398" s="132">
        <v>1</v>
      </c>
      <c r="Q398" s="132">
        <f t="shared" si="41"/>
        <v>0</v>
      </c>
      <c r="S398" s="132">
        <v>1</v>
      </c>
      <c r="T398" s="132">
        <f t="shared" si="38"/>
        <v>0</v>
      </c>
      <c r="V398" s="126">
        <f t="shared" si="39"/>
        <v>0</v>
      </c>
      <c r="W398" s="92">
        <f t="shared" si="40"/>
        <v>0</v>
      </c>
      <c r="Y398" s="210"/>
    </row>
    <row r="399" spans="1:25" ht="14.4" customHeight="1" thickBot="1" x14ac:dyDescent="0.3">
      <c r="A399" s="149"/>
      <c r="J399" s="130">
        <v>1</v>
      </c>
      <c r="K399" s="132">
        <f t="shared" si="36"/>
        <v>0</v>
      </c>
      <c r="M399" s="132">
        <v>1</v>
      </c>
      <c r="N399" s="132">
        <f t="shared" si="37"/>
        <v>0</v>
      </c>
      <c r="P399" s="132">
        <v>1</v>
      </c>
      <c r="Q399" s="132">
        <f t="shared" si="41"/>
        <v>0</v>
      </c>
      <c r="S399" s="132">
        <v>1</v>
      </c>
      <c r="T399" s="132">
        <f t="shared" si="38"/>
        <v>0</v>
      </c>
      <c r="V399" s="126">
        <f t="shared" si="39"/>
        <v>0</v>
      </c>
      <c r="W399" s="92">
        <f t="shared" si="40"/>
        <v>0</v>
      </c>
      <c r="Y399" s="210"/>
    </row>
    <row r="400" spans="1:25" ht="14.4" customHeight="1" thickBot="1" x14ac:dyDescent="0.3">
      <c r="A400" s="149"/>
      <c r="J400" s="130">
        <v>1</v>
      </c>
      <c r="K400" s="132">
        <f t="shared" si="36"/>
        <v>0</v>
      </c>
      <c r="M400" s="132">
        <v>1</v>
      </c>
      <c r="N400" s="132">
        <f t="shared" si="37"/>
        <v>0</v>
      </c>
      <c r="P400" s="132">
        <v>1</v>
      </c>
      <c r="Q400" s="132">
        <f t="shared" si="41"/>
        <v>0</v>
      </c>
      <c r="S400" s="132">
        <v>1</v>
      </c>
      <c r="T400" s="132">
        <f t="shared" si="38"/>
        <v>0</v>
      </c>
      <c r="V400" s="126">
        <f t="shared" si="39"/>
        <v>0</v>
      </c>
      <c r="W400" s="92">
        <f t="shared" si="40"/>
        <v>0</v>
      </c>
      <c r="Y400" s="210"/>
    </row>
    <row r="401" spans="1:25" ht="14.4" customHeight="1" thickBot="1" x14ac:dyDescent="0.3">
      <c r="A401" s="149"/>
      <c r="J401" s="130">
        <v>1</v>
      </c>
      <c r="K401" s="132">
        <f t="shared" si="36"/>
        <v>0</v>
      </c>
      <c r="M401" s="132">
        <v>1</v>
      </c>
      <c r="N401" s="132">
        <f t="shared" si="37"/>
        <v>0</v>
      </c>
      <c r="P401" s="132">
        <v>1</v>
      </c>
      <c r="Q401" s="132">
        <f t="shared" si="41"/>
        <v>0</v>
      </c>
      <c r="S401" s="132">
        <v>1</v>
      </c>
      <c r="T401" s="132">
        <f t="shared" si="38"/>
        <v>0</v>
      </c>
      <c r="V401" s="126">
        <f t="shared" si="39"/>
        <v>0</v>
      </c>
      <c r="W401" s="92">
        <f t="shared" si="40"/>
        <v>0</v>
      </c>
      <c r="Y401" s="210"/>
    </row>
    <row r="402" spans="1:25" ht="14.4" customHeight="1" thickBot="1" x14ac:dyDescent="0.3">
      <c r="A402" s="149"/>
      <c r="J402" s="130">
        <v>1</v>
      </c>
      <c r="K402" s="132">
        <f t="shared" si="36"/>
        <v>0</v>
      </c>
      <c r="M402" s="132">
        <v>1</v>
      </c>
      <c r="N402" s="132">
        <f t="shared" si="37"/>
        <v>0</v>
      </c>
      <c r="P402" s="132">
        <v>1</v>
      </c>
      <c r="Q402" s="132">
        <f t="shared" si="41"/>
        <v>0</v>
      </c>
      <c r="S402" s="132">
        <v>1</v>
      </c>
      <c r="T402" s="132">
        <f t="shared" si="38"/>
        <v>0</v>
      </c>
      <c r="V402" s="126">
        <f t="shared" si="39"/>
        <v>0</v>
      </c>
      <c r="W402" s="92">
        <f t="shared" si="40"/>
        <v>0</v>
      </c>
      <c r="Y402" s="210"/>
    </row>
    <row r="403" spans="1:25" ht="14.4" customHeight="1" thickBot="1" x14ac:dyDescent="0.3">
      <c r="A403" s="149"/>
      <c r="J403" s="130">
        <v>1</v>
      </c>
      <c r="K403" s="132">
        <f t="shared" si="36"/>
        <v>0</v>
      </c>
      <c r="M403" s="132">
        <v>1</v>
      </c>
      <c r="N403" s="132">
        <f t="shared" si="37"/>
        <v>0</v>
      </c>
      <c r="P403" s="132">
        <v>1</v>
      </c>
      <c r="Q403" s="132">
        <f t="shared" si="41"/>
        <v>0</v>
      </c>
      <c r="S403" s="132">
        <v>1</v>
      </c>
      <c r="T403" s="132">
        <f t="shared" si="38"/>
        <v>0</v>
      </c>
      <c r="V403" s="126">
        <f t="shared" si="39"/>
        <v>0</v>
      </c>
      <c r="W403" s="92">
        <f t="shared" si="40"/>
        <v>0</v>
      </c>
      <c r="Y403" s="210"/>
    </row>
    <row r="404" spans="1:25" ht="14.4" customHeight="1" thickBot="1" x14ac:dyDescent="0.3">
      <c r="A404" s="149"/>
      <c r="J404" s="130">
        <v>1</v>
      </c>
      <c r="K404" s="132">
        <f t="shared" si="36"/>
        <v>0</v>
      </c>
      <c r="M404" s="132">
        <v>1</v>
      </c>
      <c r="N404" s="132">
        <f t="shared" si="37"/>
        <v>0</v>
      </c>
      <c r="P404" s="132">
        <v>1</v>
      </c>
      <c r="Q404" s="132">
        <f t="shared" si="41"/>
        <v>0</v>
      </c>
      <c r="S404" s="132">
        <v>1</v>
      </c>
      <c r="T404" s="132">
        <f t="shared" si="38"/>
        <v>0</v>
      </c>
      <c r="V404" s="126">
        <f t="shared" si="39"/>
        <v>0</v>
      </c>
      <c r="W404" s="92">
        <f t="shared" si="40"/>
        <v>0</v>
      </c>
      <c r="Y404" s="210"/>
    </row>
    <row r="405" spans="1:25" ht="14.4" customHeight="1" thickBot="1" x14ac:dyDescent="0.3">
      <c r="A405" s="149"/>
      <c r="J405" s="130">
        <v>1</v>
      </c>
      <c r="K405" s="132">
        <f t="shared" si="36"/>
        <v>0</v>
      </c>
      <c r="M405" s="132">
        <v>1</v>
      </c>
      <c r="N405" s="132">
        <f t="shared" si="37"/>
        <v>0</v>
      </c>
      <c r="P405" s="132">
        <v>1</v>
      </c>
      <c r="Q405" s="132">
        <f t="shared" si="41"/>
        <v>0</v>
      </c>
      <c r="S405" s="132">
        <v>1</v>
      </c>
      <c r="T405" s="132">
        <f t="shared" si="38"/>
        <v>0</v>
      </c>
      <c r="V405" s="126">
        <f t="shared" si="39"/>
        <v>0</v>
      </c>
      <c r="W405" s="92">
        <f t="shared" si="40"/>
        <v>0</v>
      </c>
      <c r="Y405" s="210"/>
    </row>
    <row r="406" spans="1:25" ht="14.4" customHeight="1" thickBot="1" x14ac:dyDescent="0.3">
      <c r="A406" s="149"/>
      <c r="J406" s="130">
        <v>1</v>
      </c>
      <c r="K406" s="132">
        <f t="shared" si="36"/>
        <v>0</v>
      </c>
      <c r="M406" s="132">
        <v>1</v>
      </c>
      <c r="N406" s="132">
        <f t="shared" si="37"/>
        <v>0</v>
      </c>
      <c r="P406" s="132">
        <v>1</v>
      </c>
      <c r="Q406" s="132">
        <f t="shared" si="41"/>
        <v>0</v>
      </c>
      <c r="S406" s="132">
        <v>1</v>
      </c>
      <c r="T406" s="132">
        <f t="shared" si="38"/>
        <v>0</v>
      </c>
      <c r="V406" s="126">
        <f t="shared" si="39"/>
        <v>0</v>
      </c>
      <c r="W406" s="92">
        <f t="shared" si="40"/>
        <v>0</v>
      </c>
      <c r="Y406" s="210"/>
    </row>
    <row r="407" spans="1:25" ht="14.4" customHeight="1" thickBot="1" x14ac:dyDescent="0.3">
      <c r="A407" s="149"/>
      <c r="J407" s="130">
        <v>1</v>
      </c>
      <c r="K407" s="132">
        <f t="shared" si="36"/>
        <v>0</v>
      </c>
      <c r="M407" s="132">
        <v>1</v>
      </c>
      <c r="N407" s="132">
        <f t="shared" si="37"/>
        <v>0</v>
      </c>
      <c r="P407" s="132">
        <v>1</v>
      </c>
      <c r="Q407" s="132">
        <f t="shared" si="41"/>
        <v>0</v>
      </c>
      <c r="S407" s="132">
        <v>1</v>
      </c>
      <c r="T407" s="132">
        <f t="shared" si="38"/>
        <v>0</v>
      </c>
      <c r="V407" s="126">
        <f t="shared" si="39"/>
        <v>0</v>
      </c>
      <c r="W407" s="92">
        <f t="shared" si="40"/>
        <v>0</v>
      </c>
      <c r="Y407" s="210"/>
    </row>
    <row r="408" spans="1:25" ht="14.4" customHeight="1" thickBot="1" x14ac:dyDescent="0.3">
      <c r="A408" s="149"/>
      <c r="J408" s="130">
        <v>1</v>
      </c>
      <c r="K408" s="132">
        <f t="shared" si="36"/>
        <v>0</v>
      </c>
      <c r="M408" s="132">
        <v>1</v>
      </c>
      <c r="N408" s="132">
        <f t="shared" si="37"/>
        <v>0</v>
      </c>
      <c r="P408" s="132">
        <v>1</v>
      </c>
      <c r="Q408" s="132">
        <f t="shared" si="41"/>
        <v>0</v>
      </c>
      <c r="S408" s="132">
        <v>1</v>
      </c>
      <c r="T408" s="132">
        <f t="shared" si="38"/>
        <v>0</v>
      </c>
      <c r="V408" s="126">
        <f t="shared" si="39"/>
        <v>0</v>
      </c>
      <c r="W408" s="92">
        <f t="shared" si="40"/>
        <v>0</v>
      </c>
      <c r="Y408" s="210"/>
    </row>
    <row r="409" spans="1:25" ht="14.4" customHeight="1" thickBot="1" x14ac:dyDescent="0.3">
      <c r="A409" s="149"/>
      <c r="J409" s="130">
        <v>1</v>
      </c>
      <c r="K409" s="132">
        <f t="shared" si="36"/>
        <v>0</v>
      </c>
      <c r="M409" s="132">
        <v>1</v>
      </c>
      <c r="N409" s="132">
        <f t="shared" si="37"/>
        <v>0</v>
      </c>
      <c r="P409" s="132">
        <v>1</v>
      </c>
      <c r="Q409" s="132">
        <f t="shared" si="41"/>
        <v>0</v>
      </c>
      <c r="S409" s="132">
        <v>1</v>
      </c>
      <c r="T409" s="132">
        <f t="shared" si="38"/>
        <v>0</v>
      </c>
      <c r="V409" s="126">
        <f t="shared" si="39"/>
        <v>0</v>
      </c>
      <c r="W409" s="92">
        <f t="shared" si="40"/>
        <v>0</v>
      </c>
      <c r="Y409" s="210"/>
    </row>
    <row r="410" spans="1:25" ht="14.4" customHeight="1" thickBot="1" x14ac:dyDescent="0.3">
      <c r="A410" s="149"/>
      <c r="J410" s="130">
        <v>1</v>
      </c>
      <c r="K410" s="132">
        <f t="shared" si="36"/>
        <v>0</v>
      </c>
      <c r="M410" s="132">
        <v>1</v>
      </c>
      <c r="N410" s="132">
        <f t="shared" si="37"/>
        <v>0</v>
      </c>
      <c r="P410" s="132">
        <v>1</v>
      </c>
      <c r="Q410" s="132">
        <f t="shared" si="41"/>
        <v>0</v>
      </c>
      <c r="S410" s="132">
        <v>1</v>
      </c>
      <c r="T410" s="132">
        <f t="shared" si="38"/>
        <v>0</v>
      </c>
      <c r="V410" s="126">
        <f t="shared" si="39"/>
        <v>0</v>
      </c>
      <c r="W410" s="92">
        <f t="shared" si="40"/>
        <v>0</v>
      </c>
      <c r="Y410" s="210"/>
    </row>
    <row r="411" spans="1:25" ht="14.4" customHeight="1" thickBot="1" x14ac:dyDescent="0.3">
      <c r="A411" s="149"/>
      <c r="J411" s="130">
        <v>1</v>
      </c>
      <c r="K411" s="132">
        <f t="shared" si="36"/>
        <v>0</v>
      </c>
      <c r="M411" s="132">
        <v>1</v>
      </c>
      <c r="N411" s="132">
        <f t="shared" si="37"/>
        <v>0</v>
      </c>
      <c r="P411" s="132">
        <v>1</v>
      </c>
      <c r="Q411" s="132">
        <f t="shared" si="41"/>
        <v>0</v>
      </c>
      <c r="S411" s="132">
        <v>1</v>
      </c>
      <c r="T411" s="132">
        <f t="shared" si="38"/>
        <v>0</v>
      </c>
      <c r="V411" s="126">
        <f t="shared" si="39"/>
        <v>0</v>
      </c>
      <c r="W411" s="92">
        <f t="shared" si="40"/>
        <v>0</v>
      </c>
      <c r="Y411" s="210"/>
    </row>
    <row r="412" spans="1:25" ht="14.4" customHeight="1" thickBot="1" x14ac:dyDescent="0.3">
      <c r="A412" s="149"/>
      <c r="J412" s="130">
        <v>1</v>
      </c>
      <c r="K412" s="132">
        <f t="shared" si="36"/>
        <v>0</v>
      </c>
      <c r="M412" s="132">
        <v>1</v>
      </c>
      <c r="N412" s="132">
        <f t="shared" si="37"/>
        <v>0</v>
      </c>
      <c r="P412" s="132">
        <v>1</v>
      </c>
      <c r="Q412" s="132">
        <f t="shared" si="41"/>
        <v>0</v>
      </c>
      <c r="S412" s="132">
        <v>1</v>
      </c>
      <c r="T412" s="132">
        <f t="shared" si="38"/>
        <v>0</v>
      </c>
      <c r="V412" s="126">
        <f t="shared" si="39"/>
        <v>0</v>
      </c>
      <c r="W412" s="92">
        <f t="shared" si="40"/>
        <v>0</v>
      </c>
      <c r="Y412" s="210"/>
    </row>
    <row r="413" spans="1:25" ht="14.4" customHeight="1" thickBot="1" x14ac:dyDescent="0.3">
      <c r="A413" s="149"/>
      <c r="J413" s="130">
        <v>1</v>
      </c>
      <c r="K413" s="132">
        <f t="shared" si="36"/>
        <v>0</v>
      </c>
      <c r="M413" s="132">
        <v>1</v>
      </c>
      <c r="N413" s="132">
        <f t="shared" si="37"/>
        <v>0</v>
      </c>
      <c r="P413" s="132">
        <v>1</v>
      </c>
      <c r="Q413" s="132">
        <f t="shared" si="41"/>
        <v>0</v>
      </c>
      <c r="S413" s="132">
        <v>1</v>
      </c>
      <c r="T413" s="132">
        <f t="shared" si="38"/>
        <v>0</v>
      </c>
      <c r="V413" s="126">
        <f t="shared" si="39"/>
        <v>0</v>
      </c>
      <c r="W413" s="92">
        <f t="shared" si="40"/>
        <v>0</v>
      </c>
      <c r="Y413" s="210"/>
    </row>
    <row r="414" spans="1:25" ht="14.4" customHeight="1" thickBot="1" x14ac:dyDescent="0.3">
      <c r="A414" s="149"/>
      <c r="J414" s="130">
        <v>1</v>
      </c>
      <c r="K414" s="132">
        <f t="shared" si="36"/>
        <v>0</v>
      </c>
      <c r="M414" s="132">
        <v>1</v>
      </c>
      <c r="N414" s="132">
        <f t="shared" si="37"/>
        <v>0</v>
      </c>
      <c r="P414" s="132">
        <v>1</v>
      </c>
      <c r="Q414" s="132">
        <f t="shared" si="41"/>
        <v>0</v>
      </c>
      <c r="S414" s="132">
        <v>1</v>
      </c>
      <c r="T414" s="132">
        <f t="shared" si="38"/>
        <v>0</v>
      </c>
      <c r="V414" s="126">
        <f t="shared" si="39"/>
        <v>0</v>
      </c>
      <c r="W414" s="92">
        <f t="shared" si="40"/>
        <v>0</v>
      </c>
      <c r="Y414" s="210"/>
    </row>
    <row r="415" spans="1:25" ht="14.4" customHeight="1" thickBot="1" x14ac:dyDescent="0.3">
      <c r="A415" s="149"/>
      <c r="J415" s="130">
        <v>1</v>
      </c>
      <c r="K415" s="132">
        <f t="shared" si="36"/>
        <v>0</v>
      </c>
      <c r="M415" s="132">
        <v>1</v>
      </c>
      <c r="N415" s="132">
        <f t="shared" si="37"/>
        <v>0</v>
      </c>
      <c r="P415" s="132">
        <v>1</v>
      </c>
      <c r="Q415" s="132">
        <f t="shared" si="41"/>
        <v>0</v>
      </c>
      <c r="S415" s="132">
        <v>1</v>
      </c>
      <c r="T415" s="132">
        <f t="shared" si="38"/>
        <v>0</v>
      </c>
      <c r="V415" s="126">
        <f t="shared" si="39"/>
        <v>0</v>
      </c>
      <c r="W415" s="92">
        <f t="shared" si="40"/>
        <v>0</v>
      </c>
      <c r="Y415" s="210"/>
    </row>
    <row r="416" spans="1:25" ht="14.4" customHeight="1" thickBot="1" x14ac:dyDescent="0.3">
      <c r="A416" s="149"/>
      <c r="J416" s="130">
        <v>1</v>
      </c>
      <c r="K416" s="132">
        <f t="shared" si="36"/>
        <v>0</v>
      </c>
      <c r="M416" s="132">
        <v>1</v>
      </c>
      <c r="N416" s="132">
        <f t="shared" si="37"/>
        <v>0</v>
      </c>
      <c r="P416" s="132">
        <v>1</v>
      </c>
      <c r="Q416" s="132">
        <f t="shared" si="41"/>
        <v>0</v>
      </c>
      <c r="S416" s="132">
        <v>1</v>
      </c>
      <c r="T416" s="132">
        <f t="shared" si="38"/>
        <v>0</v>
      </c>
      <c r="V416" s="126">
        <f t="shared" si="39"/>
        <v>0</v>
      </c>
      <c r="W416" s="92">
        <f t="shared" si="40"/>
        <v>0</v>
      </c>
      <c r="Y416" s="210"/>
    </row>
    <row r="417" spans="1:25" ht="14.4" customHeight="1" thickBot="1" x14ac:dyDescent="0.3">
      <c r="A417" s="149"/>
      <c r="J417" s="130">
        <v>1</v>
      </c>
      <c r="K417" s="132">
        <f t="shared" si="36"/>
        <v>0</v>
      </c>
      <c r="M417" s="132">
        <v>1</v>
      </c>
      <c r="N417" s="132">
        <f t="shared" si="37"/>
        <v>0</v>
      </c>
      <c r="P417" s="132">
        <v>1</v>
      </c>
      <c r="Q417" s="132">
        <f t="shared" si="41"/>
        <v>0</v>
      </c>
      <c r="S417" s="132">
        <v>1</v>
      </c>
      <c r="T417" s="132">
        <f t="shared" si="38"/>
        <v>0</v>
      </c>
      <c r="V417" s="126">
        <f t="shared" si="39"/>
        <v>0</v>
      </c>
      <c r="W417" s="92">
        <f t="shared" si="40"/>
        <v>0</v>
      </c>
      <c r="Y417" s="210"/>
    </row>
    <row r="418" spans="1:25" ht="14.4" customHeight="1" thickBot="1" x14ac:dyDescent="0.3">
      <c r="A418" s="149"/>
      <c r="J418" s="130">
        <v>1</v>
      </c>
      <c r="K418" s="132">
        <f t="shared" si="36"/>
        <v>0</v>
      </c>
      <c r="M418" s="132">
        <v>1</v>
      </c>
      <c r="N418" s="132">
        <f t="shared" si="37"/>
        <v>0</v>
      </c>
      <c r="P418" s="132">
        <v>1</v>
      </c>
      <c r="Q418" s="132">
        <f t="shared" si="41"/>
        <v>0</v>
      </c>
      <c r="S418" s="132">
        <v>1</v>
      </c>
      <c r="T418" s="132">
        <f t="shared" si="38"/>
        <v>0</v>
      </c>
      <c r="V418" s="126">
        <f t="shared" si="39"/>
        <v>0</v>
      </c>
      <c r="W418" s="92">
        <f t="shared" si="40"/>
        <v>0</v>
      </c>
      <c r="Y418" s="210"/>
    </row>
    <row r="419" spans="1:25" ht="14.4" customHeight="1" thickBot="1" x14ac:dyDescent="0.3">
      <c r="A419" s="149"/>
      <c r="J419" s="130">
        <v>1</v>
      </c>
      <c r="K419" s="132">
        <f t="shared" si="36"/>
        <v>0</v>
      </c>
      <c r="M419" s="132">
        <v>1</v>
      </c>
      <c r="N419" s="132">
        <f t="shared" si="37"/>
        <v>0</v>
      </c>
      <c r="P419" s="132">
        <v>1</v>
      </c>
      <c r="Q419" s="132">
        <f t="shared" si="41"/>
        <v>0</v>
      </c>
      <c r="S419" s="132">
        <v>1</v>
      </c>
      <c r="T419" s="132">
        <f t="shared" si="38"/>
        <v>0</v>
      </c>
      <c r="V419" s="126">
        <f t="shared" si="39"/>
        <v>0</v>
      </c>
      <c r="W419" s="92">
        <f t="shared" si="40"/>
        <v>0</v>
      </c>
      <c r="Y419" s="210"/>
    </row>
    <row r="420" spans="1:25" ht="14.4" customHeight="1" thickBot="1" x14ac:dyDescent="0.3">
      <c r="A420" s="149"/>
      <c r="J420" s="130">
        <v>1</v>
      </c>
      <c r="K420" s="132">
        <f t="shared" si="36"/>
        <v>0</v>
      </c>
      <c r="M420" s="132">
        <v>1</v>
      </c>
      <c r="N420" s="132">
        <f t="shared" si="37"/>
        <v>0</v>
      </c>
      <c r="P420" s="132">
        <v>1</v>
      </c>
      <c r="Q420" s="132">
        <f t="shared" si="41"/>
        <v>0</v>
      </c>
      <c r="S420" s="132">
        <v>1</v>
      </c>
      <c r="T420" s="132">
        <f t="shared" si="38"/>
        <v>0</v>
      </c>
      <c r="V420" s="126">
        <f t="shared" si="39"/>
        <v>0</v>
      </c>
      <c r="W420" s="92">
        <f t="shared" si="40"/>
        <v>0</v>
      </c>
      <c r="Y420" s="210"/>
    </row>
    <row r="421" spans="1:25" ht="14.4" customHeight="1" thickBot="1" x14ac:dyDescent="0.3">
      <c r="A421" s="149"/>
      <c r="J421" s="130">
        <v>1</v>
      </c>
      <c r="K421" s="132">
        <f t="shared" si="36"/>
        <v>0</v>
      </c>
      <c r="M421" s="132">
        <v>1</v>
      </c>
      <c r="N421" s="132">
        <f t="shared" si="37"/>
        <v>0</v>
      </c>
      <c r="P421" s="132">
        <v>1</v>
      </c>
      <c r="Q421" s="132">
        <f t="shared" si="41"/>
        <v>0</v>
      </c>
      <c r="S421" s="132">
        <v>1</v>
      </c>
      <c r="T421" s="132">
        <f t="shared" si="38"/>
        <v>0</v>
      </c>
      <c r="V421" s="126">
        <f t="shared" si="39"/>
        <v>0</v>
      </c>
      <c r="W421" s="92">
        <f t="shared" si="40"/>
        <v>0</v>
      </c>
      <c r="Y421" s="210"/>
    </row>
    <row r="422" spans="1:25" ht="14.4" customHeight="1" thickBot="1" x14ac:dyDescent="0.3">
      <c r="A422" s="149"/>
      <c r="J422" s="130">
        <v>1</v>
      </c>
      <c r="K422" s="132">
        <f t="shared" si="36"/>
        <v>0</v>
      </c>
      <c r="M422" s="132">
        <v>1</v>
      </c>
      <c r="N422" s="132">
        <f t="shared" si="37"/>
        <v>0</v>
      </c>
      <c r="P422" s="132">
        <v>1</v>
      </c>
      <c r="Q422" s="132">
        <f t="shared" si="41"/>
        <v>0</v>
      </c>
      <c r="S422" s="132">
        <v>1</v>
      </c>
      <c r="T422" s="132">
        <f t="shared" si="38"/>
        <v>0</v>
      </c>
      <c r="V422" s="126">
        <f t="shared" si="39"/>
        <v>0</v>
      </c>
      <c r="W422" s="92">
        <f t="shared" si="40"/>
        <v>0</v>
      </c>
      <c r="Y422" s="210"/>
    </row>
    <row r="423" spans="1:25" ht="14.4" customHeight="1" thickBot="1" x14ac:dyDescent="0.3">
      <c r="A423" s="149"/>
      <c r="J423" s="130">
        <v>1</v>
      </c>
      <c r="K423" s="132">
        <f t="shared" si="36"/>
        <v>0</v>
      </c>
      <c r="M423" s="132">
        <v>1</v>
      </c>
      <c r="N423" s="132">
        <f t="shared" si="37"/>
        <v>0</v>
      </c>
      <c r="P423" s="132">
        <v>1</v>
      </c>
      <c r="Q423" s="132">
        <f t="shared" si="41"/>
        <v>0</v>
      </c>
      <c r="S423" s="132">
        <v>1</v>
      </c>
      <c r="T423" s="132">
        <f t="shared" si="38"/>
        <v>0</v>
      </c>
      <c r="V423" s="126">
        <f t="shared" si="39"/>
        <v>0</v>
      </c>
      <c r="W423" s="92">
        <f t="shared" si="40"/>
        <v>0</v>
      </c>
      <c r="Y423" s="210"/>
    </row>
    <row r="424" spans="1:25" ht="14.4" customHeight="1" thickBot="1" x14ac:dyDescent="0.3">
      <c r="A424" s="149"/>
      <c r="J424" s="130">
        <v>1</v>
      </c>
      <c r="K424" s="132">
        <f t="shared" si="36"/>
        <v>0</v>
      </c>
      <c r="M424" s="132">
        <v>1</v>
      </c>
      <c r="N424" s="132">
        <f t="shared" si="37"/>
        <v>0</v>
      </c>
      <c r="P424" s="132">
        <v>1</v>
      </c>
      <c r="Q424" s="132">
        <f t="shared" si="41"/>
        <v>0</v>
      </c>
      <c r="S424" s="132">
        <v>1</v>
      </c>
      <c r="T424" s="132">
        <f t="shared" si="38"/>
        <v>0</v>
      </c>
      <c r="V424" s="126">
        <f t="shared" si="39"/>
        <v>0</v>
      </c>
      <c r="W424" s="92">
        <f t="shared" si="40"/>
        <v>0</v>
      </c>
      <c r="Y424" s="210"/>
    </row>
    <row r="425" spans="1:25" ht="14.4" customHeight="1" thickBot="1" x14ac:dyDescent="0.3">
      <c r="A425" s="149"/>
      <c r="J425" s="130">
        <v>1</v>
      </c>
      <c r="K425" s="132">
        <f t="shared" si="36"/>
        <v>0</v>
      </c>
      <c r="M425" s="132">
        <v>1</v>
      </c>
      <c r="N425" s="132">
        <f t="shared" si="37"/>
        <v>0</v>
      </c>
      <c r="P425" s="132">
        <v>1</v>
      </c>
      <c r="Q425" s="132">
        <f t="shared" si="41"/>
        <v>0</v>
      </c>
      <c r="S425" s="132">
        <v>1</v>
      </c>
      <c r="T425" s="132">
        <f t="shared" si="38"/>
        <v>0</v>
      </c>
      <c r="V425" s="126">
        <f t="shared" si="39"/>
        <v>0</v>
      </c>
      <c r="W425" s="92">
        <f t="shared" si="40"/>
        <v>0</v>
      </c>
      <c r="Y425" s="210"/>
    </row>
    <row r="426" spans="1:25" ht="14.4" customHeight="1" thickBot="1" x14ac:dyDescent="0.3">
      <c r="A426" s="149"/>
      <c r="J426" s="130">
        <v>1</v>
      </c>
      <c r="K426" s="132">
        <f t="shared" si="36"/>
        <v>0</v>
      </c>
      <c r="M426" s="132">
        <v>1</v>
      </c>
      <c r="N426" s="132">
        <f t="shared" si="37"/>
        <v>0</v>
      </c>
      <c r="P426" s="132">
        <v>1</v>
      </c>
      <c r="Q426" s="132">
        <f t="shared" si="41"/>
        <v>0</v>
      </c>
      <c r="S426" s="132">
        <v>1</v>
      </c>
      <c r="T426" s="132">
        <f t="shared" si="38"/>
        <v>0</v>
      </c>
      <c r="V426" s="126">
        <f t="shared" si="39"/>
        <v>0</v>
      </c>
      <c r="W426" s="92">
        <f t="shared" si="40"/>
        <v>0</v>
      </c>
      <c r="Y426" s="210"/>
    </row>
    <row r="427" spans="1:25" ht="14.4" customHeight="1" thickBot="1" x14ac:dyDescent="0.3">
      <c r="A427" s="149"/>
      <c r="J427" s="130">
        <v>1</v>
      </c>
      <c r="K427" s="132">
        <f t="shared" si="36"/>
        <v>0</v>
      </c>
      <c r="M427" s="132">
        <v>1</v>
      </c>
      <c r="N427" s="132">
        <f t="shared" si="37"/>
        <v>0</v>
      </c>
      <c r="P427" s="132">
        <v>1</v>
      </c>
      <c r="Q427" s="132">
        <f t="shared" si="41"/>
        <v>0</v>
      </c>
      <c r="S427" s="132">
        <v>1</v>
      </c>
      <c r="T427" s="132">
        <f t="shared" si="38"/>
        <v>0</v>
      </c>
      <c r="V427" s="126">
        <f t="shared" si="39"/>
        <v>0</v>
      </c>
      <c r="W427" s="92">
        <f t="shared" si="40"/>
        <v>0</v>
      </c>
      <c r="Y427" s="210"/>
    </row>
    <row r="428" spans="1:25" ht="14.4" customHeight="1" thickBot="1" x14ac:dyDescent="0.3">
      <c r="A428" s="149"/>
      <c r="J428" s="130">
        <v>1</v>
      </c>
      <c r="K428" s="132">
        <f t="shared" si="36"/>
        <v>0</v>
      </c>
      <c r="M428" s="132">
        <v>1</v>
      </c>
      <c r="N428" s="132">
        <f t="shared" si="37"/>
        <v>0</v>
      </c>
      <c r="P428" s="132">
        <v>1</v>
      </c>
      <c r="Q428" s="132">
        <f t="shared" si="41"/>
        <v>0</v>
      </c>
      <c r="S428" s="132">
        <v>1</v>
      </c>
      <c r="T428" s="132">
        <f t="shared" si="38"/>
        <v>0</v>
      </c>
      <c r="V428" s="126">
        <f t="shared" si="39"/>
        <v>0</v>
      </c>
      <c r="W428" s="92">
        <f t="shared" si="40"/>
        <v>0</v>
      </c>
      <c r="Y428" s="210"/>
    </row>
    <row r="429" spans="1:25" ht="14.4" customHeight="1" thickBot="1" x14ac:dyDescent="0.3">
      <c r="A429" s="149"/>
      <c r="J429" s="130">
        <v>1</v>
      </c>
      <c r="K429" s="132">
        <f t="shared" si="36"/>
        <v>0</v>
      </c>
      <c r="M429" s="132">
        <v>1</v>
      </c>
      <c r="N429" s="132">
        <f t="shared" si="37"/>
        <v>0</v>
      </c>
      <c r="P429" s="132">
        <v>1</v>
      </c>
      <c r="Q429" s="132">
        <f t="shared" si="41"/>
        <v>0</v>
      </c>
      <c r="S429" s="132">
        <v>1</v>
      </c>
      <c r="T429" s="132">
        <f t="shared" si="38"/>
        <v>0</v>
      </c>
      <c r="V429" s="126">
        <f t="shared" si="39"/>
        <v>0</v>
      </c>
      <c r="W429" s="92">
        <f t="shared" si="40"/>
        <v>0</v>
      </c>
      <c r="Y429" s="210"/>
    </row>
    <row r="430" spans="1:25" ht="14.4" customHeight="1" thickBot="1" x14ac:dyDescent="0.3">
      <c r="A430" s="149"/>
      <c r="J430" s="130">
        <v>1</v>
      </c>
      <c r="K430" s="132">
        <f t="shared" si="36"/>
        <v>0</v>
      </c>
      <c r="M430" s="132">
        <v>1</v>
      </c>
      <c r="N430" s="132">
        <f t="shared" si="37"/>
        <v>0</v>
      </c>
      <c r="P430" s="132">
        <v>1</v>
      </c>
      <c r="Q430" s="132">
        <f t="shared" si="41"/>
        <v>0</v>
      </c>
      <c r="S430" s="132">
        <v>1</v>
      </c>
      <c r="T430" s="132">
        <f t="shared" si="38"/>
        <v>0</v>
      </c>
      <c r="V430" s="126">
        <f t="shared" si="39"/>
        <v>0</v>
      </c>
      <c r="W430" s="92">
        <f t="shared" si="40"/>
        <v>0</v>
      </c>
      <c r="Y430" s="210"/>
    </row>
    <row r="431" spans="1:25" ht="14.4" customHeight="1" thickBot="1" x14ac:dyDescent="0.3">
      <c r="A431" s="149"/>
      <c r="J431" s="130">
        <v>1</v>
      </c>
      <c r="K431" s="132">
        <f t="shared" si="36"/>
        <v>0</v>
      </c>
      <c r="M431" s="132">
        <v>1</v>
      </c>
      <c r="N431" s="132">
        <f t="shared" si="37"/>
        <v>0</v>
      </c>
      <c r="P431" s="132">
        <v>1</v>
      </c>
      <c r="Q431" s="132">
        <f t="shared" si="41"/>
        <v>0</v>
      </c>
      <c r="S431" s="132">
        <v>1</v>
      </c>
      <c r="T431" s="132">
        <f t="shared" si="38"/>
        <v>0</v>
      </c>
      <c r="V431" s="126">
        <f t="shared" si="39"/>
        <v>0</v>
      </c>
      <c r="W431" s="92">
        <f t="shared" si="40"/>
        <v>0</v>
      </c>
      <c r="Y431" s="210"/>
    </row>
    <row r="432" spans="1:25" ht="14.4" customHeight="1" thickBot="1" x14ac:dyDescent="0.3">
      <c r="A432" s="149"/>
      <c r="J432" s="130">
        <v>1</v>
      </c>
      <c r="K432" s="132">
        <f t="shared" si="36"/>
        <v>0</v>
      </c>
      <c r="M432" s="132">
        <v>1</v>
      </c>
      <c r="N432" s="132">
        <f t="shared" si="37"/>
        <v>0</v>
      </c>
      <c r="P432" s="132">
        <v>1</v>
      </c>
      <c r="Q432" s="132">
        <f t="shared" si="41"/>
        <v>0</v>
      </c>
      <c r="S432" s="132">
        <v>1</v>
      </c>
      <c r="T432" s="132">
        <f t="shared" si="38"/>
        <v>0</v>
      </c>
      <c r="V432" s="126">
        <f t="shared" si="39"/>
        <v>0</v>
      </c>
      <c r="W432" s="92">
        <f t="shared" si="40"/>
        <v>0</v>
      </c>
      <c r="Y432" s="210"/>
    </row>
    <row r="433" spans="1:25" ht="14.4" customHeight="1" thickBot="1" x14ac:dyDescent="0.3">
      <c r="A433" s="149"/>
      <c r="J433" s="130">
        <v>1</v>
      </c>
      <c r="K433" s="132">
        <f t="shared" si="36"/>
        <v>0</v>
      </c>
      <c r="M433" s="132">
        <v>1</v>
      </c>
      <c r="N433" s="132">
        <f t="shared" si="37"/>
        <v>0</v>
      </c>
      <c r="P433" s="132">
        <v>1</v>
      </c>
      <c r="Q433" s="132">
        <f t="shared" si="41"/>
        <v>0</v>
      </c>
      <c r="S433" s="132">
        <v>1</v>
      </c>
      <c r="T433" s="132">
        <f t="shared" si="38"/>
        <v>0</v>
      </c>
      <c r="V433" s="126">
        <f t="shared" si="39"/>
        <v>0</v>
      </c>
      <c r="W433" s="92">
        <f t="shared" si="40"/>
        <v>0</v>
      </c>
      <c r="Y433" s="210"/>
    </row>
    <row r="434" spans="1:25" ht="14.4" customHeight="1" thickBot="1" x14ac:dyDescent="0.3">
      <c r="A434" s="149"/>
      <c r="J434" s="130">
        <v>1</v>
      </c>
      <c r="K434" s="132">
        <f t="shared" si="36"/>
        <v>0</v>
      </c>
      <c r="M434" s="132">
        <v>1</v>
      </c>
      <c r="N434" s="132">
        <f t="shared" si="37"/>
        <v>0</v>
      </c>
      <c r="P434" s="132">
        <v>1</v>
      </c>
      <c r="Q434" s="132">
        <f t="shared" si="41"/>
        <v>0</v>
      </c>
      <c r="S434" s="132">
        <v>1</v>
      </c>
      <c r="T434" s="132">
        <f t="shared" si="38"/>
        <v>0</v>
      </c>
      <c r="V434" s="126">
        <f t="shared" si="39"/>
        <v>0</v>
      </c>
      <c r="W434" s="92">
        <f t="shared" si="40"/>
        <v>0</v>
      </c>
      <c r="Y434" s="210"/>
    </row>
    <row r="435" spans="1:25" ht="14.4" customHeight="1" thickBot="1" x14ac:dyDescent="0.3">
      <c r="A435" s="149"/>
      <c r="J435" s="130">
        <v>1</v>
      </c>
      <c r="K435" s="132">
        <f t="shared" si="36"/>
        <v>0</v>
      </c>
      <c r="M435" s="132">
        <v>1</v>
      </c>
      <c r="N435" s="132">
        <f t="shared" si="37"/>
        <v>0</v>
      </c>
      <c r="P435" s="132">
        <v>1</v>
      </c>
      <c r="Q435" s="132">
        <f t="shared" si="41"/>
        <v>0</v>
      </c>
      <c r="S435" s="132">
        <v>1</v>
      </c>
      <c r="T435" s="132">
        <f t="shared" si="38"/>
        <v>0</v>
      </c>
      <c r="V435" s="126">
        <f t="shared" si="39"/>
        <v>0</v>
      </c>
      <c r="W435" s="92">
        <f t="shared" si="40"/>
        <v>0</v>
      </c>
      <c r="Y435" s="210"/>
    </row>
    <row r="436" spans="1:25" ht="14.4" customHeight="1" thickBot="1" x14ac:dyDescent="0.3">
      <c r="A436" s="149"/>
      <c r="J436" s="130">
        <v>1</v>
      </c>
      <c r="K436" s="132">
        <f t="shared" si="36"/>
        <v>0</v>
      </c>
      <c r="M436" s="132">
        <v>1</v>
      </c>
      <c r="N436" s="132">
        <f t="shared" si="37"/>
        <v>0</v>
      </c>
      <c r="P436" s="132">
        <v>1</v>
      </c>
      <c r="Q436" s="132">
        <f t="shared" si="41"/>
        <v>0</v>
      </c>
      <c r="S436" s="132">
        <v>1</v>
      </c>
      <c r="T436" s="132">
        <f t="shared" si="38"/>
        <v>0</v>
      </c>
      <c r="V436" s="126">
        <f t="shared" si="39"/>
        <v>0</v>
      </c>
      <c r="W436" s="92">
        <f t="shared" si="40"/>
        <v>0</v>
      </c>
      <c r="Y436" s="210"/>
    </row>
    <row r="437" spans="1:25" ht="14.4" customHeight="1" thickBot="1" x14ac:dyDescent="0.3">
      <c r="A437" s="149"/>
      <c r="J437" s="130">
        <v>1</v>
      </c>
      <c r="K437" s="132">
        <f t="shared" si="36"/>
        <v>0</v>
      </c>
      <c r="M437" s="132">
        <v>1</v>
      </c>
      <c r="N437" s="132">
        <f t="shared" si="37"/>
        <v>0</v>
      </c>
      <c r="P437" s="132">
        <v>1</v>
      </c>
      <c r="Q437" s="132">
        <f t="shared" si="41"/>
        <v>0</v>
      </c>
      <c r="S437" s="132">
        <v>1</v>
      </c>
      <c r="T437" s="132">
        <f t="shared" si="38"/>
        <v>0</v>
      </c>
      <c r="V437" s="126">
        <f t="shared" si="39"/>
        <v>0</v>
      </c>
      <c r="W437" s="92">
        <f t="shared" si="40"/>
        <v>0</v>
      </c>
      <c r="Y437" s="210"/>
    </row>
    <row r="438" spans="1:25" ht="14.4" customHeight="1" thickBot="1" x14ac:dyDescent="0.3">
      <c r="A438" s="149"/>
      <c r="J438" s="130">
        <v>1</v>
      </c>
      <c r="K438" s="132">
        <f t="shared" si="36"/>
        <v>0</v>
      </c>
      <c r="M438" s="132">
        <v>1</v>
      </c>
      <c r="N438" s="132">
        <f t="shared" si="37"/>
        <v>0</v>
      </c>
      <c r="P438" s="132">
        <v>1</v>
      </c>
      <c r="Q438" s="132">
        <f t="shared" si="41"/>
        <v>0</v>
      </c>
      <c r="S438" s="132">
        <v>1</v>
      </c>
      <c r="T438" s="132">
        <f t="shared" si="38"/>
        <v>0</v>
      </c>
      <c r="V438" s="126">
        <f t="shared" si="39"/>
        <v>0</v>
      </c>
      <c r="W438" s="92">
        <f t="shared" si="40"/>
        <v>0</v>
      </c>
      <c r="Y438" s="210"/>
    </row>
    <row r="439" spans="1:25" ht="14.4" customHeight="1" thickBot="1" x14ac:dyDescent="0.3">
      <c r="A439" s="149"/>
      <c r="J439" s="130">
        <v>1</v>
      </c>
      <c r="K439" s="132">
        <f t="shared" si="36"/>
        <v>0</v>
      </c>
      <c r="M439" s="132">
        <v>1</v>
      </c>
      <c r="N439" s="132">
        <f t="shared" si="37"/>
        <v>0</v>
      </c>
      <c r="P439" s="132">
        <v>1</v>
      </c>
      <c r="Q439" s="132">
        <f t="shared" si="41"/>
        <v>0</v>
      </c>
      <c r="S439" s="132">
        <v>1</v>
      </c>
      <c r="T439" s="132">
        <f t="shared" si="38"/>
        <v>0</v>
      </c>
      <c r="V439" s="126">
        <f t="shared" si="39"/>
        <v>0</v>
      </c>
      <c r="W439" s="92">
        <f t="shared" si="40"/>
        <v>0</v>
      </c>
      <c r="Y439" s="210"/>
    </row>
    <row r="440" spans="1:25" ht="14.4" customHeight="1" thickBot="1" x14ac:dyDescent="0.3">
      <c r="A440" s="149"/>
      <c r="J440" s="130">
        <v>1</v>
      </c>
      <c r="K440" s="132">
        <f t="shared" si="36"/>
        <v>0</v>
      </c>
      <c r="M440" s="132">
        <v>1</v>
      </c>
      <c r="N440" s="132">
        <f t="shared" si="37"/>
        <v>0</v>
      </c>
      <c r="P440" s="132">
        <v>1</v>
      </c>
      <c r="Q440" s="132">
        <f t="shared" si="41"/>
        <v>0</v>
      </c>
      <c r="S440" s="132">
        <v>1</v>
      </c>
      <c r="T440" s="132">
        <f t="shared" si="38"/>
        <v>0</v>
      </c>
      <c r="V440" s="126">
        <f t="shared" si="39"/>
        <v>0</v>
      </c>
      <c r="W440" s="92">
        <f t="shared" si="40"/>
        <v>0</v>
      </c>
      <c r="Y440" s="210"/>
    </row>
    <row r="441" spans="1:25" ht="14.4" customHeight="1" thickBot="1" x14ac:dyDescent="0.3">
      <c r="A441" s="149"/>
      <c r="J441" s="130">
        <v>1</v>
      </c>
      <c r="K441" s="132">
        <f t="shared" si="36"/>
        <v>0</v>
      </c>
      <c r="M441" s="132">
        <v>1</v>
      </c>
      <c r="N441" s="132">
        <f t="shared" si="37"/>
        <v>0</v>
      </c>
      <c r="P441" s="132">
        <v>1</v>
      </c>
      <c r="Q441" s="132">
        <f t="shared" si="41"/>
        <v>0</v>
      </c>
      <c r="S441" s="132">
        <v>1</v>
      </c>
      <c r="T441" s="132">
        <f t="shared" si="38"/>
        <v>0</v>
      </c>
      <c r="V441" s="126">
        <f t="shared" si="39"/>
        <v>0</v>
      </c>
      <c r="W441" s="92">
        <f t="shared" si="40"/>
        <v>0</v>
      </c>
      <c r="Y441" s="210"/>
    </row>
    <row r="442" spans="1:25" ht="14.4" customHeight="1" thickBot="1" x14ac:dyDescent="0.3">
      <c r="A442" s="149"/>
      <c r="J442" s="130">
        <v>1</v>
      </c>
      <c r="K442" s="132">
        <f t="shared" si="36"/>
        <v>0</v>
      </c>
      <c r="M442" s="132">
        <v>1</v>
      </c>
      <c r="N442" s="132">
        <f t="shared" si="37"/>
        <v>0</v>
      </c>
      <c r="P442" s="132">
        <v>1</v>
      </c>
      <c r="Q442" s="132">
        <f t="shared" si="41"/>
        <v>0</v>
      </c>
      <c r="S442" s="132">
        <v>1</v>
      </c>
      <c r="T442" s="132">
        <f t="shared" si="38"/>
        <v>0</v>
      </c>
      <c r="V442" s="126">
        <f t="shared" si="39"/>
        <v>0</v>
      </c>
      <c r="W442" s="92">
        <f t="shared" si="40"/>
        <v>0</v>
      </c>
      <c r="Y442" s="210"/>
    </row>
    <row r="443" spans="1:25" ht="14.4" customHeight="1" thickBot="1" x14ac:dyDescent="0.3">
      <c r="A443" s="149"/>
      <c r="J443" s="130">
        <v>1</v>
      </c>
      <c r="K443" s="132">
        <f t="shared" si="36"/>
        <v>0</v>
      </c>
      <c r="M443" s="132">
        <v>1</v>
      </c>
      <c r="N443" s="132">
        <f t="shared" si="37"/>
        <v>0</v>
      </c>
      <c r="P443" s="132">
        <v>1</v>
      </c>
      <c r="Q443" s="132">
        <f t="shared" si="41"/>
        <v>0</v>
      </c>
      <c r="S443" s="132">
        <v>1</v>
      </c>
      <c r="T443" s="132">
        <f t="shared" si="38"/>
        <v>0</v>
      </c>
      <c r="V443" s="126">
        <f t="shared" si="39"/>
        <v>0</v>
      </c>
      <c r="W443" s="92">
        <f t="shared" si="40"/>
        <v>0</v>
      </c>
      <c r="Y443" s="210"/>
    </row>
    <row r="444" spans="1:25" ht="14.4" customHeight="1" thickBot="1" x14ac:dyDescent="0.3">
      <c r="A444" s="149"/>
      <c r="J444" s="130">
        <v>1</v>
      </c>
      <c r="K444" s="132">
        <f t="shared" si="36"/>
        <v>0</v>
      </c>
      <c r="M444" s="132">
        <v>1</v>
      </c>
      <c r="N444" s="132">
        <f t="shared" si="37"/>
        <v>0</v>
      </c>
      <c r="P444" s="132">
        <v>1</v>
      </c>
      <c r="Q444" s="132">
        <f t="shared" si="41"/>
        <v>0</v>
      </c>
      <c r="S444" s="132">
        <v>1</v>
      </c>
      <c r="T444" s="132">
        <f t="shared" si="38"/>
        <v>0</v>
      </c>
      <c r="V444" s="126">
        <f t="shared" si="39"/>
        <v>0</v>
      </c>
      <c r="W444" s="92">
        <f t="shared" si="40"/>
        <v>0</v>
      </c>
      <c r="Y444" s="210"/>
    </row>
    <row r="445" spans="1:25" ht="14.4" customHeight="1" thickBot="1" x14ac:dyDescent="0.3">
      <c r="A445" s="149"/>
      <c r="J445" s="130">
        <v>1</v>
      </c>
      <c r="K445" s="132">
        <f t="shared" si="36"/>
        <v>0</v>
      </c>
      <c r="M445" s="132">
        <v>1</v>
      </c>
      <c r="N445" s="132">
        <f t="shared" si="37"/>
        <v>0</v>
      </c>
      <c r="P445" s="132">
        <v>1</v>
      </c>
      <c r="Q445" s="132">
        <f t="shared" si="41"/>
        <v>0</v>
      </c>
      <c r="S445" s="132">
        <v>1</v>
      </c>
      <c r="T445" s="132">
        <f t="shared" si="38"/>
        <v>0</v>
      </c>
      <c r="V445" s="126">
        <f t="shared" si="39"/>
        <v>0</v>
      </c>
      <c r="W445" s="92">
        <f t="shared" si="40"/>
        <v>0</v>
      </c>
      <c r="Y445" s="210"/>
    </row>
    <row r="446" spans="1:25" ht="14.4" customHeight="1" thickBot="1" x14ac:dyDescent="0.3">
      <c r="A446" s="149"/>
      <c r="J446" s="130">
        <v>1</v>
      </c>
      <c r="K446" s="132">
        <f t="shared" si="36"/>
        <v>0</v>
      </c>
      <c r="M446" s="132">
        <v>1</v>
      </c>
      <c r="N446" s="132">
        <f t="shared" si="37"/>
        <v>0</v>
      </c>
      <c r="P446" s="132">
        <v>1</v>
      </c>
      <c r="Q446" s="132">
        <f t="shared" si="41"/>
        <v>0</v>
      </c>
      <c r="S446" s="132">
        <v>1</v>
      </c>
      <c r="T446" s="132">
        <f t="shared" si="38"/>
        <v>0</v>
      </c>
      <c r="V446" s="126">
        <f t="shared" si="39"/>
        <v>0</v>
      </c>
      <c r="W446" s="92">
        <f t="shared" si="40"/>
        <v>0</v>
      </c>
      <c r="Y446" s="210"/>
    </row>
    <row r="447" spans="1:25" ht="14.4" customHeight="1" thickBot="1" x14ac:dyDescent="0.3">
      <c r="A447" s="149"/>
      <c r="J447" s="130">
        <v>1</v>
      </c>
      <c r="K447" s="132">
        <f t="shared" si="36"/>
        <v>0</v>
      </c>
      <c r="M447" s="132">
        <v>1</v>
      </c>
      <c r="N447" s="132">
        <f t="shared" si="37"/>
        <v>0</v>
      </c>
      <c r="P447" s="132">
        <v>1</v>
      </c>
      <c r="Q447" s="132">
        <f t="shared" si="41"/>
        <v>0</v>
      </c>
      <c r="S447" s="132">
        <v>1</v>
      </c>
      <c r="T447" s="132">
        <f t="shared" si="38"/>
        <v>0</v>
      </c>
      <c r="V447" s="126">
        <f t="shared" si="39"/>
        <v>0</v>
      </c>
      <c r="W447" s="92">
        <f t="shared" si="40"/>
        <v>0</v>
      </c>
      <c r="Y447" s="210"/>
    </row>
    <row r="448" spans="1:25" ht="14.4" customHeight="1" thickBot="1" x14ac:dyDescent="0.3">
      <c r="A448" s="149"/>
      <c r="J448" s="130">
        <v>1</v>
      </c>
      <c r="K448" s="132">
        <f t="shared" si="36"/>
        <v>0</v>
      </c>
      <c r="M448" s="132">
        <v>1</v>
      </c>
      <c r="N448" s="132">
        <f t="shared" si="37"/>
        <v>0</v>
      </c>
      <c r="P448" s="132">
        <v>1</v>
      </c>
      <c r="Q448" s="132">
        <f t="shared" si="41"/>
        <v>0</v>
      </c>
      <c r="S448" s="132">
        <v>1</v>
      </c>
      <c r="T448" s="132">
        <f t="shared" si="38"/>
        <v>0</v>
      </c>
      <c r="V448" s="126">
        <f t="shared" si="39"/>
        <v>0</v>
      </c>
      <c r="W448" s="92">
        <f t="shared" si="40"/>
        <v>0</v>
      </c>
      <c r="Y448" s="210"/>
    </row>
    <row r="449" spans="1:25" ht="14.4" customHeight="1" thickBot="1" x14ac:dyDescent="0.3">
      <c r="A449" s="149"/>
      <c r="J449" s="130">
        <v>1</v>
      </c>
      <c r="K449" s="132">
        <f t="shared" si="36"/>
        <v>0</v>
      </c>
      <c r="M449" s="132">
        <v>1</v>
      </c>
      <c r="N449" s="132">
        <f t="shared" si="37"/>
        <v>0</v>
      </c>
      <c r="P449" s="132">
        <v>1</v>
      </c>
      <c r="Q449" s="132">
        <f t="shared" si="41"/>
        <v>0</v>
      </c>
      <c r="S449" s="132">
        <v>1</v>
      </c>
      <c r="T449" s="132">
        <f t="shared" si="38"/>
        <v>0</v>
      </c>
      <c r="V449" s="126">
        <f t="shared" si="39"/>
        <v>0</v>
      </c>
      <c r="W449" s="92">
        <f t="shared" si="40"/>
        <v>0</v>
      </c>
      <c r="Y449" s="210"/>
    </row>
    <row r="450" spans="1:25" ht="14.4" customHeight="1" thickBot="1" x14ac:dyDescent="0.3">
      <c r="A450" s="149"/>
      <c r="J450" s="130">
        <v>1</v>
      </c>
      <c r="K450" s="132">
        <f t="shared" ref="K450:K513" si="42">I450/J450</f>
        <v>0</v>
      </c>
      <c r="M450" s="132">
        <v>1</v>
      </c>
      <c r="N450" s="132">
        <f t="shared" ref="N450:N513" si="43">L450/M450</f>
        <v>0</v>
      </c>
      <c r="P450" s="132">
        <v>1</v>
      </c>
      <c r="Q450" s="132">
        <f t="shared" si="41"/>
        <v>0</v>
      </c>
      <c r="S450" s="132">
        <v>1</v>
      </c>
      <c r="T450" s="132">
        <f t="shared" ref="T450:T513" si="44">R450/S450</f>
        <v>0</v>
      </c>
      <c r="V450" s="126">
        <f t="shared" ref="V450:V513" si="45">D450+E450-G450-I450/J450-L450/M450-O450/P450-R450/S450</f>
        <v>0</v>
      </c>
      <c r="W450" s="92">
        <f t="shared" ref="W450:W513" si="46">G450+I450/J450+L450/M450+O450/P450+R450/S450</f>
        <v>0</v>
      </c>
      <c r="Y450" s="210"/>
    </row>
    <row r="451" spans="1:25" ht="14.4" customHeight="1" thickBot="1" x14ac:dyDescent="0.3">
      <c r="A451" s="149"/>
      <c r="J451" s="130">
        <v>1</v>
      </c>
      <c r="K451" s="132">
        <f t="shared" si="42"/>
        <v>0</v>
      </c>
      <c r="M451" s="132">
        <v>1</v>
      </c>
      <c r="N451" s="132">
        <f t="shared" si="43"/>
        <v>0</v>
      </c>
      <c r="P451" s="132">
        <v>1</v>
      </c>
      <c r="Q451" s="132">
        <f t="shared" ref="Q451:Q514" si="47">O451/P451</f>
        <v>0</v>
      </c>
      <c r="S451" s="132">
        <v>1</v>
      </c>
      <c r="T451" s="132">
        <f t="shared" si="44"/>
        <v>0</v>
      </c>
      <c r="V451" s="126">
        <f t="shared" si="45"/>
        <v>0</v>
      </c>
      <c r="W451" s="92">
        <f t="shared" si="46"/>
        <v>0</v>
      </c>
      <c r="Y451" s="210"/>
    </row>
    <row r="452" spans="1:25" ht="14.4" customHeight="1" thickBot="1" x14ac:dyDescent="0.3">
      <c r="A452" s="149"/>
      <c r="J452" s="130">
        <v>1</v>
      </c>
      <c r="K452" s="132">
        <f t="shared" si="42"/>
        <v>0</v>
      </c>
      <c r="M452" s="132">
        <v>1</v>
      </c>
      <c r="N452" s="132">
        <f t="shared" si="43"/>
        <v>0</v>
      </c>
      <c r="P452" s="132">
        <v>1</v>
      </c>
      <c r="Q452" s="132">
        <f t="shared" si="47"/>
        <v>0</v>
      </c>
      <c r="S452" s="132">
        <v>1</v>
      </c>
      <c r="T452" s="132">
        <f t="shared" si="44"/>
        <v>0</v>
      </c>
      <c r="V452" s="126">
        <f t="shared" si="45"/>
        <v>0</v>
      </c>
      <c r="W452" s="92">
        <f t="shared" si="46"/>
        <v>0</v>
      </c>
      <c r="Y452" s="210"/>
    </row>
    <row r="453" spans="1:25" ht="14.4" customHeight="1" thickBot="1" x14ac:dyDescent="0.3">
      <c r="A453" s="149"/>
      <c r="J453" s="130">
        <v>1</v>
      </c>
      <c r="K453" s="132">
        <f t="shared" si="42"/>
        <v>0</v>
      </c>
      <c r="M453" s="132">
        <v>1</v>
      </c>
      <c r="N453" s="132">
        <f t="shared" si="43"/>
        <v>0</v>
      </c>
      <c r="P453" s="132">
        <v>1</v>
      </c>
      <c r="Q453" s="132">
        <f t="shared" si="47"/>
        <v>0</v>
      </c>
      <c r="S453" s="132">
        <v>1</v>
      </c>
      <c r="T453" s="132">
        <f t="shared" si="44"/>
        <v>0</v>
      </c>
      <c r="V453" s="126">
        <f t="shared" si="45"/>
        <v>0</v>
      </c>
      <c r="W453" s="92">
        <f t="shared" si="46"/>
        <v>0</v>
      </c>
      <c r="Y453" s="210"/>
    </row>
    <row r="454" spans="1:25" ht="14.4" customHeight="1" thickBot="1" x14ac:dyDescent="0.3">
      <c r="A454" s="149"/>
      <c r="J454" s="130">
        <v>1</v>
      </c>
      <c r="K454" s="132">
        <f t="shared" si="42"/>
        <v>0</v>
      </c>
      <c r="M454" s="132">
        <v>1</v>
      </c>
      <c r="N454" s="132">
        <f t="shared" si="43"/>
        <v>0</v>
      </c>
      <c r="P454" s="132">
        <v>1</v>
      </c>
      <c r="Q454" s="132">
        <f t="shared" si="47"/>
        <v>0</v>
      </c>
      <c r="S454" s="132">
        <v>1</v>
      </c>
      <c r="T454" s="132">
        <f t="shared" si="44"/>
        <v>0</v>
      </c>
      <c r="V454" s="126">
        <f t="shared" si="45"/>
        <v>0</v>
      </c>
      <c r="W454" s="92">
        <f t="shared" si="46"/>
        <v>0</v>
      </c>
      <c r="Y454" s="210"/>
    </row>
    <row r="455" spans="1:25" ht="14.4" customHeight="1" thickBot="1" x14ac:dyDescent="0.3">
      <c r="A455" s="149"/>
      <c r="J455" s="130">
        <v>1</v>
      </c>
      <c r="K455" s="132">
        <f t="shared" si="42"/>
        <v>0</v>
      </c>
      <c r="M455" s="132">
        <v>1</v>
      </c>
      <c r="N455" s="132">
        <f t="shared" si="43"/>
        <v>0</v>
      </c>
      <c r="P455" s="132">
        <v>1</v>
      </c>
      <c r="Q455" s="132">
        <f t="shared" si="47"/>
        <v>0</v>
      </c>
      <c r="S455" s="132">
        <v>1</v>
      </c>
      <c r="T455" s="132">
        <f t="shared" si="44"/>
        <v>0</v>
      </c>
      <c r="V455" s="126">
        <f t="shared" si="45"/>
        <v>0</v>
      </c>
      <c r="W455" s="92">
        <f t="shared" si="46"/>
        <v>0</v>
      </c>
      <c r="Y455" s="210"/>
    </row>
    <row r="456" spans="1:25" ht="14.4" customHeight="1" thickBot="1" x14ac:dyDescent="0.3">
      <c r="A456" s="149"/>
      <c r="J456" s="130">
        <v>1</v>
      </c>
      <c r="K456" s="132">
        <f t="shared" si="42"/>
        <v>0</v>
      </c>
      <c r="M456" s="132">
        <v>1</v>
      </c>
      <c r="N456" s="132">
        <f t="shared" si="43"/>
        <v>0</v>
      </c>
      <c r="P456" s="132">
        <v>1</v>
      </c>
      <c r="Q456" s="132">
        <f t="shared" si="47"/>
        <v>0</v>
      </c>
      <c r="S456" s="132">
        <v>1</v>
      </c>
      <c r="T456" s="132">
        <f t="shared" si="44"/>
        <v>0</v>
      </c>
      <c r="V456" s="126">
        <f t="shared" si="45"/>
        <v>0</v>
      </c>
      <c r="W456" s="92">
        <f t="shared" si="46"/>
        <v>0</v>
      </c>
      <c r="Y456" s="210"/>
    </row>
    <row r="457" spans="1:25" ht="14.4" customHeight="1" thickBot="1" x14ac:dyDescent="0.3">
      <c r="A457" s="149"/>
      <c r="J457" s="130">
        <v>1</v>
      </c>
      <c r="K457" s="132">
        <f t="shared" si="42"/>
        <v>0</v>
      </c>
      <c r="M457" s="132">
        <v>1</v>
      </c>
      <c r="N457" s="132">
        <f t="shared" si="43"/>
        <v>0</v>
      </c>
      <c r="P457" s="132">
        <v>1</v>
      </c>
      <c r="Q457" s="132">
        <f t="shared" si="47"/>
        <v>0</v>
      </c>
      <c r="S457" s="132">
        <v>1</v>
      </c>
      <c r="T457" s="132">
        <f t="shared" si="44"/>
        <v>0</v>
      </c>
      <c r="V457" s="126">
        <f t="shared" si="45"/>
        <v>0</v>
      </c>
      <c r="W457" s="92">
        <f t="shared" si="46"/>
        <v>0</v>
      </c>
      <c r="Y457" s="210"/>
    </row>
    <row r="458" spans="1:25" ht="14.4" customHeight="1" thickBot="1" x14ac:dyDescent="0.3">
      <c r="A458" s="149"/>
      <c r="J458" s="130">
        <v>1</v>
      </c>
      <c r="K458" s="132">
        <f t="shared" si="42"/>
        <v>0</v>
      </c>
      <c r="M458" s="132">
        <v>1</v>
      </c>
      <c r="N458" s="132">
        <f t="shared" si="43"/>
        <v>0</v>
      </c>
      <c r="P458" s="132">
        <v>1</v>
      </c>
      <c r="Q458" s="132">
        <f t="shared" si="47"/>
        <v>0</v>
      </c>
      <c r="S458" s="132">
        <v>1</v>
      </c>
      <c r="T458" s="132">
        <f t="shared" si="44"/>
        <v>0</v>
      </c>
      <c r="V458" s="126">
        <f t="shared" si="45"/>
        <v>0</v>
      </c>
      <c r="W458" s="92">
        <f t="shared" si="46"/>
        <v>0</v>
      </c>
      <c r="Y458" s="210"/>
    </row>
    <row r="459" spans="1:25" ht="14.4" customHeight="1" thickBot="1" x14ac:dyDescent="0.3">
      <c r="A459" s="149"/>
      <c r="J459" s="130">
        <v>1</v>
      </c>
      <c r="K459" s="132">
        <f t="shared" si="42"/>
        <v>0</v>
      </c>
      <c r="M459" s="132">
        <v>1</v>
      </c>
      <c r="N459" s="132">
        <f t="shared" si="43"/>
        <v>0</v>
      </c>
      <c r="P459" s="132">
        <v>1</v>
      </c>
      <c r="Q459" s="132">
        <f t="shared" si="47"/>
        <v>0</v>
      </c>
      <c r="S459" s="132">
        <v>1</v>
      </c>
      <c r="T459" s="132">
        <f t="shared" si="44"/>
        <v>0</v>
      </c>
      <c r="V459" s="126">
        <f t="shared" si="45"/>
        <v>0</v>
      </c>
      <c r="W459" s="92">
        <f t="shared" si="46"/>
        <v>0</v>
      </c>
      <c r="Y459" s="210"/>
    </row>
    <row r="460" spans="1:25" ht="14.4" customHeight="1" thickBot="1" x14ac:dyDescent="0.3">
      <c r="A460" s="149"/>
      <c r="J460" s="130">
        <v>1</v>
      </c>
      <c r="K460" s="132">
        <f t="shared" si="42"/>
        <v>0</v>
      </c>
      <c r="M460" s="132">
        <v>1</v>
      </c>
      <c r="N460" s="132">
        <f t="shared" si="43"/>
        <v>0</v>
      </c>
      <c r="P460" s="132">
        <v>1</v>
      </c>
      <c r="Q460" s="132">
        <f t="shared" si="47"/>
        <v>0</v>
      </c>
      <c r="S460" s="132">
        <v>1</v>
      </c>
      <c r="T460" s="132">
        <f t="shared" si="44"/>
        <v>0</v>
      </c>
      <c r="V460" s="126">
        <f t="shared" si="45"/>
        <v>0</v>
      </c>
      <c r="W460" s="92">
        <f t="shared" si="46"/>
        <v>0</v>
      </c>
      <c r="Y460" s="210"/>
    </row>
    <row r="461" spans="1:25" ht="14.4" customHeight="1" thickBot="1" x14ac:dyDescent="0.3">
      <c r="A461" s="149"/>
      <c r="J461" s="130">
        <v>1</v>
      </c>
      <c r="K461" s="132">
        <f t="shared" si="42"/>
        <v>0</v>
      </c>
      <c r="M461" s="132">
        <v>1</v>
      </c>
      <c r="N461" s="132">
        <f t="shared" si="43"/>
        <v>0</v>
      </c>
      <c r="P461" s="132">
        <v>1</v>
      </c>
      <c r="Q461" s="132">
        <f t="shared" si="47"/>
        <v>0</v>
      </c>
      <c r="S461" s="132">
        <v>1</v>
      </c>
      <c r="T461" s="132">
        <f t="shared" si="44"/>
        <v>0</v>
      </c>
      <c r="V461" s="126">
        <f t="shared" si="45"/>
        <v>0</v>
      </c>
      <c r="W461" s="92">
        <f t="shared" si="46"/>
        <v>0</v>
      </c>
      <c r="Y461" s="210"/>
    </row>
    <row r="462" spans="1:25" ht="14.4" customHeight="1" thickBot="1" x14ac:dyDescent="0.3">
      <c r="A462" s="149"/>
      <c r="J462" s="130">
        <v>1</v>
      </c>
      <c r="K462" s="132">
        <f t="shared" si="42"/>
        <v>0</v>
      </c>
      <c r="M462" s="132">
        <v>1</v>
      </c>
      <c r="N462" s="132">
        <f t="shared" si="43"/>
        <v>0</v>
      </c>
      <c r="P462" s="132">
        <v>1</v>
      </c>
      <c r="Q462" s="132">
        <f t="shared" si="47"/>
        <v>0</v>
      </c>
      <c r="S462" s="132">
        <v>1</v>
      </c>
      <c r="T462" s="132">
        <f t="shared" si="44"/>
        <v>0</v>
      </c>
      <c r="V462" s="126">
        <f t="shared" si="45"/>
        <v>0</v>
      </c>
      <c r="W462" s="92">
        <f t="shared" si="46"/>
        <v>0</v>
      </c>
      <c r="Y462" s="210"/>
    </row>
    <row r="463" spans="1:25" ht="14.4" customHeight="1" thickBot="1" x14ac:dyDescent="0.3">
      <c r="A463" s="149"/>
      <c r="J463" s="130">
        <v>1</v>
      </c>
      <c r="K463" s="132">
        <f t="shared" si="42"/>
        <v>0</v>
      </c>
      <c r="M463" s="132">
        <v>1</v>
      </c>
      <c r="N463" s="132">
        <f t="shared" si="43"/>
        <v>0</v>
      </c>
      <c r="P463" s="132">
        <v>1</v>
      </c>
      <c r="Q463" s="132">
        <f t="shared" si="47"/>
        <v>0</v>
      </c>
      <c r="S463" s="132">
        <v>1</v>
      </c>
      <c r="T463" s="132">
        <f t="shared" si="44"/>
        <v>0</v>
      </c>
      <c r="V463" s="126">
        <f t="shared" si="45"/>
        <v>0</v>
      </c>
      <c r="W463" s="92">
        <f t="shared" si="46"/>
        <v>0</v>
      </c>
      <c r="Y463" s="210"/>
    </row>
    <row r="464" spans="1:25" ht="14.4" customHeight="1" thickBot="1" x14ac:dyDescent="0.3">
      <c r="A464" s="149"/>
      <c r="J464" s="130">
        <v>1</v>
      </c>
      <c r="K464" s="132">
        <f t="shared" si="42"/>
        <v>0</v>
      </c>
      <c r="M464" s="132">
        <v>1</v>
      </c>
      <c r="N464" s="132">
        <f t="shared" si="43"/>
        <v>0</v>
      </c>
      <c r="P464" s="132">
        <v>1</v>
      </c>
      <c r="Q464" s="132">
        <f t="shared" si="47"/>
        <v>0</v>
      </c>
      <c r="S464" s="132">
        <v>1</v>
      </c>
      <c r="T464" s="132">
        <f t="shared" si="44"/>
        <v>0</v>
      </c>
      <c r="V464" s="126">
        <f t="shared" si="45"/>
        <v>0</v>
      </c>
      <c r="W464" s="92">
        <f t="shared" si="46"/>
        <v>0</v>
      </c>
      <c r="Y464" s="210"/>
    </row>
    <row r="465" spans="1:25" ht="14.4" customHeight="1" thickBot="1" x14ac:dyDescent="0.3">
      <c r="A465" s="149"/>
      <c r="J465" s="130">
        <v>1</v>
      </c>
      <c r="K465" s="132">
        <f t="shared" si="42"/>
        <v>0</v>
      </c>
      <c r="M465" s="132">
        <v>1</v>
      </c>
      <c r="N465" s="132">
        <f t="shared" si="43"/>
        <v>0</v>
      </c>
      <c r="P465" s="132">
        <v>1</v>
      </c>
      <c r="Q465" s="132">
        <f t="shared" si="47"/>
        <v>0</v>
      </c>
      <c r="S465" s="132">
        <v>1</v>
      </c>
      <c r="T465" s="132">
        <f t="shared" si="44"/>
        <v>0</v>
      </c>
      <c r="V465" s="126">
        <f t="shared" si="45"/>
        <v>0</v>
      </c>
      <c r="W465" s="92">
        <f t="shared" si="46"/>
        <v>0</v>
      </c>
      <c r="Y465" s="210"/>
    </row>
    <row r="466" spans="1:25" ht="14.4" customHeight="1" thickBot="1" x14ac:dyDescent="0.3">
      <c r="A466" s="149"/>
      <c r="J466" s="130">
        <v>1</v>
      </c>
      <c r="K466" s="132">
        <f t="shared" si="42"/>
        <v>0</v>
      </c>
      <c r="M466" s="132">
        <v>1</v>
      </c>
      <c r="N466" s="132">
        <f t="shared" si="43"/>
        <v>0</v>
      </c>
      <c r="P466" s="132">
        <v>1</v>
      </c>
      <c r="Q466" s="132">
        <f t="shared" si="47"/>
        <v>0</v>
      </c>
      <c r="S466" s="132">
        <v>1</v>
      </c>
      <c r="T466" s="132">
        <f t="shared" si="44"/>
        <v>0</v>
      </c>
      <c r="V466" s="126">
        <f t="shared" si="45"/>
        <v>0</v>
      </c>
      <c r="W466" s="92">
        <f t="shared" si="46"/>
        <v>0</v>
      </c>
      <c r="Y466" s="210"/>
    </row>
    <row r="467" spans="1:25" ht="14.4" customHeight="1" thickBot="1" x14ac:dyDescent="0.3">
      <c r="A467" s="149"/>
      <c r="J467" s="130">
        <v>1</v>
      </c>
      <c r="K467" s="132">
        <f t="shared" si="42"/>
        <v>0</v>
      </c>
      <c r="M467" s="132">
        <v>1</v>
      </c>
      <c r="N467" s="132">
        <f t="shared" si="43"/>
        <v>0</v>
      </c>
      <c r="P467" s="132">
        <v>1</v>
      </c>
      <c r="Q467" s="132">
        <f t="shared" si="47"/>
        <v>0</v>
      </c>
      <c r="S467" s="132">
        <v>1</v>
      </c>
      <c r="T467" s="132">
        <f t="shared" si="44"/>
        <v>0</v>
      </c>
      <c r="V467" s="126">
        <f t="shared" si="45"/>
        <v>0</v>
      </c>
      <c r="W467" s="92">
        <f t="shared" si="46"/>
        <v>0</v>
      </c>
      <c r="Y467" s="210"/>
    </row>
    <row r="468" spans="1:25" ht="14.4" customHeight="1" thickBot="1" x14ac:dyDescent="0.3">
      <c r="A468" s="149"/>
      <c r="J468" s="130">
        <v>1</v>
      </c>
      <c r="K468" s="132">
        <f t="shared" si="42"/>
        <v>0</v>
      </c>
      <c r="M468" s="132">
        <v>1</v>
      </c>
      <c r="N468" s="132">
        <f t="shared" si="43"/>
        <v>0</v>
      </c>
      <c r="P468" s="132">
        <v>1</v>
      </c>
      <c r="Q468" s="132">
        <f t="shared" si="47"/>
        <v>0</v>
      </c>
      <c r="S468" s="132">
        <v>1</v>
      </c>
      <c r="T468" s="132">
        <f t="shared" si="44"/>
        <v>0</v>
      </c>
      <c r="V468" s="126">
        <f t="shared" si="45"/>
        <v>0</v>
      </c>
      <c r="W468" s="92">
        <f t="shared" si="46"/>
        <v>0</v>
      </c>
      <c r="Y468" s="210"/>
    </row>
    <row r="469" spans="1:25" ht="14.4" customHeight="1" thickBot="1" x14ac:dyDescent="0.3">
      <c r="A469" s="149"/>
      <c r="J469" s="130">
        <v>1</v>
      </c>
      <c r="K469" s="132">
        <f t="shared" si="42"/>
        <v>0</v>
      </c>
      <c r="M469" s="132">
        <v>1</v>
      </c>
      <c r="N469" s="132">
        <f t="shared" si="43"/>
        <v>0</v>
      </c>
      <c r="P469" s="132">
        <v>1</v>
      </c>
      <c r="Q469" s="132">
        <f t="shared" si="47"/>
        <v>0</v>
      </c>
      <c r="S469" s="132">
        <v>1</v>
      </c>
      <c r="T469" s="132">
        <f t="shared" si="44"/>
        <v>0</v>
      </c>
      <c r="V469" s="126">
        <f t="shared" si="45"/>
        <v>0</v>
      </c>
      <c r="W469" s="92">
        <f t="shared" si="46"/>
        <v>0</v>
      </c>
      <c r="Y469" s="210"/>
    </row>
    <row r="470" spans="1:25" ht="14.4" customHeight="1" thickBot="1" x14ac:dyDescent="0.3">
      <c r="A470" s="149"/>
      <c r="J470" s="130">
        <v>1</v>
      </c>
      <c r="K470" s="132">
        <f t="shared" si="42"/>
        <v>0</v>
      </c>
      <c r="M470" s="132">
        <v>1</v>
      </c>
      <c r="N470" s="132">
        <f t="shared" si="43"/>
        <v>0</v>
      </c>
      <c r="P470" s="132">
        <v>1</v>
      </c>
      <c r="Q470" s="132">
        <f t="shared" si="47"/>
        <v>0</v>
      </c>
      <c r="S470" s="132">
        <v>1</v>
      </c>
      <c r="T470" s="132">
        <f t="shared" si="44"/>
        <v>0</v>
      </c>
      <c r="V470" s="126">
        <f t="shared" si="45"/>
        <v>0</v>
      </c>
      <c r="W470" s="92">
        <f t="shared" si="46"/>
        <v>0</v>
      </c>
      <c r="Y470" s="210"/>
    </row>
    <row r="471" spans="1:25" ht="14.4" customHeight="1" thickBot="1" x14ac:dyDescent="0.3">
      <c r="A471" s="149"/>
      <c r="J471" s="130">
        <v>1</v>
      </c>
      <c r="K471" s="132">
        <f t="shared" si="42"/>
        <v>0</v>
      </c>
      <c r="M471" s="132">
        <v>1</v>
      </c>
      <c r="N471" s="132">
        <f t="shared" si="43"/>
        <v>0</v>
      </c>
      <c r="P471" s="132">
        <v>1</v>
      </c>
      <c r="Q471" s="132">
        <f t="shared" si="47"/>
        <v>0</v>
      </c>
      <c r="S471" s="132">
        <v>1</v>
      </c>
      <c r="T471" s="132">
        <f t="shared" si="44"/>
        <v>0</v>
      </c>
      <c r="V471" s="126">
        <f t="shared" si="45"/>
        <v>0</v>
      </c>
      <c r="W471" s="92">
        <f t="shared" si="46"/>
        <v>0</v>
      </c>
      <c r="Y471" s="210"/>
    </row>
    <row r="472" spans="1:25" ht="14.4" customHeight="1" thickBot="1" x14ac:dyDescent="0.3">
      <c r="A472" s="149"/>
      <c r="J472" s="130">
        <v>1</v>
      </c>
      <c r="K472" s="132">
        <f t="shared" si="42"/>
        <v>0</v>
      </c>
      <c r="M472" s="132">
        <v>1</v>
      </c>
      <c r="N472" s="132">
        <f t="shared" si="43"/>
        <v>0</v>
      </c>
      <c r="P472" s="132">
        <v>1</v>
      </c>
      <c r="Q472" s="132">
        <f t="shared" si="47"/>
        <v>0</v>
      </c>
      <c r="S472" s="132">
        <v>1</v>
      </c>
      <c r="T472" s="132">
        <f t="shared" si="44"/>
        <v>0</v>
      </c>
      <c r="V472" s="126">
        <f t="shared" si="45"/>
        <v>0</v>
      </c>
      <c r="W472" s="92">
        <f t="shared" si="46"/>
        <v>0</v>
      </c>
      <c r="Y472" s="210"/>
    </row>
    <row r="473" spans="1:25" ht="14.4" customHeight="1" thickBot="1" x14ac:dyDescent="0.3">
      <c r="A473" s="149"/>
      <c r="J473" s="130">
        <v>1</v>
      </c>
      <c r="K473" s="132">
        <f t="shared" si="42"/>
        <v>0</v>
      </c>
      <c r="M473" s="132">
        <v>1</v>
      </c>
      <c r="N473" s="132">
        <f t="shared" si="43"/>
        <v>0</v>
      </c>
      <c r="P473" s="132">
        <v>1</v>
      </c>
      <c r="Q473" s="132">
        <f t="shared" si="47"/>
        <v>0</v>
      </c>
      <c r="S473" s="132">
        <v>1</v>
      </c>
      <c r="T473" s="132">
        <f t="shared" si="44"/>
        <v>0</v>
      </c>
      <c r="V473" s="126">
        <f t="shared" si="45"/>
        <v>0</v>
      </c>
      <c r="W473" s="92">
        <f t="shared" si="46"/>
        <v>0</v>
      </c>
      <c r="Y473" s="210"/>
    </row>
    <row r="474" spans="1:25" ht="14.4" customHeight="1" thickBot="1" x14ac:dyDescent="0.3">
      <c r="A474" s="149"/>
      <c r="J474" s="130">
        <v>1</v>
      </c>
      <c r="K474" s="132">
        <f t="shared" si="42"/>
        <v>0</v>
      </c>
      <c r="M474" s="132">
        <v>1</v>
      </c>
      <c r="N474" s="132">
        <f t="shared" si="43"/>
        <v>0</v>
      </c>
      <c r="P474" s="132">
        <v>1</v>
      </c>
      <c r="Q474" s="132">
        <f t="shared" si="47"/>
        <v>0</v>
      </c>
      <c r="S474" s="132">
        <v>1</v>
      </c>
      <c r="T474" s="132">
        <f t="shared" si="44"/>
        <v>0</v>
      </c>
      <c r="V474" s="126">
        <f t="shared" si="45"/>
        <v>0</v>
      </c>
      <c r="W474" s="92">
        <f t="shared" si="46"/>
        <v>0</v>
      </c>
      <c r="Y474" s="210"/>
    </row>
    <row r="475" spans="1:25" ht="14.4" customHeight="1" thickBot="1" x14ac:dyDescent="0.3">
      <c r="A475" s="149"/>
      <c r="J475" s="130">
        <v>1</v>
      </c>
      <c r="K475" s="132">
        <f t="shared" si="42"/>
        <v>0</v>
      </c>
      <c r="M475" s="132">
        <v>1</v>
      </c>
      <c r="N475" s="132">
        <f t="shared" si="43"/>
        <v>0</v>
      </c>
      <c r="P475" s="132">
        <v>1</v>
      </c>
      <c r="Q475" s="132">
        <f t="shared" si="47"/>
        <v>0</v>
      </c>
      <c r="S475" s="132">
        <v>1</v>
      </c>
      <c r="T475" s="132">
        <f t="shared" si="44"/>
        <v>0</v>
      </c>
      <c r="V475" s="126">
        <f t="shared" si="45"/>
        <v>0</v>
      </c>
      <c r="W475" s="92">
        <f t="shared" si="46"/>
        <v>0</v>
      </c>
      <c r="Y475" s="210"/>
    </row>
    <row r="476" spans="1:25" ht="14.4" customHeight="1" thickBot="1" x14ac:dyDescent="0.3">
      <c r="A476" s="149"/>
      <c r="J476" s="130">
        <v>1</v>
      </c>
      <c r="K476" s="132">
        <f t="shared" si="42"/>
        <v>0</v>
      </c>
      <c r="M476" s="132">
        <v>1</v>
      </c>
      <c r="N476" s="132">
        <f t="shared" si="43"/>
        <v>0</v>
      </c>
      <c r="P476" s="132">
        <v>1</v>
      </c>
      <c r="Q476" s="132">
        <f t="shared" si="47"/>
        <v>0</v>
      </c>
      <c r="S476" s="132">
        <v>1</v>
      </c>
      <c r="T476" s="132">
        <f t="shared" si="44"/>
        <v>0</v>
      </c>
      <c r="V476" s="126">
        <f t="shared" si="45"/>
        <v>0</v>
      </c>
      <c r="W476" s="92">
        <f t="shared" si="46"/>
        <v>0</v>
      </c>
      <c r="Y476" s="210"/>
    </row>
    <row r="477" spans="1:25" ht="14.4" customHeight="1" thickBot="1" x14ac:dyDescent="0.3">
      <c r="A477" s="149"/>
      <c r="J477" s="130">
        <v>1</v>
      </c>
      <c r="K477" s="132">
        <f t="shared" si="42"/>
        <v>0</v>
      </c>
      <c r="M477" s="132">
        <v>1</v>
      </c>
      <c r="N477" s="132">
        <f t="shared" si="43"/>
        <v>0</v>
      </c>
      <c r="P477" s="132">
        <v>1</v>
      </c>
      <c r="Q477" s="132">
        <f t="shared" si="47"/>
        <v>0</v>
      </c>
      <c r="S477" s="132">
        <v>1</v>
      </c>
      <c r="T477" s="132">
        <f t="shared" si="44"/>
        <v>0</v>
      </c>
      <c r="V477" s="126">
        <f t="shared" si="45"/>
        <v>0</v>
      </c>
      <c r="W477" s="92">
        <f t="shared" si="46"/>
        <v>0</v>
      </c>
      <c r="Y477" s="210"/>
    </row>
    <row r="478" spans="1:25" ht="14.4" customHeight="1" thickBot="1" x14ac:dyDescent="0.3">
      <c r="A478" s="149"/>
      <c r="J478" s="130">
        <v>1</v>
      </c>
      <c r="K478" s="132">
        <f t="shared" si="42"/>
        <v>0</v>
      </c>
      <c r="M478" s="132">
        <v>1</v>
      </c>
      <c r="N478" s="132">
        <f t="shared" si="43"/>
        <v>0</v>
      </c>
      <c r="P478" s="132">
        <v>1</v>
      </c>
      <c r="Q478" s="132">
        <f t="shared" si="47"/>
        <v>0</v>
      </c>
      <c r="S478" s="132">
        <v>1</v>
      </c>
      <c r="T478" s="132">
        <f t="shared" si="44"/>
        <v>0</v>
      </c>
      <c r="V478" s="126">
        <f t="shared" si="45"/>
        <v>0</v>
      </c>
      <c r="W478" s="92">
        <f t="shared" si="46"/>
        <v>0</v>
      </c>
      <c r="Y478" s="210"/>
    </row>
    <row r="479" spans="1:25" ht="14.4" customHeight="1" thickBot="1" x14ac:dyDescent="0.3">
      <c r="A479" s="149"/>
      <c r="J479" s="130">
        <v>1</v>
      </c>
      <c r="K479" s="132">
        <f t="shared" si="42"/>
        <v>0</v>
      </c>
      <c r="M479" s="132">
        <v>1</v>
      </c>
      <c r="N479" s="132">
        <f t="shared" si="43"/>
        <v>0</v>
      </c>
      <c r="P479" s="132">
        <v>1</v>
      </c>
      <c r="Q479" s="132">
        <f t="shared" si="47"/>
        <v>0</v>
      </c>
      <c r="S479" s="132">
        <v>1</v>
      </c>
      <c r="T479" s="132">
        <f t="shared" si="44"/>
        <v>0</v>
      </c>
      <c r="V479" s="126">
        <f t="shared" si="45"/>
        <v>0</v>
      </c>
      <c r="W479" s="92">
        <f t="shared" si="46"/>
        <v>0</v>
      </c>
      <c r="Y479" s="210"/>
    </row>
    <row r="480" spans="1:25" ht="14.4" customHeight="1" thickBot="1" x14ac:dyDescent="0.3">
      <c r="A480" s="149"/>
      <c r="J480" s="130">
        <v>1</v>
      </c>
      <c r="K480" s="132">
        <f t="shared" si="42"/>
        <v>0</v>
      </c>
      <c r="M480" s="132">
        <v>1</v>
      </c>
      <c r="N480" s="132">
        <f t="shared" si="43"/>
        <v>0</v>
      </c>
      <c r="P480" s="132">
        <v>1</v>
      </c>
      <c r="Q480" s="132">
        <f t="shared" si="47"/>
        <v>0</v>
      </c>
      <c r="S480" s="132">
        <v>1</v>
      </c>
      <c r="T480" s="132">
        <f t="shared" si="44"/>
        <v>0</v>
      </c>
      <c r="V480" s="126">
        <f t="shared" si="45"/>
        <v>0</v>
      </c>
      <c r="W480" s="92">
        <f t="shared" si="46"/>
        <v>0</v>
      </c>
      <c r="Y480" s="210"/>
    </row>
    <row r="481" spans="1:25" ht="14.4" customHeight="1" thickBot="1" x14ac:dyDescent="0.3">
      <c r="A481" s="149"/>
      <c r="J481" s="130">
        <v>1</v>
      </c>
      <c r="K481" s="132">
        <f t="shared" si="42"/>
        <v>0</v>
      </c>
      <c r="M481" s="132">
        <v>1</v>
      </c>
      <c r="N481" s="132">
        <f t="shared" si="43"/>
        <v>0</v>
      </c>
      <c r="P481" s="132">
        <v>1</v>
      </c>
      <c r="Q481" s="132">
        <f t="shared" si="47"/>
        <v>0</v>
      </c>
      <c r="S481" s="132">
        <v>1</v>
      </c>
      <c r="T481" s="132">
        <f t="shared" si="44"/>
        <v>0</v>
      </c>
      <c r="V481" s="126">
        <f t="shared" si="45"/>
        <v>0</v>
      </c>
      <c r="W481" s="92">
        <f t="shared" si="46"/>
        <v>0</v>
      </c>
      <c r="Y481" s="210"/>
    </row>
    <row r="482" spans="1:25" ht="14.4" customHeight="1" thickBot="1" x14ac:dyDescent="0.3">
      <c r="A482" s="149"/>
      <c r="J482" s="130">
        <v>1</v>
      </c>
      <c r="K482" s="132">
        <f t="shared" si="42"/>
        <v>0</v>
      </c>
      <c r="M482" s="132">
        <v>1</v>
      </c>
      <c r="N482" s="132">
        <f t="shared" si="43"/>
        <v>0</v>
      </c>
      <c r="P482" s="132">
        <v>1</v>
      </c>
      <c r="Q482" s="132">
        <f t="shared" si="47"/>
        <v>0</v>
      </c>
      <c r="S482" s="132">
        <v>1</v>
      </c>
      <c r="T482" s="132">
        <f t="shared" si="44"/>
        <v>0</v>
      </c>
      <c r="V482" s="126">
        <f t="shared" si="45"/>
        <v>0</v>
      </c>
      <c r="W482" s="92">
        <f t="shared" si="46"/>
        <v>0</v>
      </c>
      <c r="Y482" s="210"/>
    </row>
    <row r="483" spans="1:25" ht="14.4" customHeight="1" thickBot="1" x14ac:dyDescent="0.3">
      <c r="A483" s="149"/>
      <c r="J483" s="130">
        <v>1</v>
      </c>
      <c r="K483" s="132">
        <f t="shared" si="42"/>
        <v>0</v>
      </c>
      <c r="M483" s="132">
        <v>1</v>
      </c>
      <c r="N483" s="132">
        <f t="shared" si="43"/>
        <v>0</v>
      </c>
      <c r="P483" s="132">
        <v>1</v>
      </c>
      <c r="Q483" s="132">
        <f t="shared" si="47"/>
        <v>0</v>
      </c>
      <c r="S483" s="132">
        <v>1</v>
      </c>
      <c r="T483" s="132">
        <f t="shared" si="44"/>
        <v>0</v>
      </c>
      <c r="V483" s="126">
        <f t="shared" si="45"/>
        <v>0</v>
      </c>
      <c r="W483" s="92">
        <f t="shared" si="46"/>
        <v>0</v>
      </c>
      <c r="Y483" s="210"/>
    </row>
    <row r="484" spans="1:25" ht="14.4" customHeight="1" thickBot="1" x14ac:dyDescent="0.3">
      <c r="A484" s="149"/>
      <c r="J484" s="130">
        <v>1</v>
      </c>
      <c r="K484" s="132">
        <f t="shared" si="42"/>
        <v>0</v>
      </c>
      <c r="M484" s="132">
        <v>1</v>
      </c>
      <c r="N484" s="132">
        <f t="shared" si="43"/>
        <v>0</v>
      </c>
      <c r="P484" s="132">
        <v>1</v>
      </c>
      <c r="Q484" s="132">
        <f t="shared" si="47"/>
        <v>0</v>
      </c>
      <c r="S484" s="132">
        <v>1</v>
      </c>
      <c r="T484" s="132">
        <f t="shared" si="44"/>
        <v>0</v>
      </c>
      <c r="V484" s="126">
        <f t="shared" si="45"/>
        <v>0</v>
      </c>
      <c r="W484" s="92">
        <f t="shared" si="46"/>
        <v>0</v>
      </c>
      <c r="Y484" s="210"/>
    </row>
    <row r="485" spans="1:25" ht="14.4" customHeight="1" thickBot="1" x14ac:dyDescent="0.3">
      <c r="A485" s="149"/>
      <c r="J485" s="130">
        <v>1</v>
      </c>
      <c r="K485" s="132">
        <f t="shared" si="42"/>
        <v>0</v>
      </c>
      <c r="M485" s="132">
        <v>1</v>
      </c>
      <c r="N485" s="132">
        <f t="shared" si="43"/>
        <v>0</v>
      </c>
      <c r="P485" s="132">
        <v>1</v>
      </c>
      <c r="Q485" s="132">
        <f t="shared" si="47"/>
        <v>0</v>
      </c>
      <c r="S485" s="132">
        <v>1</v>
      </c>
      <c r="T485" s="132">
        <f t="shared" si="44"/>
        <v>0</v>
      </c>
      <c r="V485" s="126">
        <f t="shared" si="45"/>
        <v>0</v>
      </c>
      <c r="W485" s="92">
        <f t="shared" si="46"/>
        <v>0</v>
      </c>
      <c r="Y485" s="210"/>
    </row>
    <row r="486" spans="1:25" ht="14.4" customHeight="1" thickBot="1" x14ac:dyDescent="0.3">
      <c r="A486" s="149"/>
      <c r="J486" s="130">
        <v>1</v>
      </c>
      <c r="K486" s="132">
        <f t="shared" si="42"/>
        <v>0</v>
      </c>
      <c r="M486" s="132">
        <v>1</v>
      </c>
      <c r="N486" s="132">
        <f t="shared" si="43"/>
        <v>0</v>
      </c>
      <c r="P486" s="132">
        <v>1</v>
      </c>
      <c r="Q486" s="132">
        <f t="shared" si="47"/>
        <v>0</v>
      </c>
      <c r="S486" s="132">
        <v>1</v>
      </c>
      <c r="T486" s="132">
        <f t="shared" si="44"/>
        <v>0</v>
      </c>
      <c r="V486" s="126">
        <f t="shared" si="45"/>
        <v>0</v>
      </c>
      <c r="W486" s="92">
        <f t="shared" si="46"/>
        <v>0</v>
      </c>
      <c r="Y486" s="210"/>
    </row>
    <row r="487" spans="1:25" ht="14.4" customHeight="1" thickBot="1" x14ac:dyDescent="0.3">
      <c r="A487" s="149"/>
      <c r="J487" s="130">
        <v>1</v>
      </c>
      <c r="K487" s="132">
        <f t="shared" si="42"/>
        <v>0</v>
      </c>
      <c r="M487" s="132">
        <v>1</v>
      </c>
      <c r="N487" s="132">
        <f t="shared" si="43"/>
        <v>0</v>
      </c>
      <c r="P487" s="132">
        <v>1</v>
      </c>
      <c r="Q487" s="132">
        <f t="shared" si="47"/>
        <v>0</v>
      </c>
      <c r="S487" s="132">
        <v>1</v>
      </c>
      <c r="T487" s="132">
        <f t="shared" si="44"/>
        <v>0</v>
      </c>
      <c r="V487" s="126">
        <f t="shared" si="45"/>
        <v>0</v>
      </c>
      <c r="W487" s="92">
        <f t="shared" si="46"/>
        <v>0</v>
      </c>
      <c r="Y487" s="210"/>
    </row>
    <row r="488" spans="1:25" ht="14.4" customHeight="1" thickBot="1" x14ac:dyDescent="0.3">
      <c r="A488" s="149"/>
      <c r="J488" s="130">
        <v>1</v>
      </c>
      <c r="K488" s="132">
        <f t="shared" si="42"/>
        <v>0</v>
      </c>
      <c r="M488" s="132">
        <v>1</v>
      </c>
      <c r="N488" s="132">
        <f t="shared" si="43"/>
        <v>0</v>
      </c>
      <c r="P488" s="132">
        <v>1</v>
      </c>
      <c r="Q488" s="132">
        <f t="shared" si="47"/>
        <v>0</v>
      </c>
      <c r="S488" s="132">
        <v>1</v>
      </c>
      <c r="T488" s="132">
        <f t="shared" si="44"/>
        <v>0</v>
      </c>
      <c r="V488" s="126">
        <f t="shared" si="45"/>
        <v>0</v>
      </c>
      <c r="W488" s="92">
        <f t="shared" si="46"/>
        <v>0</v>
      </c>
      <c r="Y488" s="210"/>
    </row>
    <row r="489" spans="1:25" ht="14.4" customHeight="1" thickBot="1" x14ac:dyDescent="0.3">
      <c r="A489" s="149"/>
      <c r="J489" s="130">
        <v>1</v>
      </c>
      <c r="K489" s="132">
        <f t="shared" si="42"/>
        <v>0</v>
      </c>
      <c r="M489" s="132">
        <v>1</v>
      </c>
      <c r="N489" s="132">
        <f t="shared" si="43"/>
        <v>0</v>
      </c>
      <c r="P489" s="132">
        <v>1</v>
      </c>
      <c r="Q489" s="132">
        <f t="shared" si="47"/>
        <v>0</v>
      </c>
      <c r="S489" s="132">
        <v>1</v>
      </c>
      <c r="T489" s="132">
        <f t="shared" si="44"/>
        <v>0</v>
      </c>
      <c r="V489" s="126">
        <f t="shared" si="45"/>
        <v>0</v>
      </c>
      <c r="W489" s="92">
        <f t="shared" si="46"/>
        <v>0</v>
      </c>
      <c r="Y489" s="210"/>
    </row>
    <row r="490" spans="1:25" ht="14.4" customHeight="1" thickBot="1" x14ac:dyDescent="0.3">
      <c r="A490" s="149"/>
      <c r="J490" s="130">
        <v>1</v>
      </c>
      <c r="K490" s="132">
        <f t="shared" si="42"/>
        <v>0</v>
      </c>
      <c r="M490" s="132">
        <v>1</v>
      </c>
      <c r="N490" s="132">
        <f t="shared" si="43"/>
        <v>0</v>
      </c>
      <c r="P490" s="132">
        <v>1</v>
      </c>
      <c r="Q490" s="132">
        <f t="shared" si="47"/>
        <v>0</v>
      </c>
      <c r="S490" s="132">
        <v>1</v>
      </c>
      <c r="T490" s="132">
        <f t="shared" si="44"/>
        <v>0</v>
      </c>
      <c r="V490" s="126">
        <f t="shared" si="45"/>
        <v>0</v>
      </c>
      <c r="W490" s="92">
        <f t="shared" si="46"/>
        <v>0</v>
      </c>
      <c r="Y490" s="210"/>
    </row>
    <row r="491" spans="1:25" ht="14.4" customHeight="1" thickBot="1" x14ac:dyDescent="0.3">
      <c r="A491" s="149"/>
      <c r="J491" s="130">
        <v>1</v>
      </c>
      <c r="K491" s="132">
        <f t="shared" si="42"/>
        <v>0</v>
      </c>
      <c r="M491" s="132">
        <v>1</v>
      </c>
      <c r="N491" s="132">
        <f t="shared" si="43"/>
        <v>0</v>
      </c>
      <c r="P491" s="132">
        <v>1</v>
      </c>
      <c r="Q491" s="132">
        <f t="shared" si="47"/>
        <v>0</v>
      </c>
      <c r="S491" s="132">
        <v>1</v>
      </c>
      <c r="T491" s="132">
        <f t="shared" si="44"/>
        <v>0</v>
      </c>
      <c r="V491" s="126">
        <f t="shared" si="45"/>
        <v>0</v>
      </c>
      <c r="W491" s="92">
        <f t="shared" si="46"/>
        <v>0</v>
      </c>
      <c r="Y491" s="210"/>
    </row>
    <row r="492" spans="1:25" ht="14.4" customHeight="1" thickBot="1" x14ac:dyDescent="0.3">
      <c r="A492" s="149"/>
      <c r="J492" s="130">
        <v>1</v>
      </c>
      <c r="K492" s="132">
        <f t="shared" si="42"/>
        <v>0</v>
      </c>
      <c r="M492" s="132">
        <v>1</v>
      </c>
      <c r="N492" s="132">
        <f t="shared" si="43"/>
        <v>0</v>
      </c>
      <c r="P492" s="132">
        <v>1</v>
      </c>
      <c r="Q492" s="132">
        <f t="shared" si="47"/>
        <v>0</v>
      </c>
      <c r="S492" s="132">
        <v>1</v>
      </c>
      <c r="T492" s="132">
        <f t="shared" si="44"/>
        <v>0</v>
      </c>
      <c r="V492" s="126">
        <f t="shared" si="45"/>
        <v>0</v>
      </c>
      <c r="W492" s="92">
        <f t="shared" si="46"/>
        <v>0</v>
      </c>
      <c r="Y492" s="210"/>
    </row>
    <row r="493" spans="1:25" ht="14.4" customHeight="1" thickBot="1" x14ac:dyDescent="0.3">
      <c r="A493" s="149"/>
      <c r="J493" s="130">
        <v>1</v>
      </c>
      <c r="K493" s="132">
        <f t="shared" si="42"/>
        <v>0</v>
      </c>
      <c r="M493" s="132">
        <v>1</v>
      </c>
      <c r="N493" s="132">
        <f t="shared" si="43"/>
        <v>0</v>
      </c>
      <c r="P493" s="132">
        <v>1</v>
      </c>
      <c r="Q493" s="132">
        <f t="shared" si="47"/>
        <v>0</v>
      </c>
      <c r="S493" s="132">
        <v>1</v>
      </c>
      <c r="T493" s="132">
        <f t="shared" si="44"/>
        <v>0</v>
      </c>
      <c r="V493" s="126">
        <f t="shared" si="45"/>
        <v>0</v>
      </c>
      <c r="W493" s="92">
        <f t="shared" si="46"/>
        <v>0</v>
      </c>
      <c r="Y493" s="210"/>
    </row>
    <row r="494" spans="1:25" ht="14.4" customHeight="1" thickBot="1" x14ac:dyDescent="0.3">
      <c r="A494" s="149"/>
      <c r="J494" s="130">
        <v>1</v>
      </c>
      <c r="K494" s="132">
        <f t="shared" si="42"/>
        <v>0</v>
      </c>
      <c r="M494" s="132">
        <v>1</v>
      </c>
      <c r="N494" s="132">
        <f t="shared" si="43"/>
        <v>0</v>
      </c>
      <c r="P494" s="132">
        <v>1</v>
      </c>
      <c r="Q494" s="132">
        <f t="shared" si="47"/>
        <v>0</v>
      </c>
      <c r="S494" s="132">
        <v>1</v>
      </c>
      <c r="T494" s="132">
        <f t="shared" si="44"/>
        <v>0</v>
      </c>
      <c r="V494" s="126">
        <f t="shared" si="45"/>
        <v>0</v>
      </c>
      <c r="W494" s="92">
        <f t="shared" si="46"/>
        <v>0</v>
      </c>
      <c r="Y494" s="210"/>
    </row>
    <row r="495" spans="1:25" ht="14.4" customHeight="1" thickBot="1" x14ac:dyDescent="0.3">
      <c r="A495" s="149"/>
      <c r="J495" s="130">
        <v>1</v>
      </c>
      <c r="K495" s="132">
        <f t="shared" si="42"/>
        <v>0</v>
      </c>
      <c r="M495" s="132">
        <v>1</v>
      </c>
      <c r="N495" s="132">
        <f t="shared" si="43"/>
        <v>0</v>
      </c>
      <c r="P495" s="132">
        <v>1</v>
      </c>
      <c r="Q495" s="132">
        <f t="shared" si="47"/>
        <v>0</v>
      </c>
      <c r="S495" s="132">
        <v>1</v>
      </c>
      <c r="T495" s="132">
        <f t="shared" si="44"/>
        <v>0</v>
      </c>
      <c r="V495" s="126">
        <f t="shared" si="45"/>
        <v>0</v>
      </c>
      <c r="W495" s="92">
        <f t="shared" si="46"/>
        <v>0</v>
      </c>
      <c r="Y495" s="210"/>
    </row>
    <row r="496" spans="1:25" ht="14.4" customHeight="1" thickBot="1" x14ac:dyDescent="0.3">
      <c r="A496" s="149"/>
      <c r="J496" s="130">
        <v>1</v>
      </c>
      <c r="K496" s="132">
        <f t="shared" si="42"/>
        <v>0</v>
      </c>
      <c r="M496" s="132">
        <v>1</v>
      </c>
      <c r="N496" s="132">
        <f t="shared" si="43"/>
        <v>0</v>
      </c>
      <c r="P496" s="132">
        <v>1</v>
      </c>
      <c r="Q496" s="132">
        <f t="shared" si="47"/>
        <v>0</v>
      </c>
      <c r="S496" s="132">
        <v>1</v>
      </c>
      <c r="T496" s="132">
        <f t="shared" si="44"/>
        <v>0</v>
      </c>
      <c r="V496" s="126">
        <f t="shared" si="45"/>
        <v>0</v>
      </c>
      <c r="W496" s="92">
        <f t="shared" si="46"/>
        <v>0</v>
      </c>
      <c r="Y496" s="210"/>
    </row>
    <row r="497" spans="1:25" ht="14.4" customHeight="1" thickBot="1" x14ac:dyDescent="0.3">
      <c r="A497" s="149"/>
      <c r="J497" s="130">
        <v>1</v>
      </c>
      <c r="K497" s="132">
        <f t="shared" si="42"/>
        <v>0</v>
      </c>
      <c r="M497" s="132">
        <v>1</v>
      </c>
      <c r="N497" s="132">
        <f t="shared" si="43"/>
        <v>0</v>
      </c>
      <c r="P497" s="132">
        <v>1</v>
      </c>
      <c r="Q497" s="132">
        <f t="shared" si="47"/>
        <v>0</v>
      </c>
      <c r="S497" s="132">
        <v>1</v>
      </c>
      <c r="T497" s="132">
        <f t="shared" si="44"/>
        <v>0</v>
      </c>
      <c r="V497" s="126">
        <f t="shared" si="45"/>
        <v>0</v>
      </c>
      <c r="W497" s="92">
        <f t="shared" si="46"/>
        <v>0</v>
      </c>
      <c r="Y497" s="210"/>
    </row>
    <row r="498" spans="1:25" ht="14.4" customHeight="1" thickBot="1" x14ac:dyDescent="0.3">
      <c r="A498" s="149"/>
      <c r="J498" s="130">
        <v>1</v>
      </c>
      <c r="K498" s="132">
        <f t="shared" si="42"/>
        <v>0</v>
      </c>
      <c r="M498" s="132">
        <v>1</v>
      </c>
      <c r="N498" s="132">
        <f t="shared" si="43"/>
        <v>0</v>
      </c>
      <c r="P498" s="132">
        <v>1</v>
      </c>
      <c r="Q498" s="132">
        <f t="shared" si="47"/>
        <v>0</v>
      </c>
      <c r="S498" s="132">
        <v>1</v>
      </c>
      <c r="T498" s="132">
        <f t="shared" si="44"/>
        <v>0</v>
      </c>
      <c r="V498" s="126">
        <f t="shared" si="45"/>
        <v>0</v>
      </c>
      <c r="W498" s="92">
        <f t="shared" si="46"/>
        <v>0</v>
      </c>
      <c r="Y498" s="210"/>
    </row>
    <row r="499" spans="1:25" ht="14.4" customHeight="1" thickBot="1" x14ac:dyDescent="0.3">
      <c r="A499" s="149"/>
      <c r="J499" s="130">
        <v>1</v>
      </c>
      <c r="K499" s="132">
        <f t="shared" si="42"/>
        <v>0</v>
      </c>
      <c r="M499" s="132">
        <v>1</v>
      </c>
      <c r="N499" s="132">
        <f t="shared" si="43"/>
        <v>0</v>
      </c>
      <c r="P499" s="132">
        <v>1</v>
      </c>
      <c r="Q499" s="132">
        <f t="shared" si="47"/>
        <v>0</v>
      </c>
      <c r="S499" s="132">
        <v>1</v>
      </c>
      <c r="T499" s="132">
        <f t="shared" si="44"/>
        <v>0</v>
      </c>
      <c r="V499" s="126">
        <f t="shared" si="45"/>
        <v>0</v>
      </c>
      <c r="W499" s="92">
        <f t="shared" si="46"/>
        <v>0</v>
      </c>
      <c r="Y499" s="210"/>
    </row>
    <row r="500" spans="1:25" ht="14.4" customHeight="1" thickBot="1" x14ac:dyDescent="0.3">
      <c r="A500" s="149"/>
      <c r="J500" s="130">
        <v>1</v>
      </c>
      <c r="K500" s="132">
        <f t="shared" si="42"/>
        <v>0</v>
      </c>
      <c r="M500" s="132">
        <v>1</v>
      </c>
      <c r="N500" s="132">
        <f t="shared" si="43"/>
        <v>0</v>
      </c>
      <c r="P500" s="132">
        <v>1</v>
      </c>
      <c r="Q500" s="132">
        <f t="shared" si="47"/>
        <v>0</v>
      </c>
      <c r="S500" s="132">
        <v>1</v>
      </c>
      <c r="T500" s="132">
        <f t="shared" si="44"/>
        <v>0</v>
      </c>
      <c r="V500" s="126">
        <f t="shared" si="45"/>
        <v>0</v>
      </c>
      <c r="W500" s="92">
        <f t="shared" si="46"/>
        <v>0</v>
      </c>
      <c r="Y500" s="210"/>
    </row>
    <row r="501" spans="1:25" ht="14.4" customHeight="1" thickBot="1" x14ac:dyDescent="0.3">
      <c r="A501" s="149"/>
      <c r="J501" s="130">
        <v>1</v>
      </c>
      <c r="K501" s="132">
        <f t="shared" si="42"/>
        <v>0</v>
      </c>
      <c r="M501" s="132">
        <v>1</v>
      </c>
      <c r="N501" s="132">
        <f t="shared" si="43"/>
        <v>0</v>
      </c>
      <c r="P501" s="132">
        <v>1</v>
      </c>
      <c r="Q501" s="132">
        <f t="shared" si="47"/>
        <v>0</v>
      </c>
      <c r="S501" s="132">
        <v>1</v>
      </c>
      <c r="T501" s="132">
        <f t="shared" si="44"/>
        <v>0</v>
      </c>
      <c r="V501" s="126">
        <f t="shared" si="45"/>
        <v>0</v>
      </c>
      <c r="W501" s="92">
        <f t="shared" si="46"/>
        <v>0</v>
      </c>
      <c r="Y501" s="210"/>
    </row>
    <row r="502" spans="1:25" ht="14.4" customHeight="1" thickBot="1" x14ac:dyDescent="0.3">
      <c r="A502" s="149"/>
      <c r="J502" s="130">
        <v>1</v>
      </c>
      <c r="K502" s="132">
        <f t="shared" si="42"/>
        <v>0</v>
      </c>
      <c r="M502" s="132">
        <v>1</v>
      </c>
      <c r="N502" s="132">
        <f t="shared" si="43"/>
        <v>0</v>
      </c>
      <c r="P502" s="132">
        <v>1</v>
      </c>
      <c r="Q502" s="132">
        <f t="shared" si="47"/>
        <v>0</v>
      </c>
      <c r="S502" s="132">
        <v>1</v>
      </c>
      <c r="T502" s="132">
        <f t="shared" si="44"/>
        <v>0</v>
      </c>
      <c r="V502" s="126">
        <f t="shared" si="45"/>
        <v>0</v>
      </c>
      <c r="W502" s="92">
        <f t="shared" si="46"/>
        <v>0</v>
      </c>
      <c r="Y502" s="210"/>
    </row>
    <row r="503" spans="1:25" ht="14.4" customHeight="1" thickBot="1" x14ac:dyDescent="0.3">
      <c r="A503" s="149"/>
      <c r="J503" s="130">
        <v>1</v>
      </c>
      <c r="K503" s="132">
        <f t="shared" si="42"/>
        <v>0</v>
      </c>
      <c r="M503" s="132">
        <v>1</v>
      </c>
      <c r="N503" s="132">
        <f t="shared" si="43"/>
        <v>0</v>
      </c>
      <c r="P503" s="132">
        <v>1</v>
      </c>
      <c r="Q503" s="132">
        <f t="shared" si="47"/>
        <v>0</v>
      </c>
      <c r="S503" s="132">
        <v>1</v>
      </c>
      <c r="T503" s="132">
        <f t="shared" si="44"/>
        <v>0</v>
      </c>
      <c r="V503" s="126">
        <f t="shared" si="45"/>
        <v>0</v>
      </c>
      <c r="W503" s="92">
        <f t="shared" si="46"/>
        <v>0</v>
      </c>
      <c r="Y503" s="210"/>
    </row>
    <row r="504" spans="1:25" ht="14.4" customHeight="1" thickBot="1" x14ac:dyDescent="0.3">
      <c r="A504" s="149"/>
      <c r="J504" s="130">
        <v>1</v>
      </c>
      <c r="K504" s="132">
        <f t="shared" si="42"/>
        <v>0</v>
      </c>
      <c r="M504" s="132">
        <v>1</v>
      </c>
      <c r="N504" s="132">
        <f t="shared" si="43"/>
        <v>0</v>
      </c>
      <c r="P504" s="132">
        <v>1</v>
      </c>
      <c r="Q504" s="132">
        <f t="shared" si="47"/>
        <v>0</v>
      </c>
      <c r="S504" s="132">
        <v>1</v>
      </c>
      <c r="T504" s="132">
        <f t="shared" si="44"/>
        <v>0</v>
      </c>
      <c r="V504" s="126">
        <f t="shared" si="45"/>
        <v>0</v>
      </c>
      <c r="W504" s="92">
        <f t="shared" si="46"/>
        <v>0</v>
      </c>
      <c r="Y504" s="210"/>
    </row>
    <row r="505" spans="1:25" ht="14.4" customHeight="1" thickBot="1" x14ac:dyDescent="0.3">
      <c r="A505" s="149"/>
      <c r="J505" s="130">
        <v>1</v>
      </c>
      <c r="K505" s="132">
        <f t="shared" si="42"/>
        <v>0</v>
      </c>
      <c r="M505" s="132">
        <v>1</v>
      </c>
      <c r="N505" s="132">
        <f t="shared" si="43"/>
        <v>0</v>
      </c>
      <c r="P505" s="132">
        <v>1</v>
      </c>
      <c r="Q505" s="132">
        <f t="shared" si="47"/>
        <v>0</v>
      </c>
      <c r="S505" s="132">
        <v>1</v>
      </c>
      <c r="T505" s="132">
        <f t="shared" si="44"/>
        <v>0</v>
      </c>
      <c r="V505" s="126">
        <f t="shared" si="45"/>
        <v>0</v>
      </c>
      <c r="W505" s="92">
        <f t="shared" si="46"/>
        <v>0</v>
      </c>
      <c r="Y505" s="210"/>
    </row>
    <row r="506" spans="1:25" ht="14.4" customHeight="1" thickBot="1" x14ac:dyDescent="0.3">
      <c r="A506" s="149"/>
      <c r="J506" s="130">
        <v>1</v>
      </c>
      <c r="K506" s="132">
        <f t="shared" si="42"/>
        <v>0</v>
      </c>
      <c r="M506" s="132">
        <v>1</v>
      </c>
      <c r="N506" s="132">
        <f t="shared" si="43"/>
        <v>0</v>
      </c>
      <c r="P506" s="132">
        <v>1</v>
      </c>
      <c r="Q506" s="132">
        <f t="shared" si="47"/>
        <v>0</v>
      </c>
      <c r="S506" s="132">
        <v>1</v>
      </c>
      <c r="T506" s="132">
        <f t="shared" si="44"/>
        <v>0</v>
      </c>
      <c r="V506" s="126">
        <f t="shared" si="45"/>
        <v>0</v>
      </c>
      <c r="W506" s="92">
        <f t="shared" si="46"/>
        <v>0</v>
      </c>
      <c r="Y506" s="210"/>
    </row>
    <row r="507" spans="1:25" ht="14.4" customHeight="1" thickBot="1" x14ac:dyDescent="0.3">
      <c r="A507" s="149"/>
      <c r="J507" s="130">
        <v>1</v>
      </c>
      <c r="K507" s="132">
        <f t="shared" si="42"/>
        <v>0</v>
      </c>
      <c r="M507" s="132">
        <v>1</v>
      </c>
      <c r="N507" s="132">
        <f t="shared" si="43"/>
        <v>0</v>
      </c>
      <c r="P507" s="132">
        <v>1</v>
      </c>
      <c r="Q507" s="132">
        <f t="shared" si="47"/>
        <v>0</v>
      </c>
      <c r="S507" s="132">
        <v>1</v>
      </c>
      <c r="T507" s="132">
        <f t="shared" si="44"/>
        <v>0</v>
      </c>
      <c r="V507" s="126">
        <f t="shared" si="45"/>
        <v>0</v>
      </c>
      <c r="W507" s="92">
        <f t="shared" si="46"/>
        <v>0</v>
      </c>
      <c r="Y507" s="210"/>
    </row>
    <row r="508" spans="1:25" ht="14.4" customHeight="1" thickBot="1" x14ac:dyDescent="0.3">
      <c r="A508" s="149"/>
      <c r="J508" s="130">
        <v>1</v>
      </c>
      <c r="K508" s="132">
        <f t="shared" si="42"/>
        <v>0</v>
      </c>
      <c r="M508" s="132">
        <v>1</v>
      </c>
      <c r="N508" s="132">
        <f t="shared" si="43"/>
        <v>0</v>
      </c>
      <c r="P508" s="132">
        <v>1</v>
      </c>
      <c r="Q508" s="132">
        <f t="shared" si="47"/>
        <v>0</v>
      </c>
      <c r="S508" s="132">
        <v>1</v>
      </c>
      <c r="T508" s="132">
        <f t="shared" si="44"/>
        <v>0</v>
      </c>
      <c r="V508" s="126">
        <f t="shared" si="45"/>
        <v>0</v>
      </c>
      <c r="W508" s="92">
        <f t="shared" si="46"/>
        <v>0</v>
      </c>
      <c r="Y508" s="210"/>
    </row>
    <row r="509" spans="1:25" ht="14.4" customHeight="1" thickBot="1" x14ac:dyDescent="0.3">
      <c r="A509" s="149"/>
      <c r="J509" s="130">
        <v>1</v>
      </c>
      <c r="K509" s="132">
        <f t="shared" si="42"/>
        <v>0</v>
      </c>
      <c r="M509" s="132">
        <v>1</v>
      </c>
      <c r="N509" s="132">
        <f t="shared" si="43"/>
        <v>0</v>
      </c>
      <c r="P509" s="132">
        <v>1</v>
      </c>
      <c r="Q509" s="132">
        <f t="shared" si="47"/>
        <v>0</v>
      </c>
      <c r="S509" s="132">
        <v>1</v>
      </c>
      <c r="T509" s="132">
        <f t="shared" si="44"/>
        <v>0</v>
      </c>
      <c r="V509" s="126">
        <f t="shared" si="45"/>
        <v>0</v>
      </c>
      <c r="W509" s="92">
        <f t="shared" si="46"/>
        <v>0</v>
      </c>
      <c r="Y509" s="210"/>
    </row>
    <row r="510" spans="1:25" ht="14.4" customHeight="1" thickBot="1" x14ac:dyDescent="0.3">
      <c r="A510" s="149"/>
      <c r="J510" s="130">
        <v>1</v>
      </c>
      <c r="K510" s="132">
        <f t="shared" si="42"/>
        <v>0</v>
      </c>
      <c r="M510" s="132">
        <v>1</v>
      </c>
      <c r="N510" s="132">
        <f t="shared" si="43"/>
        <v>0</v>
      </c>
      <c r="P510" s="132">
        <v>1</v>
      </c>
      <c r="Q510" s="132">
        <f t="shared" si="47"/>
        <v>0</v>
      </c>
      <c r="S510" s="132">
        <v>1</v>
      </c>
      <c r="T510" s="132">
        <f t="shared" si="44"/>
        <v>0</v>
      </c>
      <c r="V510" s="126">
        <f t="shared" si="45"/>
        <v>0</v>
      </c>
      <c r="W510" s="92">
        <f t="shared" si="46"/>
        <v>0</v>
      </c>
      <c r="Y510" s="210"/>
    </row>
    <row r="511" spans="1:25" ht="14.4" customHeight="1" thickBot="1" x14ac:dyDescent="0.3">
      <c r="A511" s="149"/>
      <c r="J511" s="130">
        <v>1</v>
      </c>
      <c r="K511" s="132">
        <f t="shared" si="42"/>
        <v>0</v>
      </c>
      <c r="M511" s="132">
        <v>1</v>
      </c>
      <c r="N511" s="132">
        <f t="shared" si="43"/>
        <v>0</v>
      </c>
      <c r="P511" s="132">
        <v>1</v>
      </c>
      <c r="Q511" s="132">
        <f t="shared" si="47"/>
        <v>0</v>
      </c>
      <c r="S511" s="132">
        <v>1</v>
      </c>
      <c r="T511" s="132">
        <f t="shared" si="44"/>
        <v>0</v>
      </c>
      <c r="V511" s="126">
        <f t="shared" si="45"/>
        <v>0</v>
      </c>
      <c r="W511" s="92">
        <f t="shared" si="46"/>
        <v>0</v>
      </c>
      <c r="Y511" s="210"/>
    </row>
    <row r="512" spans="1:25" ht="14.4" customHeight="1" thickBot="1" x14ac:dyDescent="0.3">
      <c r="A512" s="149"/>
      <c r="J512" s="130">
        <v>1</v>
      </c>
      <c r="K512" s="132">
        <f t="shared" si="42"/>
        <v>0</v>
      </c>
      <c r="M512" s="132">
        <v>1</v>
      </c>
      <c r="N512" s="132">
        <f t="shared" si="43"/>
        <v>0</v>
      </c>
      <c r="P512" s="132">
        <v>1</v>
      </c>
      <c r="Q512" s="132">
        <f t="shared" si="47"/>
        <v>0</v>
      </c>
      <c r="S512" s="132">
        <v>1</v>
      </c>
      <c r="T512" s="132">
        <f t="shared" si="44"/>
        <v>0</v>
      </c>
      <c r="V512" s="126">
        <f t="shared" si="45"/>
        <v>0</v>
      </c>
      <c r="W512" s="92">
        <f t="shared" si="46"/>
        <v>0</v>
      </c>
      <c r="Y512" s="210"/>
    </row>
    <row r="513" spans="1:25" ht="14.4" customHeight="1" thickBot="1" x14ac:dyDescent="0.3">
      <c r="A513" s="149"/>
      <c r="J513" s="130">
        <v>1</v>
      </c>
      <c r="K513" s="132">
        <f t="shared" si="42"/>
        <v>0</v>
      </c>
      <c r="M513" s="132">
        <v>1</v>
      </c>
      <c r="N513" s="132">
        <f t="shared" si="43"/>
        <v>0</v>
      </c>
      <c r="P513" s="132">
        <v>1</v>
      </c>
      <c r="Q513" s="132">
        <f t="shared" si="47"/>
        <v>0</v>
      </c>
      <c r="S513" s="132">
        <v>1</v>
      </c>
      <c r="T513" s="132">
        <f t="shared" si="44"/>
        <v>0</v>
      </c>
      <c r="V513" s="126">
        <f t="shared" si="45"/>
        <v>0</v>
      </c>
      <c r="W513" s="92">
        <f t="shared" si="46"/>
        <v>0</v>
      </c>
      <c r="Y513" s="210"/>
    </row>
    <row r="514" spans="1:25" ht="14.4" customHeight="1" thickBot="1" x14ac:dyDescent="0.3">
      <c r="A514" s="149"/>
      <c r="J514" s="130">
        <v>1</v>
      </c>
      <c r="K514" s="132">
        <f t="shared" ref="K514:K577" si="48">I514/J514</f>
        <v>0</v>
      </c>
      <c r="M514" s="132">
        <v>1</v>
      </c>
      <c r="N514" s="132">
        <f t="shared" ref="N514:N577" si="49">L514/M514</f>
        <v>0</v>
      </c>
      <c r="P514" s="132">
        <v>1</v>
      </c>
      <c r="Q514" s="132">
        <f t="shared" si="47"/>
        <v>0</v>
      </c>
      <c r="S514" s="132">
        <v>1</v>
      </c>
      <c r="T514" s="132">
        <f t="shared" ref="T514:T577" si="50">R514/S514</f>
        <v>0</v>
      </c>
      <c r="V514" s="126">
        <f t="shared" ref="V514:V577" si="51">D514+E514-G514-I514/J514-L514/M514-O514/P514-R514/S514</f>
        <v>0</v>
      </c>
      <c r="W514" s="92">
        <f t="shared" ref="W514:W577" si="52">G514+I514/J514+L514/M514+O514/P514+R514/S514</f>
        <v>0</v>
      </c>
      <c r="Y514" s="210"/>
    </row>
    <row r="515" spans="1:25" ht="14.4" customHeight="1" thickBot="1" x14ac:dyDescent="0.3">
      <c r="A515" s="149"/>
      <c r="J515" s="130">
        <v>1</v>
      </c>
      <c r="K515" s="132">
        <f t="shared" si="48"/>
        <v>0</v>
      </c>
      <c r="M515" s="132">
        <v>1</v>
      </c>
      <c r="N515" s="132">
        <f t="shared" si="49"/>
        <v>0</v>
      </c>
      <c r="P515" s="132">
        <v>1</v>
      </c>
      <c r="Q515" s="132">
        <f t="shared" ref="Q515:Q578" si="53">O515/P515</f>
        <v>0</v>
      </c>
      <c r="S515" s="132">
        <v>1</v>
      </c>
      <c r="T515" s="132">
        <f t="shared" si="50"/>
        <v>0</v>
      </c>
      <c r="V515" s="126">
        <f t="shared" si="51"/>
        <v>0</v>
      </c>
      <c r="W515" s="92">
        <f t="shared" si="52"/>
        <v>0</v>
      </c>
      <c r="Y515" s="210"/>
    </row>
    <row r="516" spans="1:25" ht="14.4" customHeight="1" thickBot="1" x14ac:dyDescent="0.3">
      <c r="A516" s="149"/>
      <c r="J516" s="130">
        <v>1</v>
      </c>
      <c r="K516" s="132">
        <f t="shared" si="48"/>
        <v>0</v>
      </c>
      <c r="M516" s="132">
        <v>1</v>
      </c>
      <c r="N516" s="132">
        <f t="shared" si="49"/>
        <v>0</v>
      </c>
      <c r="P516" s="132">
        <v>1</v>
      </c>
      <c r="Q516" s="132">
        <f t="shared" si="53"/>
        <v>0</v>
      </c>
      <c r="S516" s="132">
        <v>1</v>
      </c>
      <c r="T516" s="132">
        <f t="shared" si="50"/>
        <v>0</v>
      </c>
      <c r="V516" s="126">
        <f t="shared" si="51"/>
        <v>0</v>
      </c>
      <c r="W516" s="92">
        <f t="shared" si="52"/>
        <v>0</v>
      </c>
      <c r="Y516" s="210"/>
    </row>
    <row r="517" spans="1:25" ht="14.4" customHeight="1" thickBot="1" x14ac:dyDescent="0.3">
      <c r="A517" s="149"/>
      <c r="J517" s="130">
        <v>1</v>
      </c>
      <c r="K517" s="132">
        <f t="shared" si="48"/>
        <v>0</v>
      </c>
      <c r="M517" s="132">
        <v>1</v>
      </c>
      <c r="N517" s="132">
        <f t="shared" si="49"/>
        <v>0</v>
      </c>
      <c r="P517" s="132">
        <v>1</v>
      </c>
      <c r="Q517" s="132">
        <f t="shared" si="53"/>
        <v>0</v>
      </c>
      <c r="S517" s="132">
        <v>1</v>
      </c>
      <c r="T517" s="132">
        <f t="shared" si="50"/>
        <v>0</v>
      </c>
      <c r="V517" s="126">
        <f t="shared" si="51"/>
        <v>0</v>
      </c>
      <c r="W517" s="92">
        <f t="shared" si="52"/>
        <v>0</v>
      </c>
      <c r="Y517" s="210"/>
    </row>
    <row r="518" spans="1:25" ht="14.4" customHeight="1" thickBot="1" x14ac:dyDescent="0.3">
      <c r="A518" s="149"/>
      <c r="J518" s="130">
        <v>1</v>
      </c>
      <c r="K518" s="132">
        <f t="shared" si="48"/>
        <v>0</v>
      </c>
      <c r="M518" s="132">
        <v>1</v>
      </c>
      <c r="N518" s="132">
        <f t="shared" si="49"/>
        <v>0</v>
      </c>
      <c r="P518" s="132">
        <v>1</v>
      </c>
      <c r="Q518" s="132">
        <f t="shared" si="53"/>
        <v>0</v>
      </c>
      <c r="S518" s="132">
        <v>1</v>
      </c>
      <c r="T518" s="132">
        <f t="shared" si="50"/>
        <v>0</v>
      </c>
      <c r="V518" s="126">
        <f t="shared" si="51"/>
        <v>0</v>
      </c>
      <c r="W518" s="92">
        <f t="shared" si="52"/>
        <v>0</v>
      </c>
      <c r="Y518" s="210"/>
    </row>
    <row r="519" spans="1:25" ht="14.4" customHeight="1" thickBot="1" x14ac:dyDescent="0.3">
      <c r="A519" s="149"/>
      <c r="J519" s="130">
        <v>1</v>
      </c>
      <c r="K519" s="132">
        <f t="shared" si="48"/>
        <v>0</v>
      </c>
      <c r="M519" s="132">
        <v>1</v>
      </c>
      <c r="N519" s="132">
        <f t="shared" si="49"/>
        <v>0</v>
      </c>
      <c r="P519" s="132">
        <v>1</v>
      </c>
      <c r="Q519" s="132">
        <f t="shared" si="53"/>
        <v>0</v>
      </c>
      <c r="S519" s="132">
        <v>1</v>
      </c>
      <c r="T519" s="132">
        <f t="shared" si="50"/>
        <v>0</v>
      </c>
      <c r="V519" s="126">
        <f t="shared" si="51"/>
        <v>0</v>
      </c>
      <c r="W519" s="92">
        <f t="shared" si="52"/>
        <v>0</v>
      </c>
      <c r="Y519" s="210"/>
    </row>
    <row r="520" spans="1:25" ht="14.4" customHeight="1" thickBot="1" x14ac:dyDescent="0.3">
      <c r="A520" s="149"/>
      <c r="J520" s="130">
        <v>1</v>
      </c>
      <c r="K520" s="132">
        <f t="shared" si="48"/>
        <v>0</v>
      </c>
      <c r="M520" s="132">
        <v>1</v>
      </c>
      <c r="N520" s="132">
        <f t="shared" si="49"/>
        <v>0</v>
      </c>
      <c r="P520" s="132">
        <v>1</v>
      </c>
      <c r="Q520" s="132">
        <f t="shared" si="53"/>
        <v>0</v>
      </c>
      <c r="S520" s="132">
        <v>1</v>
      </c>
      <c r="T520" s="132">
        <f t="shared" si="50"/>
        <v>0</v>
      </c>
      <c r="V520" s="126">
        <f t="shared" si="51"/>
        <v>0</v>
      </c>
      <c r="W520" s="92">
        <f t="shared" si="52"/>
        <v>0</v>
      </c>
      <c r="Y520" s="210"/>
    </row>
    <row r="521" spans="1:25" ht="14.4" customHeight="1" thickBot="1" x14ac:dyDescent="0.3">
      <c r="A521" s="149"/>
      <c r="J521" s="130">
        <v>1</v>
      </c>
      <c r="K521" s="132">
        <f t="shared" si="48"/>
        <v>0</v>
      </c>
      <c r="M521" s="132">
        <v>1</v>
      </c>
      <c r="N521" s="132">
        <f t="shared" si="49"/>
        <v>0</v>
      </c>
      <c r="P521" s="132">
        <v>1</v>
      </c>
      <c r="Q521" s="132">
        <f t="shared" si="53"/>
        <v>0</v>
      </c>
      <c r="S521" s="132">
        <v>1</v>
      </c>
      <c r="T521" s="132">
        <f t="shared" si="50"/>
        <v>0</v>
      </c>
      <c r="V521" s="126">
        <f t="shared" si="51"/>
        <v>0</v>
      </c>
      <c r="W521" s="92">
        <f t="shared" si="52"/>
        <v>0</v>
      </c>
      <c r="Y521" s="210"/>
    </row>
    <row r="522" spans="1:25" ht="14.4" customHeight="1" thickBot="1" x14ac:dyDescent="0.3">
      <c r="A522" s="149"/>
      <c r="J522" s="130">
        <v>1</v>
      </c>
      <c r="K522" s="132">
        <f t="shared" si="48"/>
        <v>0</v>
      </c>
      <c r="M522" s="132">
        <v>1</v>
      </c>
      <c r="N522" s="132">
        <f t="shared" si="49"/>
        <v>0</v>
      </c>
      <c r="P522" s="132">
        <v>1</v>
      </c>
      <c r="Q522" s="132">
        <f t="shared" si="53"/>
        <v>0</v>
      </c>
      <c r="S522" s="132">
        <v>1</v>
      </c>
      <c r="T522" s="132">
        <f t="shared" si="50"/>
        <v>0</v>
      </c>
      <c r="V522" s="126">
        <f t="shared" si="51"/>
        <v>0</v>
      </c>
      <c r="W522" s="92">
        <f t="shared" si="52"/>
        <v>0</v>
      </c>
      <c r="Y522" s="210"/>
    </row>
    <row r="523" spans="1:25" ht="14.4" customHeight="1" thickBot="1" x14ac:dyDescent="0.3">
      <c r="A523" s="149"/>
      <c r="J523" s="130">
        <v>1</v>
      </c>
      <c r="K523" s="132">
        <f t="shared" si="48"/>
        <v>0</v>
      </c>
      <c r="M523" s="132">
        <v>1</v>
      </c>
      <c r="N523" s="132">
        <f t="shared" si="49"/>
        <v>0</v>
      </c>
      <c r="P523" s="132">
        <v>1</v>
      </c>
      <c r="Q523" s="132">
        <f t="shared" si="53"/>
        <v>0</v>
      </c>
      <c r="S523" s="132">
        <v>1</v>
      </c>
      <c r="T523" s="132">
        <f t="shared" si="50"/>
        <v>0</v>
      </c>
      <c r="V523" s="126">
        <f t="shared" si="51"/>
        <v>0</v>
      </c>
      <c r="W523" s="92">
        <f t="shared" si="52"/>
        <v>0</v>
      </c>
      <c r="Y523" s="210"/>
    </row>
    <row r="524" spans="1:25" ht="14.4" customHeight="1" thickBot="1" x14ac:dyDescent="0.3">
      <c r="A524" s="149"/>
      <c r="J524" s="130">
        <v>1</v>
      </c>
      <c r="K524" s="132">
        <f t="shared" si="48"/>
        <v>0</v>
      </c>
      <c r="M524" s="132">
        <v>1</v>
      </c>
      <c r="N524" s="132">
        <f t="shared" si="49"/>
        <v>0</v>
      </c>
      <c r="P524" s="132">
        <v>1</v>
      </c>
      <c r="Q524" s="132">
        <f t="shared" si="53"/>
        <v>0</v>
      </c>
      <c r="S524" s="132">
        <v>1</v>
      </c>
      <c r="T524" s="132">
        <f t="shared" si="50"/>
        <v>0</v>
      </c>
      <c r="V524" s="126">
        <f t="shared" si="51"/>
        <v>0</v>
      </c>
      <c r="W524" s="92">
        <f t="shared" si="52"/>
        <v>0</v>
      </c>
      <c r="Y524" s="210"/>
    </row>
    <row r="525" spans="1:25" ht="14.4" customHeight="1" thickBot="1" x14ac:dyDescent="0.3">
      <c r="A525" s="149"/>
      <c r="J525" s="130">
        <v>1</v>
      </c>
      <c r="K525" s="132">
        <f t="shared" si="48"/>
        <v>0</v>
      </c>
      <c r="M525" s="132">
        <v>1</v>
      </c>
      <c r="N525" s="132">
        <f t="shared" si="49"/>
        <v>0</v>
      </c>
      <c r="P525" s="132">
        <v>1</v>
      </c>
      <c r="Q525" s="132">
        <f t="shared" si="53"/>
        <v>0</v>
      </c>
      <c r="S525" s="132">
        <v>1</v>
      </c>
      <c r="T525" s="132">
        <f t="shared" si="50"/>
        <v>0</v>
      </c>
      <c r="V525" s="126">
        <f t="shared" si="51"/>
        <v>0</v>
      </c>
      <c r="W525" s="92">
        <f t="shared" si="52"/>
        <v>0</v>
      </c>
      <c r="Y525" s="210"/>
    </row>
    <row r="526" spans="1:25" ht="14.4" customHeight="1" thickBot="1" x14ac:dyDescent="0.3">
      <c r="A526" s="149"/>
      <c r="J526" s="130">
        <v>1</v>
      </c>
      <c r="K526" s="132">
        <f t="shared" si="48"/>
        <v>0</v>
      </c>
      <c r="M526" s="132">
        <v>1</v>
      </c>
      <c r="N526" s="132">
        <f t="shared" si="49"/>
        <v>0</v>
      </c>
      <c r="P526" s="132">
        <v>1</v>
      </c>
      <c r="Q526" s="132">
        <f t="shared" si="53"/>
        <v>0</v>
      </c>
      <c r="S526" s="132">
        <v>1</v>
      </c>
      <c r="T526" s="132">
        <f t="shared" si="50"/>
        <v>0</v>
      </c>
      <c r="V526" s="126">
        <f t="shared" si="51"/>
        <v>0</v>
      </c>
      <c r="W526" s="92">
        <f t="shared" si="52"/>
        <v>0</v>
      </c>
      <c r="Y526" s="210"/>
    </row>
    <row r="527" spans="1:25" ht="14.4" customHeight="1" thickBot="1" x14ac:dyDescent="0.3">
      <c r="A527" s="149"/>
      <c r="J527" s="130">
        <v>1</v>
      </c>
      <c r="K527" s="132">
        <f t="shared" si="48"/>
        <v>0</v>
      </c>
      <c r="M527" s="132">
        <v>1</v>
      </c>
      <c r="N527" s="132">
        <f t="shared" si="49"/>
        <v>0</v>
      </c>
      <c r="P527" s="132">
        <v>1</v>
      </c>
      <c r="Q527" s="132">
        <f t="shared" si="53"/>
        <v>0</v>
      </c>
      <c r="S527" s="132">
        <v>1</v>
      </c>
      <c r="T527" s="132">
        <f t="shared" si="50"/>
        <v>0</v>
      </c>
      <c r="V527" s="126">
        <f t="shared" si="51"/>
        <v>0</v>
      </c>
      <c r="W527" s="92">
        <f t="shared" si="52"/>
        <v>0</v>
      </c>
      <c r="Y527" s="210"/>
    </row>
    <row r="528" spans="1:25" ht="14.4" customHeight="1" thickBot="1" x14ac:dyDescent="0.3">
      <c r="A528" s="149"/>
      <c r="J528" s="130">
        <v>1</v>
      </c>
      <c r="K528" s="132">
        <f t="shared" si="48"/>
        <v>0</v>
      </c>
      <c r="M528" s="132">
        <v>1</v>
      </c>
      <c r="N528" s="132">
        <f t="shared" si="49"/>
        <v>0</v>
      </c>
      <c r="P528" s="132">
        <v>1</v>
      </c>
      <c r="Q528" s="132">
        <f t="shared" si="53"/>
        <v>0</v>
      </c>
      <c r="S528" s="132">
        <v>1</v>
      </c>
      <c r="T528" s="132">
        <f t="shared" si="50"/>
        <v>0</v>
      </c>
      <c r="V528" s="126">
        <f t="shared" si="51"/>
        <v>0</v>
      </c>
      <c r="W528" s="92">
        <f t="shared" si="52"/>
        <v>0</v>
      </c>
      <c r="Y528" s="210"/>
    </row>
    <row r="529" spans="1:25" ht="14.4" customHeight="1" thickBot="1" x14ac:dyDescent="0.3">
      <c r="A529" s="149"/>
      <c r="J529" s="130">
        <v>1</v>
      </c>
      <c r="K529" s="132">
        <f t="shared" si="48"/>
        <v>0</v>
      </c>
      <c r="M529" s="132">
        <v>1</v>
      </c>
      <c r="N529" s="132">
        <f t="shared" si="49"/>
        <v>0</v>
      </c>
      <c r="P529" s="132">
        <v>1</v>
      </c>
      <c r="Q529" s="132">
        <f t="shared" si="53"/>
        <v>0</v>
      </c>
      <c r="S529" s="132">
        <v>1</v>
      </c>
      <c r="T529" s="132">
        <f t="shared" si="50"/>
        <v>0</v>
      </c>
      <c r="V529" s="126">
        <f t="shared" si="51"/>
        <v>0</v>
      </c>
      <c r="W529" s="92">
        <f t="shared" si="52"/>
        <v>0</v>
      </c>
      <c r="Y529" s="210"/>
    </row>
    <row r="530" spans="1:25" ht="14.4" customHeight="1" thickBot="1" x14ac:dyDescent="0.3">
      <c r="A530" s="149"/>
      <c r="J530" s="130">
        <v>1</v>
      </c>
      <c r="K530" s="132">
        <f t="shared" si="48"/>
        <v>0</v>
      </c>
      <c r="M530" s="132">
        <v>1</v>
      </c>
      <c r="N530" s="132">
        <f t="shared" si="49"/>
        <v>0</v>
      </c>
      <c r="P530" s="132">
        <v>1</v>
      </c>
      <c r="Q530" s="132">
        <f t="shared" si="53"/>
        <v>0</v>
      </c>
      <c r="S530" s="132">
        <v>1</v>
      </c>
      <c r="T530" s="132">
        <f t="shared" si="50"/>
        <v>0</v>
      </c>
      <c r="V530" s="126">
        <f t="shared" si="51"/>
        <v>0</v>
      </c>
      <c r="W530" s="92">
        <f t="shared" si="52"/>
        <v>0</v>
      </c>
      <c r="Y530" s="210"/>
    </row>
    <row r="531" spans="1:25" ht="14.4" customHeight="1" thickBot="1" x14ac:dyDescent="0.3">
      <c r="A531" s="149"/>
      <c r="J531" s="130">
        <v>1</v>
      </c>
      <c r="K531" s="132">
        <f t="shared" si="48"/>
        <v>0</v>
      </c>
      <c r="M531" s="132">
        <v>1</v>
      </c>
      <c r="N531" s="132">
        <f t="shared" si="49"/>
        <v>0</v>
      </c>
      <c r="P531" s="132">
        <v>1</v>
      </c>
      <c r="Q531" s="132">
        <f t="shared" si="53"/>
        <v>0</v>
      </c>
      <c r="S531" s="132">
        <v>1</v>
      </c>
      <c r="T531" s="132">
        <f t="shared" si="50"/>
        <v>0</v>
      </c>
      <c r="V531" s="126">
        <f t="shared" si="51"/>
        <v>0</v>
      </c>
      <c r="W531" s="92">
        <f t="shared" si="52"/>
        <v>0</v>
      </c>
      <c r="Y531" s="210"/>
    </row>
    <row r="532" spans="1:25" ht="14.4" customHeight="1" thickBot="1" x14ac:dyDescent="0.3">
      <c r="A532" s="149"/>
      <c r="J532" s="130">
        <v>1</v>
      </c>
      <c r="K532" s="132">
        <f t="shared" si="48"/>
        <v>0</v>
      </c>
      <c r="M532" s="132">
        <v>1</v>
      </c>
      <c r="N532" s="132">
        <f t="shared" si="49"/>
        <v>0</v>
      </c>
      <c r="P532" s="132">
        <v>1</v>
      </c>
      <c r="Q532" s="132">
        <f t="shared" si="53"/>
        <v>0</v>
      </c>
      <c r="S532" s="132">
        <v>1</v>
      </c>
      <c r="T532" s="132">
        <f t="shared" si="50"/>
        <v>0</v>
      </c>
      <c r="V532" s="126">
        <f t="shared" si="51"/>
        <v>0</v>
      </c>
      <c r="W532" s="92">
        <f t="shared" si="52"/>
        <v>0</v>
      </c>
      <c r="Y532" s="210"/>
    </row>
    <row r="533" spans="1:25" ht="14.4" customHeight="1" thickBot="1" x14ac:dyDescent="0.3">
      <c r="A533" s="149"/>
      <c r="J533" s="130">
        <v>1</v>
      </c>
      <c r="K533" s="132">
        <f t="shared" si="48"/>
        <v>0</v>
      </c>
      <c r="M533" s="132">
        <v>1</v>
      </c>
      <c r="N533" s="132">
        <f t="shared" si="49"/>
        <v>0</v>
      </c>
      <c r="P533" s="132">
        <v>1</v>
      </c>
      <c r="Q533" s="132">
        <f t="shared" si="53"/>
        <v>0</v>
      </c>
      <c r="S533" s="132">
        <v>1</v>
      </c>
      <c r="T533" s="132">
        <f t="shared" si="50"/>
        <v>0</v>
      </c>
      <c r="V533" s="126">
        <f t="shared" si="51"/>
        <v>0</v>
      </c>
      <c r="W533" s="92">
        <f t="shared" si="52"/>
        <v>0</v>
      </c>
      <c r="Y533" s="210"/>
    </row>
    <row r="534" spans="1:25" ht="14.4" customHeight="1" thickBot="1" x14ac:dyDescent="0.3">
      <c r="A534" s="149"/>
      <c r="J534" s="130">
        <v>1</v>
      </c>
      <c r="K534" s="132">
        <f t="shared" si="48"/>
        <v>0</v>
      </c>
      <c r="M534" s="132">
        <v>1</v>
      </c>
      <c r="N534" s="132">
        <f t="shared" si="49"/>
        <v>0</v>
      </c>
      <c r="P534" s="132">
        <v>1</v>
      </c>
      <c r="Q534" s="132">
        <f t="shared" si="53"/>
        <v>0</v>
      </c>
      <c r="S534" s="132">
        <v>1</v>
      </c>
      <c r="T534" s="132">
        <f t="shared" si="50"/>
        <v>0</v>
      </c>
      <c r="V534" s="126">
        <f t="shared" si="51"/>
        <v>0</v>
      </c>
      <c r="W534" s="92">
        <f t="shared" si="52"/>
        <v>0</v>
      </c>
      <c r="Y534" s="210"/>
    </row>
    <row r="535" spans="1:25" ht="14.4" customHeight="1" thickBot="1" x14ac:dyDescent="0.3">
      <c r="A535" s="149"/>
      <c r="J535" s="130">
        <v>1</v>
      </c>
      <c r="K535" s="132">
        <f t="shared" si="48"/>
        <v>0</v>
      </c>
      <c r="M535" s="132">
        <v>1</v>
      </c>
      <c r="N535" s="132">
        <f t="shared" si="49"/>
        <v>0</v>
      </c>
      <c r="P535" s="132">
        <v>1</v>
      </c>
      <c r="Q535" s="132">
        <f t="shared" si="53"/>
        <v>0</v>
      </c>
      <c r="S535" s="132">
        <v>1</v>
      </c>
      <c r="T535" s="132">
        <f t="shared" si="50"/>
        <v>0</v>
      </c>
      <c r="V535" s="126">
        <f t="shared" si="51"/>
        <v>0</v>
      </c>
      <c r="W535" s="92">
        <f t="shared" si="52"/>
        <v>0</v>
      </c>
      <c r="Y535" s="210"/>
    </row>
    <row r="536" spans="1:25" ht="14.4" customHeight="1" thickBot="1" x14ac:dyDescent="0.3">
      <c r="A536" s="149"/>
      <c r="J536" s="130">
        <v>1</v>
      </c>
      <c r="K536" s="132">
        <f t="shared" si="48"/>
        <v>0</v>
      </c>
      <c r="M536" s="132">
        <v>1</v>
      </c>
      <c r="N536" s="132">
        <f t="shared" si="49"/>
        <v>0</v>
      </c>
      <c r="P536" s="132">
        <v>1</v>
      </c>
      <c r="Q536" s="132">
        <f t="shared" si="53"/>
        <v>0</v>
      </c>
      <c r="S536" s="132">
        <v>1</v>
      </c>
      <c r="T536" s="132">
        <f t="shared" si="50"/>
        <v>0</v>
      </c>
      <c r="V536" s="126">
        <f t="shared" si="51"/>
        <v>0</v>
      </c>
      <c r="W536" s="92">
        <f t="shared" si="52"/>
        <v>0</v>
      </c>
      <c r="Y536" s="210"/>
    </row>
    <row r="537" spans="1:25" ht="14.4" customHeight="1" thickBot="1" x14ac:dyDescent="0.3">
      <c r="A537" s="149"/>
      <c r="J537" s="130">
        <v>1</v>
      </c>
      <c r="K537" s="132">
        <f t="shared" si="48"/>
        <v>0</v>
      </c>
      <c r="M537" s="132">
        <v>1</v>
      </c>
      <c r="N537" s="132">
        <f t="shared" si="49"/>
        <v>0</v>
      </c>
      <c r="P537" s="132">
        <v>1</v>
      </c>
      <c r="Q537" s="132">
        <f t="shared" si="53"/>
        <v>0</v>
      </c>
      <c r="S537" s="132">
        <v>1</v>
      </c>
      <c r="T537" s="132">
        <f t="shared" si="50"/>
        <v>0</v>
      </c>
      <c r="V537" s="126">
        <f t="shared" si="51"/>
        <v>0</v>
      </c>
      <c r="W537" s="92">
        <f t="shared" si="52"/>
        <v>0</v>
      </c>
      <c r="Y537" s="210"/>
    </row>
    <row r="538" spans="1:25" ht="14.4" customHeight="1" thickBot="1" x14ac:dyDescent="0.3">
      <c r="A538" s="149"/>
      <c r="J538" s="130">
        <v>1</v>
      </c>
      <c r="K538" s="132">
        <f t="shared" si="48"/>
        <v>0</v>
      </c>
      <c r="M538" s="132">
        <v>1</v>
      </c>
      <c r="N538" s="132">
        <f t="shared" si="49"/>
        <v>0</v>
      </c>
      <c r="P538" s="132">
        <v>1</v>
      </c>
      <c r="Q538" s="132">
        <f t="shared" si="53"/>
        <v>0</v>
      </c>
      <c r="S538" s="132">
        <v>1</v>
      </c>
      <c r="T538" s="132">
        <f t="shared" si="50"/>
        <v>0</v>
      </c>
      <c r="V538" s="126">
        <f t="shared" si="51"/>
        <v>0</v>
      </c>
      <c r="W538" s="92">
        <f t="shared" si="52"/>
        <v>0</v>
      </c>
      <c r="Y538" s="210"/>
    </row>
    <row r="539" spans="1:25" ht="14.4" customHeight="1" thickBot="1" x14ac:dyDescent="0.3">
      <c r="A539" s="149"/>
      <c r="J539" s="130">
        <v>1</v>
      </c>
      <c r="K539" s="132">
        <f t="shared" si="48"/>
        <v>0</v>
      </c>
      <c r="M539" s="132">
        <v>1</v>
      </c>
      <c r="N539" s="132">
        <f t="shared" si="49"/>
        <v>0</v>
      </c>
      <c r="P539" s="132">
        <v>1</v>
      </c>
      <c r="Q539" s="132">
        <f t="shared" si="53"/>
        <v>0</v>
      </c>
      <c r="S539" s="132">
        <v>1</v>
      </c>
      <c r="T539" s="132">
        <f t="shared" si="50"/>
        <v>0</v>
      </c>
      <c r="V539" s="126">
        <f t="shared" si="51"/>
        <v>0</v>
      </c>
      <c r="W539" s="92">
        <f t="shared" si="52"/>
        <v>0</v>
      </c>
      <c r="Y539" s="210"/>
    </row>
    <row r="540" spans="1:25" ht="14.4" customHeight="1" thickBot="1" x14ac:dyDescent="0.3">
      <c r="A540" s="149"/>
      <c r="J540" s="130">
        <v>1</v>
      </c>
      <c r="K540" s="132">
        <f t="shared" si="48"/>
        <v>0</v>
      </c>
      <c r="M540" s="132">
        <v>1</v>
      </c>
      <c r="N540" s="132">
        <f t="shared" si="49"/>
        <v>0</v>
      </c>
      <c r="P540" s="132">
        <v>1</v>
      </c>
      <c r="Q540" s="132">
        <f t="shared" si="53"/>
        <v>0</v>
      </c>
      <c r="S540" s="132">
        <v>1</v>
      </c>
      <c r="T540" s="132">
        <f t="shared" si="50"/>
        <v>0</v>
      </c>
      <c r="V540" s="126">
        <f t="shared" si="51"/>
        <v>0</v>
      </c>
      <c r="W540" s="92">
        <f t="shared" si="52"/>
        <v>0</v>
      </c>
      <c r="Y540" s="210"/>
    </row>
    <row r="541" spans="1:25" ht="14.4" customHeight="1" thickBot="1" x14ac:dyDescent="0.3">
      <c r="A541" s="149"/>
      <c r="J541" s="130">
        <v>1</v>
      </c>
      <c r="K541" s="132">
        <f t="shared" si="48"/>
        <v>0</v>
      </c>
      <c r="M541" s="132">
        <v>1</v>
      </c>
      <c r="N541" s="132">
        <f t="shared" si="49"/>
        <v>0</v>
      </c>
      <c r="P541" s="132">
        <v>1</v>
      </c>
      <c r="Q541" s="132">
        <f t="shared" si="53"/>
        <v>0</v>
      </c>
      <c r="S541" s="132">
        <v>1</v>
      </c>
      <c r="T541" s="132">
        <f t="shared" si="50"/>
        <v>0</v>
      </c>
      <c r="V541" s="126">
        <f t="shared" si="51"/>
        <v>0</v>
      </c>
      <c r="W541" s="92">
        <f t="shared" si="52"/>
        <v>0</v>
      </c>
      <c r="Y541" s="210"/>
    </row>
    <row r="542" spans="1:25" ht="14.4" customHeight="1" thickBot="1" x14ac:dyDescent="0.3">
      <c r="A542" s="149"/>
      <c r="J542" s="130">
        <v>1</v>
      </c>
      <c r="K542" s="132">
        <f t="shared" si="48"/>
        <v>0</v>
      </c>
      <c r="M542" s="132">
        <v>1</v>
      </c>
      <c r="N542" s="132">
        <f t="shared" si="49"/>
        <v>0</v>
      </c>
      <c r="P542" s="132">
        <v>1</v>
      </c>
      <c r="Q542" s="132">
        <f t="shared" si="53"/>
        <v>0</v>
      </c>
      <c r="S542" s="132">
        <v>1</v>
      </c>
      <c r="T542" s="132">
        <f t="shared" si="50"/>
        <v>0</v>
      </c>
      <c r="V542" s="126">
        <f t="shared" si="51"/>
        <v>0</v>
      </c>
      <c r="W542" s="92">
        <f t="shared" si="52"/>
        <v>0</v>
      </c>
      <c r="Y542" s="210"/>
    </row>
    <row r="543" spans="1:25" ht="14.4" customHeight="1" thickBot="1" x14ac:dyDescent="0.3">
      <c r="A543" s="149"/>
      <c r="J543" s="130">
        <v>1</v>
      </c>
      <c r="K543" s="132">
        <f t="shared" si="48"/>
        <v>0</v>
      </c>
      <c r="M543" s="132">
        <v>1</v>
      </c>
      <c r="N543" s="132">
        <f t="shared" si="49"/>
        <v>0</v>
      </c>
      <c r="P543" s="132">
        <v>1</v>
      </c>
      <c r="Q543" s="132">
        <f t="shared" si="53"/>
        <v>0</v>
      </c>
      <c r="S543" s="132">
        <v>1</v>
      </c>
      <c r="T543" s="132">
        <f t="shared" si="50"/>
        <v>0</v>
      </c>
      <c r="V543" s="126">
        <f t="shared" si="51"/>
        <v>0</v>
      </c>
      <c r="W543" s="92">
        <f t="shared" si="52"/>
        <v>0</v>
      </c>
      <c r="Y543" s="210"/>
    </row>
    <row r="544" spans="1:25" ht="14.4" customHeight="1" thickBot="1" x14ac:dyDescent="0.3">
      <c r="A544" s="149"/>
      <c r="J544" s="130">
        <v>1</v>
      </c>
      <c r="K544" s="132">
        <f t="shared" si="48"/>
        <v>0</v>
      </c>
      <c r="M544" s="132">
        <v>1</v>
      </c>
      <c r="N544" s="132">
        <f t="shared" si="49"/>
        <v>0</v>
      </c>
      <c r="P544" s="132">
        <v>1</v>
      </c>
      <c r="Q544" s="132">
        <f t="shared" si="53"/>
        <v>0</v>
      </c>
      <c r="S544" s="132">
        <v>1</v>
      </c>
      <c r="T544" s="132">
        <f t="shared" si="50"/>
        <v>0</v>
      </c>
      <c r="V544" s="126">
        <f t="shared" si="51"/>
        <v>0</v>
      </c>
      <c r="W544" s="92">
        <f t="shared" si="52"/>
        <v>0</v>
      </c>
      <c r="Y544" s="210"/>
    </row>
    <row r="545" spans="1:25" ht="14.4" customHeight="1" thickBot="1" x14ac:dyDescent="0.3">
      <c r="A545" s="149"/>
      <c r="J545" s="130">
        <v>1</v>
      </c>
      <c r="K545" s="132">
        <f t="shared" si="48"/>
        <v>0</v>
      </c>
      <c r="M545" s="132">
        <v>1</v>
      </c>
      <c r="N545" s="132">
        <f t="shared" si="49"/>
        <v>0</v>
      </c>
      <c r="P545" s="132">
        <v>1</v>
      </c>
      <c r="Q545" s="132">
        <f t="shared" si="53"/>
        <v>0</v>
      </c>
      <c r="S545" s="132">
        <v>1</v>
      </c>
      <c r="T545" s="132">
        <f t="shared" si="50"/>
        <v>0</v>
      </c>
      <c r="V545" s="126">
        <f t="shared" si="51"/>
        <v>0</v>
      </c>
      <c r="W545" s="92">
        <f t="shared" si="52"/>
        <v>0</v>
      </c>
      <c r="Y545" s="210"/>
    </row>
    <row r="546" spans="1:25" ht="14.4" customHeight="1" thickBot="1" x14ac:dyDescent="0.3">
      <c r="A546" s="149"/>
      <c r="J546" s="130">
        <v>1</v>
      </c>
      <c r="K546" s="132">
        <f t="shared" si="48"/>
        <v>0</v>
      </c>
      <c r="M546" s="132">
        <v>1</v>
      </c>
      <c r="N546" s="132">
        <f t="shared" si="49"/>
        <v>0</v>
      </c>
      <c r="P546" s="132">
        <v>1</v>
      </c>
      <c r="Q546" s="132">
        <f t="shared" si="53"/>
        <v>0</v>
      </c>
      <c r="S546" s="132">
        <v>1</v>
      </c>
      <c r="T546" s="132">
        <f t="shared" si="50"/>
        <v>0</v>
      </c>
      <c r="V546" s="126">
        <f t="shared" si="51"/>
        <v>0</v>
      </c>
      <c r="W546" s="92">
        <f t="shared" si="52"/>
        <v>0</v>
      </c>
      <c r="Y546" s="210"/>
    </row>
    <row r="547" spans="1:25" ht="14.4" customHeight="1" thickBot="1" x14ac:dyDescent="0.3">
      <c r="A547" s="149"/>
      <c r="J547" s="130">
        <v>1</v>
      </c>
      <c r="K547" s="132">
        <f t="shared" si="48"/>
        <v>0</v>
      </c>
      <c r="M547" s="132">
        <v>1</v>
      </c>
      <c r="N547" s="132">
        <f t="shared" si="49"/>
        <v>0</v>
      </c>
      <c r="P547" s="132">
        <v>1</v>
      </c>
      <c r="Q547" s="132">
        <f t="shared" si="53"/>
        <v>0</v>
      </c>
      <c r="S547" s="132">
        <v>1</v>
      </c>
      <c r="T547" s="132">
        <f t="shared" si="50"/>
        <v>0</v>
      </c>
      <c r="V547" s="126">
        <f t="shared" si="51"/>
        <v>0</v>
      </c>
      <c r="W547" s="92">
        <f t="shared" si="52"/>
        <v>0</v>
      </c>
      <c r="Y547" s="210"/>
    </row>
    <row r="548" spans="1:25" ht="14.4" customHeight="1" thickBot="1" x14ac:dyDescent="0.3">
      <c r="A548" s="149"/>
      <c r="J548" s="130">
        <v>1</v>
      </c>
      <c r="K548" s="132">
        <f t="shared" si="48"/>
        <v>0</v>
      </c>
      <c r="M548" s="132">
        <v>1</v>
      </c>
      <c r="N548" s="132">
        <f t="shared" si="49"/>
        <v>0</v>
      </c>
      <c r="P548" s="132">
        <v>1</v>
      </c>
      <c r="Q548" s="132">
        <f t="shared" si="53"/>
        <v>0</v>
      </c>
      <c r="S548" s="132">
        <v>1</v>
      </c>
      <c r="T548" s="132">
        <f t="shared" si="50"/>
        <v>0</v>
      </c>
      <c r="V548" s="126">
        <f t="shared" si="51"/>
        <v>0</v>
      </c>
      <c r="W548" s="92">
        <f t="shared" si="52"/>
        <v>0</v>
      </c>
      <c r="Y548" s="210"/>
    </row>
    <row r="549" spans="1:25" ht="14.4" customHeight="1" thickBot="1" x14ac:dyDescent="0.3">
      <c r="A549" s="149"/>
      <c r="J549" s="130">
        <v>1</v>
      </c>
      <c r="K549" s="132">
        <f t="shared" si="48"/>
        <v>0</v>
      </c>
      <c r="M549" s="132">
        <v>1</v>
      </c>
      <c r="N549" s="132">
        <f t="shared" si="49"/>
        <v>0</v>
      </c>
      <c r="P549" s="132">
        <v>1</v>
      </c>
      <c r="Q549" s="132">
        <f t="shared" si="53"/>
        <v>0</v>
      </c>
      <c r="S549" s="132">
        <v>1</v>
      </c>
      <c r="T549" s="132">
        <f t="shared" si="50"/>
        <v>0</v>
      </c>
      <c r="V549" s="126">
        <f t="shared" si="51"/>
        <v>0</v>
      </c>
      <c r="W549" s="92">
        <f t="shared" si="52"/>
        <v>0</v>
      </c>
      <c r="Y549" s="210"/>
    </row>
    <row r="550" spans="1:25" ht="14.4" customHeight="1" thickBot="1" x14ac:dyDescent="0.3">
      <c r="A550" s="149"/>
      <c r="J550" s="130">
        <v>1</v>
      </c>
      <c r="K550" s="132">
        <f t="shared" si="48"/>
        <v>0</v>
      </c>
      <c r="M550" s="132">
        <v>1</v>
      </c>
      <c r="N550" s="132">
        <f t="shared" si="49"/>
        <v>0</v>
      </c>
      <c r="P550" s="132">
        <v>1</v>
      </c>
      <c r="Q550" s="132">
        <f t="shared" si="53"/>
        <v>0</v>
      </c>
      <c r="S550" s="132">
        <v>1</v>
      </c>
      <c r="T550" s="132">
        <f t="shared" si="50"/>
        <v>0</v>
      </c>
      <c r="V550" s="126">
        <f t="shared" si="51"/>
        <v>0</v>
      </c>
      <c r="W550" s="92">
        <f t="shared" si="52"/>
        <v>0</v>
      </c>
      <c r="Y550" s="210"/>
    </row>
    <row r="551" spans="1:25" ht="14.4" customHeight="1" thickBot="1" x14ac:dyDescent="0.3">
      <c r="A551" s="149"/>
      <c r="J551" s="130">
        <v>1</v>
      </c>
      <c r="K551" s="132">
        <f t="shared" si="48"/>
        <v>0</v>
      </c>
      <c r="M551" s="132">
        <v>1</v>
      </c>
      <c r="N551" s="132">
        <f t="shared" si="49"/>
        <v>0</v>
      </c>
      <c r="P551" s="132">
        <v>1</v>
      </c>
      <c r="Q551" s="132">
        <f t="shared" si="53"/>
        <v>0</v>
      </c>
      <c r="S551" s="132">
        <v>1</v>
      </c>
      <c r="T551" s="132">
        <f t="shared" si="50"/>
        <v>0</v>
      </c>
      <c r="V551" s="126">
        <f t="shared" si="51"/>
        <v>0</v>
      </c>
      <c r="W551" s="92">
        <f t="shared" si="52"/>
        <v>0</v>
      </c>
      <c r="Y551" s="210"/>
    </row>
    <row r="552" spans="1:25" ht="14.4" customHeight="1" thickBot="1" x14ac:dyDescent="0.3">
      <c r="A552" s="149"/>
      <c r="J552" s="130">
        <v>1</v>
      </c>
      <c r="K552" s="132">
        <f t="shared" si="48"/>
        <v>0</v>
      </c>
      <c r="M552" s="132">
        <v>1</v>
      </c>
      <c r="N552" s="132">
        <f t="shared" si="49"/>
        <v>0</v>
      </c>
      <c r="P552" s="132">
        <v>1</v>
      </c>
      <c r="Q552" s="132">
        <f t="shared" si="53"/>
        <v>0</v>
      </c>
      <c r="S552" s="132">
        <v>1</v>
      </c>
      <c r="T552" s="132">
        <f t="shared" si="50"/>
        <v>0</v>
      </c>
      <c r="V552" s="126">
        <f t="shared" si="51"/>
        <v>0</v>
      </c>
      <c r="W552" s="92">
        <f t="shared" si="52"/>
        <v>0</v>
      </c>
      <c r="Y552" s="210"/>
    </row>
    <row r="553" spans="1:25" ht="14.4" customHeight="1" thickBot="1" x14ac:dyDescent="0.3">
      <c r="A553" s="149"/>
      <c r="J553" s="130">
        <v>1</v>
      </c>
      <c r="K553" s="132">
        <f t="shared" si="48"/>
        <v>0</v>
      </c>
      <c r="M553" s="132">
        <v>1</v>
      </c>
      <c r="N553" s="132">
        <f t="shared" si="49"/>
        <v>0</v>
      </c>
      <c r="P553" s="132">
        <v>1</v>
      </c>
      <c r="Q553" s="132">
        <f t="shared" si="53"/>
        <v>0</v>
      </c>
      <c r="S553" s="132">
        <v>1</v>
      </c>
      <c r="T553" s="132">
        <f t="shared" si="50"/>
        <v>0</v>
      </c>
      <c r="V553" s="126">
        <f t="shared" si="51"/>
        <v>0</v>
      </c>
      <c r="W553" s="92">
        <f t="shared" si="52"/>
        <v>0</v>
      </c>
      <c r="Y553" s="210"/>
    </row>
    <row r="554" spans="1:25" ht="14.4" customHeight="1" thickBot="1" x14ac:dyDescent="0.3">
      <c r="A554" s="149"/>
      <c r="J554" s="130">
        <v>1</v>
      </c>
      <c r="K554" s="132">
        <f t="shared" si="48"/>
        <v>0</v>
      </c>
      <c r="M554" s="132">
        <v>1</v>
      </c>
      <c r="N554" s="132">
        <f t="shared" si="49"/>
        <v>0</v>
      </c>
      <c r="P554" s="132">
        <v>1</v>
      </c>
      <c r="Q554" s="132">
        <f t="shared" si="53"/>
        <v>0</v>
      </c>
      <c r="S554" s="132">
        <v>1</v>
      </c>
      <c r="T554" s="132">
        <f t="shared" si="50"/>
        <v>0</v>
      </c>
      <c r="V554" s="126">
        <f t="shared" si="51"/>
        <v>0</v>
      </c>
      <c r="W554" s="92">
        <f t="shared" si="52"/>
        <v>0</v>
      </c>
      <c r="Y554" s="210"/>
    </row>
    <row r="555" spans="1:25" ht="14.4" customHeight="1" thickBot="1" x14ac:dyDescent="0.3">
      <c r="A555" s="149"/>
      <c r="J555" s="130">
        <v>1</v>
      </c>
      <c r="K555" s="132">
        <f t="shared" si="48"/>
        <v>0</v>
      </c>
      <c r="M555" s="132">
        <v>1</v>
      </c>
      <c r="N555" s="132">
        <f t="shared" si="49"/>
        <v>0</v>
      </c>
      <c r="P555" s="132">
        <v>1</v>
      </c>
      <c r="Q555" s="132">
        <f t="shared" si="53"/>
        <v>0</v>
      </c>
      <c r="S555" s="132">
        <v>1</v>
      </c>
      <c r="T555" s="132">
        <f t="shared" si="50"/>
        <v>0</v>
      </c>
      <c r="V555" s="126">
        <f t="shared" si="51"/>
        <v>0</v>
      </c>
      <c r="W555" s="92">
        <f t="shared" si="52"/>
        <v>0</v>
      </c>
      <c r="Y555" s="210"/>
    </row>
    <row r="556" spans="1:25" ht="14.4" customHeight="1" thickBot="1" x14ac:dyDescent="0.3">
      <c r="A556" s="149"/>
      <c r="J556" s="130">
        <v>1</v>
      </c>
      <c r="K556" s="132">
        <f t="shared" si="48"/>
        <v>0</v>
      </c>
      <c r="M556" s="132">
        <v>1</v>
      </c>
      <c r="N556" s="132">
        <f t="shared" si="49"/>
        <v>0</v>
      </c>
      <c r="P556" s="132">
        <v>1</v>
      </c>
      <c r="Q556" s="132">
        <f t="shared" si="53"/>
        <v>0</v>
      </c>
      <c r="S556" s="132">
        <v>1</v>
      </c>
      <c r="T556" s="132">
        <f t="shared" si="50"/>
        <v>0</v>
      </c>
      <c r="V556" s="126">
        <f t="shared" si="51"/>
        <v>0</v>
      </c>
      <c r="W556" s="92">
        <f t="shared" si="52"/>
        <v>0</v>
      </c>
      <c r="Y556" s="210"/>
    </row>
    <row r="557" spans="1:25" ht="14.4" customHeight="1" thickBot="1" x14ac:dyDescent="0.3">
      <c r="A557" s="149"/>
      <c r="J557" s="130">
        <v>1</v>
      </c>
      <c r="K557" s="132">
        <f t="shared" si="48"/>
        <v>0</v>
      </c>
      <c r="M557" s="132">
        <v>1</v>
      </c>
      <c r="N557" s="132">
        <f t="shared" si="49"/>
        <v>0</v>
      </c>
      <c r="P557" s="132">
        <v>1</v>
      </c>
      <c r="Q557" s="132">
        <f t="shared" si="53"/>
        <v>0</v>
      </c>
      <c r="S557" s="132">
        <v>1</v>
      </c>
      <c r="T557" s="132">
        <f t="shared" si="50"/>
        <v>0</v>
      </c>
      <c r="V557" s="126">
        <f t="shared" si="51"/>
        <v>0</v>
      </c>
      <c r="W557" s="92">
        <f t="shared" si="52"/>
        <v>0</v>
      </c>
      <c r="Y557" s="210"/>
    </row>
    <row r="558" spans="1:25" ht="14.4" customHeight="1" thickBot="1" x14ac:dyDescent="0.3">
      <c r="A558" s="149"/>
      <c r="J558" s="130">
        <v>1</v>
      </c>
      <c r="K558" s="132">
        <f t="shared" si="48"/>
        <v>0</v>
      </c>
      <c r="M558" s="132">
        <v>1</v>
      </c>
      <c r="N558" s="132">
        <f t="shared" si="49"/>
        <v>0</v>
      </c>
      <c r="P558" s="132">
        <v>1</v>
      </c>
      <c r="Q558" s="132">
        <f t="shared" si="53"/>
        <v>0</v>
      </c>
      <c r="S558" s="132">
        <v>1</v>
      </c>
      <c r="T558" s="132">
        <f t="shared" si="50"/>
        <v>0</v>
      </c>
      <c r="V558" s="126">
        <f t="shared" si="51"/>
        <v>0</v>
      </c>
      <c r="W558" s="92">
        <f t="shared" si="52"/>
        <v>0</v>
      </c>
      <c r="Y558" s="210"/>
    </row>
    <row r="559" spans="1:25" ht="14.4" customHeight="1" thickBot="1" x14ac:dyDescent="0.3">
      <c r="A559" s="149"/>
      <c r="J559" s="130">
        <v>1</v>
      </c>
      <c r="K559" s="132">
        <f t="shared" si="48"/>
        <v>0</v>
      </c>
      <c r="M559" s="132">
        <v>1</v>
      </c>
      <c r="N559" s="132">
        <f t="shared" si="49"/>
        <v>0</v>
      </c>
      <c r="P559" s="132">
        <v>1</v>
      </c>
      <c r="Q559" s="132">
        <f t="shared" si="53"/>
        <v>0</v>
      </c>
      <c r="S559" s="132">
        <v>1</v>
      </c>
      <c r="T559" s="132">
        <f t="shared" si="50"/>
        <v>0</v>
      </c>
      <c r="V559" s="126">
        <f t="shared" si="51"/>
        <v>0</v>
      </c>
      <c r="W559" s="92">
        <f t="shared" si="52"/>
        <v>0</v>
      </c>
      <c r="Y559" s="210"/>
    </row>
    <row r="560" spans="1:25" ht="14.4" customHeight="1" thickBot="1" x14ac:dyDescent="0.3">
      <c r="A560" s="149"/>
      <c r="J560" s="130">
        <v>1</v>
      </c>
      <c r="K560" s="132">
        <f t="shared" si="48"/>
        <v>0</v>
      </c>
      <c r="M560" s="132">
        <v>1</v>
      </c>
      <c r="N560" s="132">
        <f t="shared" si="49"/>
        <v>0</v>
      </c>
      <c r="P560" s="132">
        <v>1</v>
      </c>
      <c r="Q560" s="132">
        <f t="shared" si="53"/>
        <v>0</v>
      </c>
      <c r="S560" s="132">
        <v>1</v>
      </c>
      <c r="T560" s="132">
        <f t="shared" si="50"/>
        <v>0</v>
      </c>
      <c r="V560" s="126">
        <f t="shared" si="51"/>
        <v>0</v>
      </c>
      <c r="W560" s="92">
        <f t="shared" si="52"/>
        <v>0</v>
      </c>
      <c r="Y560" s="210"/>
    </row>
    <row r="561" spans="1:25" ht="14.4" customHeight="1" thickBot="1" x14ac:dyDescent="0.3">
      <c r="A561" s="149"/>
      <c r="J561" s="130">
        <v>1</v>
      </c>
      <c r="K561" s="132">
        <f t="shared" si="48"/>
        <v>0</v>
      </c>
      <c r="M561" s="132">
        <v>1</v>
      </c>
      <c r="N561" s="132">
        <f t="shared" si="49"/>
        <v>0</v>
      </c>
      <c r="P561" s="132">
        <v>1</v>
      </c>
      <c r="Q561" s="132">
        <f t="shared" si="53"/>
        <v>0</v>
      </c>
      <c r="S561" s="132">
        <v>1</v>
      </c>
      <c r="T561" s="132">
        <f t="shared" si="50"/>
        <v>0</v>
      </c>
      <c r="V561" s="126">
        <f t="shared" si="51"/>
        <v>0</v>
      </c>
      <c r="W561" s="92">
        <f t="shared" si="52"/>
        <v>0</v>
      </c>
      <c r="Y561" s="210"/>
    </row>
    <row r="562" spans="1:25" ht="14.4" customHeight="1" thickBot="1" x14ac:dyDescent="0.3">
      <c r="A562" s="149"/>
      <c r="J562" s="130">
        <v>1</v>
      </c>
      <c r="K562" s="132">
        <f t="shared" si="48"/>
        <v>0</v>
      </c>
      <c r="M562" s="132">
        <v>1</v>
      </c>
      <c r="N562" s="132">
        <f t="shared" si="49"/>
        <v>0</v>
      </c>
      <c r="P562" s="132">
        <v>1</v>
      </c>
      <c r="Q562" s="132">
        <f t="shared" si="53"/>
        <v>0</v>
      </c>
      <c r="S562" s="132">
        <v>1</v>
      </c>
      <c r="T562" s="132">
        <f t="shared" si="50"/>
        <v>0</v>
      </c>
      <c r="V562" s="126">
        <f t="shared" si="51"/>
        <v>0</v>
      </c>
      <c r="W562" s="92">
        <f t="shared" si="52"/>
        <v>0</v>
      </c>
      <c r="Y562" s="210"/>
    </row>
    <row r="563" spans="1:25" ht="14.4" customHeight="1" thickBot="1" x14ac:dyDescent="0.3">
      <c r="A563" s="149"/>
      <c r="J563" s="130">
        <v>1</v>
      </c>
      <c r="K563" s="132">
        <f t="shared" si="48"/>
        <v>0</v>
      </c>
      <c r="M563" s="132">
        <v>1</v>
      </c>
      <c r="N563" s="132">
        <f t="shared" si="49"/>
        <v>0</v>
      </c>
      <c r="P563" s="132">
        <v>1</v>
      </c>
      <c r="Q563" s="132">
        <f t="shared" si="53"/>
        <v>0</v>
      </c>
      <c r="S563" s="132">
        <v>1</v>
      </c>
      <c r="T563" s="132">
        <f t="shared" si="50"/>
        <v>0</v>
      </c>
      <c r="V563" s="126">
        <f t="shared" si="51"/>
        <v>0</v>
      </c>
      <c r="W563" s="92">
        <f t="shared" si="52"/>
        <v>0</v>
      </c>
      <c r="Y563" s="210"/>
    </row>
    <row r="564" spans="1:25" ht="14.4" customHeight="1" thickBot="1" x14ac:dyDescent="0.3">
      <c r="A564" s="149"/>
      <c r="J564" s="130">
        <v>1</v>
      </c>
      <c r="K564" s="132">
        <f t="shared" si="48"/>
        <v>0</v>
      </c>
      <c r="M564" s="132">
        <v>1</v>
      </c>
      <c r="N564" s="132">
        <f t="shared" si="49"/>
        <v>0</v>
      </c>
      <c r="P564" s="132">
        <v>1</v>
      </c>
      <c r="Q564" s="132">
        <f t="shared" si="53"/>
        <v>0</v>
      </c>
      <c r="S564" s="132">
        <v>1</v>
      </c>
      <c r="T564" s="132">
        <f t="shared" si="50"/>
        <v>0</v>
      </c>
      <c r="V564" s="126">
        <f t="shared" si="51"/>
        <v>0</v>
      </c>
      <c r="W564" s="92">
        <f t="shared" si="52"/>
        <v>0</v>
      </c>
      <c r="Y564" s="210"/>
    </row>
    <row r="565" spans="1:25" ht="14.4" customHeight="1" thickBot="1" x14ac:dyDescent="0.3">
      <c r="A565" s="149"/>
      <c r="J565" s="130">
        <v>1</v>
      </c>
      <c r="K565" s="132">
        <f t="shared" si="48"/>
        <v>0</v>
      </c>
      <c r="M565" s="132">
        <v>1</v>
      </c>
      <c r="N565" s="132">
        <f t="shared" si="49"/>
        <v>0</v>
      </c>
      <c r="P565" s="132">
        <v>1</v>
      </c>
      <c r="Q565" s="132">
        <f t="shared" si="53"/>
        <v>0</v>
      </c>
      <c r="S565" s="132">
        <v>1</v>
      </c>
      <c r="T565" s="132">
        <f t="shared" si="50"/>
        <v>0</v>
      </c>
      <c r="V565" s="126">
        <f t="shared" si="51"/>
        <v>0</v>
      </c>
      <c r="W565" s="92">
        <f t="shared" si="52"/>
        <v>0</v>
      </c>
      <c r="Y565" s="210"/>
    </row>
    <row r="566" spans="1:25" ht="14.4" customHeight="1" thickBot="1" x14ac:dyDescent="0.3">
      <c r="A566" s="149"/>
      <c r="J566" s="130">
        <v>1</v>
      </c>
      <c r="K566" s="132">
        <f t="shared" si="48"/>
        <v>0</v>
      </c>
      <c r="M566" s="132">
        <v>1</v>
      </c>
      <c r="N566" s="132">
        <f t="shared" si="49"/>
        <v>0</v>
      </c>
      <c r="P566" s="132">
        <v>1</v>
      </c>
      <c r="Q566" s="132">
        <f t="shared" si="53"/>
        <v>0</v>
      </c>
      <c r="S566" s="132">
        <v>1</v>
      </c>
      <c r="T566" s="132">
        <f t="shared" si="50"/>
        <v>0</v>
      </c>
      <c r="V566" s="126">
        <f t="shared" si="51"/>
        <v>0</v>
      </c>
      <c r="W566" s="92">
        <f t="shared" si="52"/>
        <v>0</v>
      </c>
      <c r="Y566" s="210"/>
    </row>
    <row r="567" spans="1:25" ht="14.4" customHeight="1" thickBot="1" x14ac:dyDescent="0.3">
      <c r="A567" s="149"/>
      <c r="J567" s="130">
        <v>1</v>
      </c>
      <c r="K567" s="132">
        <f t="shared" si="48"/>
        <v>0</v>
      </c>
      <c r="M567" s="132">
        <v>1</v>
      </c>
      <c r="N567" s="132">
        <f t="shared" si="49"/>
        <v>0</v>
      </c>
      <c r="P567" s="132">
        <v>1</v>
      </c>
      <c r="Q567" s="132">
        <f t="shared" si="53"/>
        <v>0</v>
      </c>
      <c r="S567" s="132">
        <v>1</v>
      </c>
      <c r="T567" s="132">
        <f t="shared" si="50"/>
        <v>0</v>
      </c>
      <c r="V567" s="126">
        <f t="shared" si="51"/>
        <v>0</v>
      </c>
      <c r="W567" s="92">
        <f t="shared" si="52"/>
        <v>0</v>
      </c>
      <c r="Y567" s="210"/>
    </row>
    <row r="568" spans="1:25" ht="14.4" customHeight="1" thickBot="1" x14ac:dyDescent="0.3">
      <c r="A568" s="149"/>
      <c r="J568" s="130">
        <v>1</v>
      </c>
      <c r="K568" s="132">
        <f t="shared" si="48"/>
        <v>0</v>
      </c>
      <c r="M568" s="132">
        <v>1</v>
      </c>
      <c r="N568" s="132">
        <f t="shared" si="49"/>
        <v>0</v>
      </c>
      <c r="P568" s="132">
        <v>1</v>
      </c>
      <c r="Q568" s="132">
        <f t="shared" si="53"/>
        <v>0</v>
      </c>
      <c r="S568" s="132">
        <v>1</v>
      </c>
      <c r="T568" s="132">
        <f t="shared" si="50"/>
        <v>0</v>
      </c>
      <c r="V568" s="126">
        <f t="shared" si="51"/>
        <v>0</v>
      </c>
      <c r="W568" s="92">
        <f t="shared" si="52"/>
        <v>0</v>
      </c>
      <c r="Y568" s="210"/>
    </row>
    <row r="569" spans="1:25" ht="14.4" customHeight="1" thickBot="1" x14ac:dyDescent="0.3">
      <c r="A569" s="149"/>
      <c r="J569" s="130">
        <v>1</v>
      </c>
      <c r="K569" s="132">
        <f t="shared" si="48"/>
        <v>0</v>
      </c>
      <c r="M569" s="132">
        <v>1</v>
      </c>
      <c r="N569" s="132">
        <f t="shared" si="49"/>
        <v>0</v>
      </c>
      <c r="P569" s="132">
        <v>1</v>
      </c>
      <c r="Q569" s="132">
        <f t="shared" si="53"/>
        <v>0</v>
      </c>
      <c r="S569" s="132">
        <v>1</v>
      </c>
      <c r="T569" s="132">
        <f t="shared" si="50"/>
        <v>0</v>
      </c>
      <c r="V569" s="126">
        <f t="shared" si="51"/>
        <v>0</v>
      </c>
      <c r="W569" s="92">
        <f t="shared" si="52"/>
        <v>0</v>
      </c>
      <c r="Y569" s="210"/>
    </row>
    <row r="570" spans="1:25" ht="14.4" customHeight="1" thickBot="1" x14ac:dyDescent="0.3">
      <c r="A570" s="149"/>
      <c r="J570" s="130">
        <v>1</v>
      </c>
      <c r="K570" s="132">
        <f t="shared" si="48"/>
        <v>0</v>
      </c>
      <c r="M570" s="132">
        <v>1</v>
      </c>
      <c r="N570" s="132">
        <f t="shared" si="49"/>
        <v>0</v>
      </c>
      <c r="P570" s="132">
        <v>1</v>
      </c>
      <c r="Q570" s="132">
        <f t="shared" si="53"/>
        <v>0</v>
      </c>
      <c r="S570" s="132">
        <v>1</v>
      </c>
      <c r="T570" s="132">
        <f t="shared" si="50"/>
        <v>0</v>
      </c>
      <c r="V570" s="126">
        <f t="shared" si="51"/>
        <v>0</v>
      </c>
      <c r="W570" s="92">
        <f t="shared" si="52"/>
        <v>0</v>
      </c>
      <c r="Y570" s="210"/>
    </row>
    <row r="571" spans="1:25" ht="14.4" customHeight="1" thickBot="1" x14ac:dyDescent="0.3">
      <c r="A571" s="149"/>
      <c r="J571" s="130">
        <v>1</v>
      </c>
      <c r="K571" s="132">
        <f t="shared" si="48"/>
        <v>0</v>
      </c>
      <c r="M571" s="132">
        <v>1</v>
      </c>
      <c r="N571" s="132">
        <f t="shared" si="49"/>
        <v>0</v>
      </c>
      <c r="P571" s="132">
        <v>1</v>
      </c>
      <c r="Q571" s="132">
        <f t="shared" si="53"/>
        <v>0</v>
      </c>
      <c r="S571" s="132">
        <v>1</v>
      </c>
      <c r="T571" s="132">
        <f t="shared" si="50"/>
        <v>0</v>
      </c>
      <c r="V571" s="126">
        <f t="shared" si="51"/>
        <v>0</v>
      </c>
      <c r="W571" s="92">
        <f t="shared" si="52"/>
        <v>0</v>
      </c>
      <c r="Y571" s="210"/>
    </row>
    <row r="572" spans="1:25" ht="14.4" customHeight="1" thickBot="1" x14ac:dyDescent="0.3">
      <c r="A572" s="149"/>
      <c r="J572" s="130">
        <v>1</v>
      </c>
      <c r="K572" s="132">
        <f t="shared" si="48"/>
        <v>0</v>
      </c>
      <c r="M572" s="132">
        <v>1</v>
      </c>
      <c r="N572" s="132">
        <f t="shared" si="49"/>
        <v>0</v>
      </c>
      <c r="P572" s="132">
        <v>1</v>
      </c>
      <c r="Q572" s="132">
        <f t="shared" si="53"/>
        <v>0</v>
      </c>
      <c r="S572" s="132">
        <v>1</v>
      </c>
      <c r="T572" s="132">
        <f t="shared" si="50"/>
        <v>0</v>
      </c>
      <c r="V572" s="126">
        <f t="shared" si="51"/>
        <v>0</v>
      </c>
      <c r="W572" s="92">
        <f t="shared" si="52"/>
        <v>0</v>
      </c>
      <c r="Y572" s="210"/>
    </row>
    <row r="573" spans="1:25" ht="14.4" customHeight="1" thickBot="1" x14ac:dyDescent="0.3">
      <c r="A573" s="149"/>
      <c r="J573" s="130">
        <v>1</v>
      </c>
      <c r="K573" s="132">
        <f t="shared" si="48"/>
        <v>0</v>
      </c>
      <c r="M573" s="132">
        <v>1</v>
      </c>
      <c r="N573" s="132">
        <f t="shared" si="49"/>
        <v>0</v>
      </c>
      <c r="P573" s="132">
        <v>1</v>
      </c>
      <c r="Q573" s="132">
        <f t="shared" si="53"/>
        <v>0</v>
      </c>
      <c r="S573" s="132">
        <v>1</v>
      </c>
      <c r="T573" s="132">
        <f t="shared" si="50"/>
        <v>0</v>
      </c>
      <c r="V573" s="126">
        <f t="shared" si="51"/>
        <v>0</v>
      </c>
      <c r="W573" s="92">
        <f t="shared" si="52"/>
        <v>0</v>
      </c>
      <c r="Y573" s="210"/>
    </row>
    <row r="574" spans="1:25" ht="14.4" customHeight="1" thickBot="1" x14ac:dyDescent="0.3">
      <c r="A574" s="149"/>
      <c r="J574" s="130">
        <v>1</v>
      </c>
      <c r="K574" s="132">
        <f t="shared" si="48"/>
        <v>0</v>
      </c>
      <c r="M574" s="132">
        <v>1</v>
      </c>
      <c r="N574" s="132">
        <f t="shared" si="49"/>
        <v>0</v>
      </c>
      <c r="P574" s="132">
        <v>1</v>
      </c>
      <c r="Q574" s="132">
        <f t="shared" si="53"/>
        <v>0</v>
      </c>
      <c r="S574" s="132">
        <v>1</v>
      </c>
      <c r="T574" s="132">
        <f t="shared" si="50"/>
        <v>0</v>
      </c>
      <c r="V574" s="126">
        <f t="shared" si="51"/>
        <v>0</v>
      </c>
      <c r="W574" s="92">
        <f t="shared" si="52"/>
        <v>0</v>
      </c>
      <c r="Y574" s="210"/>
    </row>
    <row r="575" spans="1:25" ht="14.4" customHeight="1" thickBot="1" x14ac:dyDescent="0.3">
      <c r="A575" s="149"/>
      <c r="J575" s="130">
        <v>1</v>
      </c>
      <c r="K575" s="132">
        <f t="shared" si="48"/>
        <v>0</v>
      </c>
      <c r="M575" s="132">
        <v>1</v>
      </c>
      <c r="N575" s="132">
        <f t="shared" si="49"/>
        <v>0</v>
      </c>
      <c r="P575" s="132">
        <v>1</v>
      </c>
      <c r="Q575" s="132">
        <f t="shared" si="53"/>
        <v>0</v>
      </c>
      <c r="S575" s="132">
        <v>1</v>
      </c>
      <c r="T575" s="132">
        <f t="shared" si="50"/>
        <v>0</v>
      </c>
      <c r="V575" s="126">
        <f t="shared" si="51"/>
        <v>0</v>
      </c>
      <c r="W575" s="92">
        <f t="shared" si="52"/>
        <v>0</v>
      </c>
      <c r="Y575" s="210"/>
    </row>
    <row r="576" spans="1:25" ht="14.4" customHeight="1" thickBot="1" x14ac:dyDescent="0.3">
      <c r="A576" s="149"/>
      <c r="J576" s="130">
        <v>1</v>
      </c>
      <c r="K576" s="132">
        <f t="shared" si="48"/>
        <v>0</v>
      </c>
      <c r="M576" s="132">
        <v>1</v>
      </c>
      <c r="N576" s="132">
        <f t="shared" si="49"/>
        <v>0</v>
      </c>
      <c r="P576" s="132">
        <v>1</v>
      </c>
      <c r="Q576" s="132">
        <f t="shared" si="53"/>
        <v>0</v>
      </c>
      <c r="S576" s="132">
        <v>1</v>
      </c>
      <c r="T576" s="132">
        <f t="shared" si="50"/>
        <v>0</v>
      </c>
      <c r="V576" s="126">
        <f t="shared" si="51"/>
        <v>0</v>
      </c>
      <c r="W576" s="92">
        <f t="shared" si="52"/>
        <v>0</v>
      </c>
      <c r="Y576" s="210"/>
    </row>
    <row r="577" spans="1:25" ht="14.4" customHeight="1" thickBot="1" x14ac:dyDescent="0.3">
      <c r="A577" s="149"/>
      <c r="J577" s="130">
        <v>1</v>
      </c>
      <c r="K577" s="132">
        <f t="shared" si="48"/>
        <v>0</v>
      </c>
      <c r="M577" s="132">
        <v>1</v>
      </c>
      <c r="N577" s="132">
        <f t="shared" si="49"/>
        <v>0</v>
      </c>
      <c r="P577" s="132">
        <v>1</v>
      </c>
      <c r="Q577" s="132">
        <f t="shared" si="53"/>
        <v>0</v>
      </c>
      <c r="S577" s="132">
        <v>1</v>
      </c>
      <c r="T577" s="132">
        <f t="shared" si="50"/>
        <v>0</v>
      </c>
      <c r="V577" s="126">
        <f t="shared" si="51"/>
        <v>0</v>
      </c>
      <c r="W577" s="92">
        <f t="shared" si="52"/>
        <v>0</v>
      </c>
      <c r="Y577" s="210"/>
    </row>
    <row r="578" spans="1:25" ht="14.4" customHeight="1" thickBot="1" x14ac:dyDescent="0.3">
      <c r="A578" s="149"/>
      <c r="J578" s="130">
        <v>1</v>
      </c>
      <c r="K578" s="132">
        <f t="shared" ref="K578:K641" si="54">I578/J578</f>
        <v>0</v>
      </c>
      <c r="M578" s="132">
        <v>1</v>
      </c>
      <c r="N578" s="132">
        <f t="shared" ref="N578:N641" si="55">L578/M578</f>
        <v>0</v>
      </c>
      <c r="P578" s="132">
        <v>1</v>
      </c>
      <c r="Q578" s="132">
        <f t="shared" si="53"/>
        <v>0</v>
      </c>
      <c r="S578" s="132">
        <v>1</v>
      </c>
      <c r="T578" s="132">
        <f t="shared" ref="T578:T641" si="56">R578/S578</f>
        <v>0</v>
      </c>
      <c r="V578" s="126">
        <f t="shared" ref="V578:V641" si="57">D578+E578-G578-I578/J578-L578/M578-O578/P578-R578/S578</f>
        <v>0</v>
      </c>
      <c r="W578" s="92">
        <f t="shared" ref="W578:W641" si="58">G578+I578/J578+L578/M578+O578/P578+R578/S578</f>
        <v>0</v>
      </c>
      <c r="Y578" s="210"/>
    </row>
    <row r="579" spans="1:25" ht="14.4" customHeight="1" thickBot="1" x14ac:dyDescent="0.3">
      <c r="A579" s="149"/>
      <c r="J579" s="130">
        <v>1</v>
      </c>
      <c r="K579" s="132">
        <f t="shared" si="54"/>
        <v>0</v>
      </c>
      <c r="M579" s="132">
        <v>1</v>
      </c>
      <c r="N579" s="132">
        <f t="shared" si="55"/>
        <v>0</v>
      </c>
      <c r="P579" s="132">
        <v>1</v>
      </c>
      <c r="Q579" s="132">
        <f t="shared" ref="Q579:Q642" si="59">O579/P579</f>
        <v>0</v>
      </c>
      <c r="S579" s="132">
        <v>1</v>
      </c>
      <c r="T579" s="132">
        <f t="shared" si="56"/>
        <v>0</v>
      </c>
      <c r="V579" s="126">
        <f t="shared" si="57"/>
        <v>0</v>
      </c>
      <c r="W579" s="92">
        <f t="shared" si="58"/>
        <v>0</v>
      </c>
      <c r="Y579" s="210"/>
    </row>
    <row r="580" spans="1:25" ht="14.4" customHeight="1" thickBot="1" x14ac:dyDescent="0.3">
      <c r="A580" s="149"/>
      <c r="J580" s="130">
        <v>1</v>
      </c>
      <c r="K580" s="132">
        <f t="shared" si="54"/>
        <v>0</v>
      </c>
      <c r="M580" s="132">
        <v>1</v>
      </c>
      <c r="N580" s="132">
        <f t="shared" si="55"/>
        <v>0</v>
      </c>
      <c r="P580" s="132">
        <v>1</v>
      </c>
      <c r="Q580" s="132">
        <f t="shared" si="59"/>
        <v>0</v>
      </c>
      <c r="S580" s="132">
        <v>1</v>
      </c>
      <c r="T580" s="132">
        <f t="shared" si="56"/>
        <v>0</v>
      </c>
      <c r="V580" s="126">
        <f t="shared" si="57"/>
        <v>0</v>
      </c>
      <c r="W580" s="92">
        <f t="shared" si="58"/>
        <v>0</v>
      </c>
      <c r="Y580" s="210"/>
    </row>
    <row r="581" spans="1:25" ht="14.4" customHeight="1" thickBot="1" x14ac:dyDescent="0.3">
      <c r="A581" s="149"/>
      <c r="J581" s="130">
        <v>1</v>
      </c>
      <c r="K581" s="132">
        <f t="shared" si="54"/>
        <v>0</v>
      </c>
      <c r="M581" s="132">
        <v>1</v>
      </c>
      <c r="N581" s="132">
        <f t="shared" si="55"/>
        <v>0</v>
      </c>
      <c r="P581" s="132">
        <v>1</v>
      </c>
      <c r="Q581" s="132">
        <f t="shared" si="59"/>
        <v>0</v>
      </c>
      <c r="S581" s="132">
        <v>1</v>
      </c>
      <c r="T581" s="132">
        <f t="shared" si="56"/>
        <v>0</v>
      </c>
      <c r="V581" s="126">
        <f t="shared" si="57"/>
        <v>0</v>
      </c>
      <c r="W581" s="92">
        <f t="shared" si="58"/>
        <v>0</v>
      </c>
      <c r="Y581" s="210"/>
    </row>
    <row r="582" spans="1:25" ht="14.4" customHeight="1" thickBot="1" x14ac:dyDescent="0.3">
      <c r="A582" s="149"/>
      <c r="J582" s="130">
        <v>1</v>
      </c>
      <c r="K582" s="132">
        <f t="shared" si="54"/>
        <v>0</v>
      </c>
      <c r="M582" s="132">
        <v>1</v>
      </c>
      <c r="N582" s="132">
        <f t="shared" si="55"/>
        <v>0</v>
      </c>
      <c r="P582" s="132">
        <v>1</v>
      </c>
      <c r="Q582" s="132">
        <f t="shared" si="59"/>
        <v>0</v>
      </c>
      <c r="S582" s="132">
        <v>1</v>
      </c>
      <c r="T582" s="132">
        <f t="shared" si="56"/>
        <v>0</v>
      </c>
      <c r="V582" s="126">
        <f t="shared" si="57"/>
        <v>0</v>
      </c>
      <c r="W582" s="92">
        <f t="shared" si="58"/>
        <v>0</v>
      </c>
      <c r="Y582" s="210"/>
    </row>
    <row r="583" spans="1:25" ht="14.4" customHeight="1" thickBot="1" x14ac:dyDescent="0.3">
      <c r="A583" s="149"/>
      <c r="J583" s="130">
        <v>1</v>
      </c>
      <c r="K583" s="132">
        <f t="shared" si="54"/>
        <v>0</v>
      </c>
      <c r="M583" s="132">
        <v>1</v>
      </c>
      <c r="N583" s="132">
        <f t="shared" si="55"/>
        <v>0</v>
      </c>
      <c r="P583" s="132">
        <v>1</v>
      </c>
      <c r="Q583" s="132">
        <f t="shared" si="59"/>
        <v>0</v>
      </c>
      <c r="S583" s="132">
        <v>1</v>
      </c>
      <c r="T583" s="132">
        <f t="shared" si="56"/>
        <v>0</v>
      </c>
      <c r="V583" s="126">
        <f t="shared" si="57"/>
        <v>0</v>
      </c>
      <c r="W583" s="92">
        <f t="shared" si="58"/>
        <v>0</v>
      </c>
      <c r="Y583" s="210"/>
    </row>
    <row r="584" spans="1:25" ht="14.4" customHeight="1" thickBot="1" x14ac:dyDescent="0.3">
      <c r="A584" s="149"/>
      <c r="J584" s="130">
        <v>1</v>
      </c>
      <c r="K584" s="132">
        <f t="shared" si="54"/>
        <v>0</v>
      </c>
      <c r="M584" s="132">
        <v>1</v>
      </c>
      <c r="N584" s="132">
        <f t="shared" si="55"/>
        <v>0</v>
      </c>
      <c r="P584" s="132">
        <v>1</v>
      </c>
      <c r="Q584" s="132">
        <f t="shared" si="59"/>
        <v>0</v>
      </c>
      <c r="S584" s="132">
        <v>1</v>
      </c>
      <c r="T584" s="132">
        <f t="shared" si="56"/>
        <v>0</v>
      </c>
      <c r="V584" s="126">
        <f t="shared" si="57"/>
        <v>0</v>
      </c>
      <c r="W584" s="92">
        <f t="shared" si="58"/>
        <v>0</v>
      </c>
      <c r="Y584" s="210"/>
    </row>
    <row r="585" spans="1:25" ht="14.4" customHeight="1" thickBot="1" x14ac:dyDescent="0.3">
      <c r="A585" s="149"/>
      <c r="J585" s="130">
        <v>1</v>
      </c>
      <c r="K585" s="132">
        <f t="shared" si="54"/>
        <v>0</v>
      </c>
      <c r="M585" s="132">
        <v>1</v>
      </c>
      <c r="N585" s="132">
        <f t="shared" si="55"/>
        <v>0</v>
      </c>
      <c r="P585" s="132">
        <v>1</v>
      </c>
      <c r="Q585" s="132">
        <f t="shared" si="59"/>
        <v>0</v>
      </c>
      <c r="S585" s="132">
        <v>1</v>
      </c>
      <c r="T585" s="132">
        <f t="shared" si="56"/>
        <v>0</v>
      </c>
      <c r="V585" s="126">
        <f t="shared" si="57"/>
        <v>0</v>
      </c>
      <c r="W585" s="92">
        <f t="shared" si="58"/>
        <v>0</v>
      </c>
      <c r="Y585" s="210"/>
    </row>
    <row r="586" spans="1:25" ht="14.4" customHeight="1" thickBot="1" x14ac:dyDescent="0.3">
      <c r="A586" s="149"/>
      <c r="J586" s="130">
        <v>1</v>
      </c>
      <c r="K586" s="132">
        <f t="shared" si="54"/>
        <v>0</v>
      </c>
      <c r="M586" s="132">
        <v>1</v>
      </c>
      <c r="N586" s="132">
        <f t="shared" si="55"/>
        <v>0</v>
      </c>
      <c r="P586" s="132">
        <v>1</v>
      </c>
      <c r="Q586" s="132">
        <f t="shared" si="59"/>
        <v>0</v>
      </c>
      <c r="S586" s="132">
        <v>1</v>
      </c>
      <c r="T586" s="132">
        <f t="shared" si="56"/>
        <v>0</v>
      </c>
      <c r="V586" s="126">
        <f t="shared" si="57"/>
        <v>0</v>
      </c>
      <c r="W586" s="92">
        <f t="shared" si="58"/>
        <v>0</v>
      </c>
      <c r="Y586" s="210"/>
    </row>
    <row r="587" spans="1:25" ht="14.4" customHeight="1" thickBot="1" x14ac:dyDescent="0.3">
      <c r="A587" s="149"/>
      <c r="J587" s="130">
        <v>1</v>
      </c>
      <c r="K587" s="132">
        <f t="shared" si="54"/>
        <v>0</v>
      </c>
      <c r="M587" s="132">
        <v>1</v>
      </c>
      <c r="N587" s="132">
        <f t="shared" si="55"/>
        <v>0</v>
      </c>
      <c r="P587" s="132">
        <v>1</v>
      </c>
      <c r="Q587" s="132">
        <f t="shared" si="59"/>
        <v>0</v>
      </c>
      <c r="S587" s="132">
        <v>1</v>
      </c>
      <c r="T587" s="132">
        <f t="shared" si="56"/>
        <v>0</v>
      </c>
      <c r="V587" s="126">
        <f t="shared" si="57"/>
        <v>0</v>
      </c>
      <c r="W587" s="92">
        <f t="shared" si="58"/>
        <v>0</v>
      </c>
      <c r="Y587" s="210"/>
    </row>
    <row r="588" spans="1:25" ht="14.4" customHeight="1" thickBot="1" x14ac:dyDescent="0.3">
      <c r="A588" s="149"/>
      <c r="J588" s="130">
        <v>1</v>
      </c>
      <c r="K588" s="132">
        <f t="shared" si="54"/>
        <v>0</v>
      </c>
      <c r="M588" s="132">
        <v>1</v>
      </c>
      <c r="N588" s="132">
        <f t="shared" si="55"/>
        <v>0</v>
      </c>
      <c r="P588" s="132">
        <v>1</v>
      </c>
      <c r="Q588" s="132">
        <f t="shared" si="59"/>
        <v>0</v>
      </c>
      <c r="S588" s="132">
        <v>1</v>
      </c>
      <c r="T588" s="132">
        <f t="shared" si="56"/>
        <v>0</v>
      </c>
      <c r="V588" s="126">
        <f t="shared" si="57"/>
        <v>0</v>
      </c>
      <c r="W588" s="92">
        <f t="shared" si="58"/>
        <v>0</v>
      </c>
      <c r="Y588" s="210"/>
    </row>
    <row r="589" spans="1:25" ht="14.4" customHeight="1" thickBot="1" x14ac:dyDescent="0.3">
      <c r="A589" s="149"/>
      <c r="J589" s="130">
        <v>1</v>
      </c>
      <c r="K589" s="132">
        <f t="shared" si="54"/>
        <v>0</v>
      </c>
      <c r="M589" s="132">
        <v>1</v>
      </c>
      <c r="N589" s="132">
        <f t="shared" si="55"/>
        <v>0</v>
      </c>
      <c r="P589" s="132">
        <v>1</v>
      </c>
      <c r="Q589" s="132">
        <f t="shared" si="59"/>
        <v>0</v>
      </c>
      <c r="S589" s="132">
        <v>1</v>
      </c>
      <c r="T589" s="132">
        <f t="shared" si="56"/>
        <v>0</v>
      </c>
      <c r="V589" s="126">
        <f t="shared" si="57"/>
        <v>0</v>
      </c>
      <c r="W589" s="92">
        <f t="shared" si="58"/>
        <v>0</v>
      </c>
      <c r="Y589" s="210"/>
    </row>
    <row r="590" spans="1:25" ht="14.4" customHeight="1" thickBot="1" x14ac:dyDescent="0.3">
      <c r="A590" s="149"/>
      <c r="J590" s="130">
        <v>1</v>
      </c>
      <c r="K590" s="132">
        <f t="shared" si="54"/>
        <v>0</v>
      </c>
      <c r="M590" s="132">
        <v>1</v>
      </c>
      <c r="N590" s="132">
        <f t="shared" si="55"/>
        <v>0</v>
      </c>
      <c r="P590" s="132">
        <v>1</v>
      </c>
      <c r="Q590" s="132">
        <f t="shared" si="59"/>
        <v>0</v>
      </c>
      <c r="S590" s="132">
        <v>1</v>
      </c>
      <c r="T590" s="132">
        <f t="shared" si="56"/>
        <v>0</v>
      </c>
      <c r="V590" s="126">
        <f t="shared" si="57"/>
        <v>0</v>
      </c>
      <c r="W590" s="92">
        <f t="shared" si="58"/>
        <v>0</v>
      </c>
      <c r="Y590" s="210"/>
    </row>
    <row r="591" spans="1:25" ht="14.4" customHeight="1" thickBot="1" x14ac:dyDescent="0.3">
      <c r="A591" s="149"/>
      <c r="J591" s="130">
        <v>1</v>
      </c>
      <c r="K591" s="132">
        <f t="shared" si="54"/>
        <v>0</v>
      </c>
      <c r="M591" s="132">
        <v>1</v>
      </c>
      <c r="N591" s="132">
        <f t="shared" si="55"/>
        <v>0</v>
      </c>
      <c r="P591" s="132">
        <v>1</v>
      </c>
      <c r="Q591" s="132">
        <f t="shared" si="59"/>
        <v>0</v>
      </c>
      <c r="S591" s="132">
        <v>1</v>
      </c>
      <c r="T591" s="132">
        <f t="shared" si="56"/>
        <v>0</v>
      </c>
      <c r="V591" s="126">
        <f t="shared" si="57"/>
        <v>0</v>
      </c>
      <c r="W591" s="92">
        <f t="shared" si="58"/>
        <v>0</v>
      </c>
      <c r="Y591" s="210"/>
    </row>
    <row r="592" spans="1:25" ht="14.4" customHeight="1" thickBot="1" x14ac:dyDescent="0.3">
      <c r="A592" s="149"/>
      <c r="J592" s="130">
        <v>1</v>
      </c>
      <c r="K592" s="132">
        <f t="shared" si="54"/>
        <v>0</v>
      </c>
      <c r="M592" s="132">
        <v>1</v>
      </c>
      <c r="N592" s="132">
        <f t="shared" si="55"/>
        <v>0</v>
      </c>
      <c r="P592" s="132">
        <v>1</v>
      </c>
      <c r="Q592" s="132">
        <f t="shared" si="59"/>
        <v>0</v>
      </c>
      <c r="S592" s="132">
        <v>1</v>
      </c>
      <c r="T592" s="132">
        <f t="shared" si="56"/>
        <v>0</v>
      </c>
      <c r="V592" s="126">
        <f t="shared" si="57"/>
        <v>0</v>
      </c>
      <c r="W592" s="92">
        <f t="shared" si="58"/>
        <v>0</v>
      </c>
      <c r="Y592" s="210"/>
    </row>
    <row r="593" spans="1:25" ht="14.4" customHeight="1" thickBot="1" x14ac:dyDescent="0.3">
      <c r="A593" s="149"/>
      <c r="J593" s="130">
        <v>1</v>
      </c>
      <c r="K593" s="132">
        <f t="shared" si="54"/>
        <v>0</v>
      </c>
      <c r="M593" s="132">
        <v>1</v>
      </c>
      <c r="N593" s="132">
        <f t="shared" si="55"/>
        <v>0</v>
      </c>
      <c r="P593" s="132">
        <v>1</v>
      </c>
      <c r="Q593" s="132">
        <f t="shared" si="59"/>
        <v>0</v>
      </c>
      <c r="S593" s="132">
        <v>1</v>
      </c>
      <c r="T593" s="132">
        <f t="shared" si="56"/>
        <v>0</v>
      </c>
      <c r="V593" s="126">
        <f t="shared" si="57"/>
        <v>0</v>
      </c>
      <c r="W593" s="92">
        <f t="shared" si="58"/>
        <v>0</v>
      </c>
      <c r="Y593" s="210"/>
    </row>
    <row r="594" spans="1:25" ht="14.4" customHeight="1" thickBot="1" x14ac:dyDescent="0.3">
      <c r="A594" s="149"/>
      <c r="J594" s="130">
        <v>1</v>
      </c>
      <c r="K594" s="132">
        <f t="shared" si="54"/>
        <v>0</v>
      </c>
      <c r="M594" s="132">
        <v>1</v>
      </c>
      <c r="N594" s="132">
        <f t="shared" si="55"/>
        <v>0</v>
      </c>
      <c r="P594" s="132">
        <v>1</v>
      </c>
      <c r="Q594" s="132">
        <f t="shared" si="59"/>
        <v>0</v>
      </c>
      <c r="S594" s="132">
        <v>1</v>
      </c>
      <c r="T594" s="132">
        <f t="shared" si="56"/>
        <v>0</v>
      </c>
      <c r="V594" s="126">
        <f t="shared" si="57"/>
        <v>0</v>
      </c>
      <c r="W594" s="92">
        <f t="shared" si="58"/>
        <v>0</v>
      </c>
      <c r="Y594" s="210"/>
    </row>
    <row r="595" spans="1:25" ht="14.4" customHeight="1" thickBot="1" x14ac:dyDescent="0.3">
      <c r="A595" s="149"/>
      <c r="J595" s="130">
        <v>1</v>
      </c>
      <c r="K595" s="132">
        <f t="shared" si="54"/>
        <v>0</v>
      </c>
      <c r="M595" s="132">
        <v>1</v>
      </c>
      <c r="N595" s="132">
        <f t="shared" si="55"/>
        <v>0</v>
      </c>
      <c r="P595" s="132">
        <v>1</v>
      </c>
      <c r="Q595" s="132">
        <f t="shared" si="59"/>
        <v>0</v>
      </c>
      <c r="S595" s="132">
        <v>1</v>
      </c>
      <c r="T595" s="132">
        <f t="shared" si="56"/>
        <v>0</v>
      </c>
      <c r="V595" s="126">
        <f t="shared" si="57"/>
        <v>0</v>
      </c>
      <c r="W595" s="92">
        <f t="shared" si="58"/>
        <v>0</v>
      </c>
      <c r="Y595" s="210"/>
    </row>
    <row r="596" spans="1:25" ht="14.4" customHeight="1" thickBot="1" x14ac:dyDescent="0.3">
      <c r="A596" s="149"/>
      <c r="J596" s="130">
        <v>1</v>
      </c>
      <c r="K596" s="132">
        <f t="shared" si="54"/>
        <v>0</v>
      </c>
      <c r="M596" s="132">
        <v>1</v>
      </c>
      <c r="N596" s="132">
        <f t="shared" si="55"/>
        <v>0</v>
      </c>
      <c r="P596" s="132">
        <v>1</v>
      </c>
      <c r="Q596" s="132">
        <f t="shared" si="59"/>
        <v>0</v>
      </c>
      <c r="S596" s="132">
        <v>1</v>
      </c>
      <c r="T596" s="132">
        <f t="shared" si="56"/>
        <v>0</v>
      </c>
      <c r="V596" s="126">
        <f t="shared" si="57"/>
        <v>0</v>
      </c>
      <c r="W596" s="92">
        <f t="shared" si="58"/>
        <v>0</v>
      </c>
      <c r="Y596" s="210"/>
    </row>
    <row r="597" spans="1:25" ht="14.4" customHeight="1" thickBot="1" x14ac:dyDescent="0.3">
      <c r="A597" s="149"/>
      <c r="J597" s="130">
        <v>1</v>
      </c>
      <c r="K597" s="132">
        <f t="shared" si="54"/>
        <v>0</v>
      </c>
      <c r="M597" s="132">
        <v>1</v>
      </c>
      <c r="N597" s="132">
        <f t="shared" si="55"/>
        <v>0</v>
      </c>
      <c r="P597" s="132">
        <v>1</v>
      </c>
      <c r="Q597" s="132">
        <f t="shared" si="59"/>
        <v>0</v>
      </c>
      <c r="S597" s="132">
        <v>1</v>
      </c>
      <c r="T597" s="132">
        <f t="shared" si="56"/>
        <v>0</v>
      </c>
      <c r="V597" s="126">
        <f t="shared" si="57"/>
        <v>0</v>
      </c>
      <c r="W597" s="92">
        <f t="shared" si="58"/>
        <v>0</v>
      </c>
      <c r="Y597" s="210"/>
    </row>
    <row r="598" spans="1:25" ht="14.4" customHeight="1" thickBot="1" x14ac:dyDescent="0.3">
      <c r="A598" s="149"/>
      <c r="J598" s="130">
        <v>1</v>
      </c>
      <c r="K598" s="132">
        <f t="shared" si="54"/>
        <v>0</v>
      </c>
      <c r="M598" s="132">
        <v>1</v>
      </c>
      <c r="N598" s="132">
        <f t="shared" si="55"/>
        <v>0</v>
      </c>
      <c r="P598" s="132">
        <v>1</v>
      </c>
      <c r="Q598" s="132">
        <f t="shared" si="59"/>
        <v>0</v>
      </c>
      <c r="S598" s="132">
        <v>1</v>
      </c>
      <c r="T598" s="132">
        <f t="shared" si="56"/>
        <v>0</v>
      </c>
      <c r="V598" s="126">
        <f t="shared" si="57"/>
        <v>0</v>
      </c>
      <c r="W598" s="92">
        <f t="shared" si="58"/>
        <v>0</v>
      </c>
      <c r="Y598" s="210"/>
    </row>
    <row r="599" spans="1:25" ht="14.4" customHeight="1" thickBot="1" x14ac:dyDescent="0.3">
      <c r="A599" s="149"/>
      <c r="J599" s="130">
        <v>1</v>
      </c>
      <c r="K599" s="132">
        <f t="shared" si="54"/>
        <v>0</v>
      </c>
      <c r="M599" s="132">
        <v>1</v>
      </c>
      <c r="N599" s="132">
        <f t="shared" si="55"/>
        <v>0</v>
      </c>
      <c r="P599" s="132">
        <v>1</v>
      </c>
      <c r="Q599" s="132">
        <f t="shared" si="59"/>
        <v>0</v>
      </c>
      <c r="S599" s="132">
        <v>1</v>
      </c>
      <c r="T599" s="132">
        <f t="shared" si="56"/>
        <v>0</v>
      </c>
      <c r="V599" s="126">
        <f t="shared" si="57"/>
        <v>0</v>
      </c>
      <c r="W599" s="92">
        <f t="shared" si="58"/>
        <v>0</v>
      </c>
      <c r="Y599" s="210"/>
    </row>
    <row r="600" spans="1:25" ht="14.4" customHeight="1" thickBot="1" x14ac:dyDescent="0.3">
      <c r="A600" s="149"/>
      <c r="J600" s="130">
        <v>1</v>
      </c>
      <c r="K600" s="132">
        <f t="shared" si="54"/>
        <v>0</v>
      </c>
      <c r="M600" s="132">
        <v>1</v>
      </c>
      <c r="N600" s="132">
        <f t="shared" si="55"/>
        <v>0</v>
      </c>
      <c r="P600" s="132">
        <v>1</v>
      </c>
      <c r="Q600" s="132">
        <f t="shared" si="59"/>
        <v>0</v>
      </c>
      <c r="S600" s="132">
        <v>1</v>
      </c>
      <c r="T600" s="132">
        <f t="shared" si="56"/>
        <v>0</v>
      </c>
      <c r="V600" s="126">
        <f t="shared" si="57"/>
        <v>0</v>
      </c>
      <c r="W600" s="92">
        <f t="shared" si="58"/>
        <v>0</v>
      </c>
      <c r="Y600" s="210"/>
    </row>
    <row r="601" spans="1:25" ht="14.4" customHeight="1" thickBot="1" x14ac:dyDescent="0.3">
      <c r="A601" s="149"/>
      <c r="J601" s="130">
        <v>1</v>
      </c>
      <c r="K601" s="132">
        <f t="shared" si="54"/>
        <v>0</v>
      </c>
      <c r="M601" s="132">
        <v>1</v>
      </c>
      <c r="N601" s="132">
        <f t="shared" si="55"/>
        <v>0</v>
      </c>
      <c r="P601" s="132">
        <v>1</v>
      </c>
      <c r="Q601" s="132">
        <f t="shared" si="59"/>
        <v>0</v>
      </c>
      <c r="S601" s="132">
        <v>1</v>
      </c>
      <c r="T601" s="132">
        <f t="shared" si="56"/>
        <v>0</v>
      </c>
      <c r="V601" s="126">
        <f t="shared" si="57"/>
        <v>0</v>
      </c>
      <c r="W601" s="92">
        <f t="shared" si="58"/>
        <v>0</v>
      </c>
      <c r="Y601" s="210"/>
    </row>
    <row r="602" spans="1:25" ht="14.4" customHeight="1" thickBot="1" x14ac:dyDescent="0.3">
      <c r="A602" s="149"/>
      <c r="J602" s="130">
        <v>1</v>
      </c>
      <c r="K602" s="132">
        <f t="shared" si="54"/>
        <v>0</v>
      </c>
      <c r="M602" s="132">
        <v>1</v>
      </c>
      <c r="N602" s="132">
        <f t="shared" si="55"/>
        <v>0</v>
      </c>
      <c r="P602" s="132">
        <v>1</v>
      </c>
      <c r="Q602" s="132">
        <f t="shared" si="59"/>
        <v>0</v>
      </c>
      <c r="S602" s="132">
        <v>1</v>
      </c>
      <c r="T602" s="132">
        <f t="shared" si="56"/>
        <v>0</v>
      </c>
      <c r="V602" s="126">
        <f t="shared" si="57"/>
        <v>0</v>
      </c>
      <c r="W602" s="92">
        <f t="shared" si="58"/>
        <v>0</v>
      </c>
      <c r="Y602" s="210"/>
    </row>
    <row r="603" spans="1:25" ht="14.4" customHeight="1" thickBot="1" x14ac:dyDescent="0.3">
      <c r="A603" s="149"/>
      <c r="J603" s="130">
        <v>1</v>
      </c>
      <c r="K603" s="132">
        <f t="shared" si="54"/>
        <v>0</v>
      </c>
      <c r="M603" s="132">
        <v>1</v>
      </c>
      <c r="N603" s="132">
        <f t="shared" si="55"/>
        <v>0</v>
      </c>
      <c r="P603" s="132">
        <v>1</v>
      </c>
      <c r="Q603" s="132">
        <f t="shared" si="59"/>
        <v>0</v>
      </c>
      <c r="S603" s="132">
        <v>1</v>
      </c>
      <c r="T603" s="132">
        <f t="shared" si="56"/>
        <v>0</v>
      </c>
      <c r="V603" s="126">
        <f t="shared" si="57"/>
        <v>0</v>
      </c>
      <c r="W603" s="92">
        <f t="shared" si="58"/>
        <v>0</v>
      </c>
      <c r="Y603" s="210"/>
    </row>
    <row r="604" spans="1:25" ht="14.4" customHeight="1" thickBot="1" x14ac:dyDescent="0.3">
      <c r="A604" s="149"/>
      <c r="J604" s="130">
        <v>1</v>
      </c>
      <c r="K604" s="132">
        <f t="shared" si="54"/>
        <v>0</v>
      </c>
      <c r="M604" s="132">
        <v>1</v>
      </c>
      <c r="N604" s="132">
        <f t="shared" si="55"/>
        <v>0</v>
      </c>
      <c r="P604" s="132">
        <v>1</v>
      </c>
      <c r="Q604" s="132">
        <f t="shared" si="59"/>
        <v>0</v>
      </c>
      <c r="S604" s="132">
        <v>1</v>
      </c>
      <c r="T604" s="132">
        <f t="shared" si="56"/>
        <v>0</v>
      </c>
      <c r="V604" s="126">
        <f t="shared" si="57"/>
        <v>0</v>
      </c>
      <c r="W604" s="92">
        <f t="shared" si="58"/>
        <v>0</v>
      </c>
      <c r="Y604" s="210"/>
    </row>
    <row r="605" spans="1:25" ht="14.4" customHeight="1" thickBot="1" x14ac:dyDescent="0.3">
      <c r="A605" s="149"/>
      <c r="J605" s="130">
        <v>1</v>
      </c>
      <c r="K605" s="132">
        <f t="shared" si="54"/>
        <v>0</v>
      </c>
      <c r="M605" s="132">
        <v>1</v>
      </c>
      <c r="N605" s="132">
        <f t="shared" si="55"/>
        <v>0</v>
      </c>
      <c r="P605" s="132">
        <v>1</v>
      </c>
      <c r="Q605" s="132">
        <f t="shared" si="59"/>
        <v>0</v>
      </c>
      <c r="S605" s="132">
        <v>1</v>
      </c>
      <c r="T605" s="132">
        <f t="shared" si="56"/>
        <v>0</v>
      </c>
      <c r="V605" s="126">
        <f t="shared" si="57"/>
        <v>0</v>
      </c>
      <c r="W605" s="92">
        <f t="shared" si="58"/>
        <v>0</v>
      </c>
      <c r="Y605" s="210"/>
    </row>
    <row r="606" spans="1:25" ht="14.4" customHeight="1" thickBot="1" x14ac:dyDescent="0.3">
      <c r="A606" s="149"/>
      <c r="J606" s="130">
        <v>1</v>
      </c>
      <c r="K606" s="132">
        <f t="shared" si="54"/>
        <v>0</v>
      </c>
      <c r="M606" s="132">
        <v>1</v>
      </c>
      <c r="N606" s="132">
        <f t="shared" si="55"/>
        <v>0</v>
      </c>
      <c r="P606" s="132">
        <v>1</v>
      </c>
      <c r="Q606" s="132">
        <f t="shared" si="59"/>
        <v>0</v>
      </c>
      <c r="S606" s="132">
        <v>1</v>
      </c>
      <c r="T606" s="132">
        <f t="shared" si="56"/>
        <v>0</v>
      </c>
      <c r="V606" s="126">
        <f t="shared" si="57"/>
        <v>0</v>
      </c>
      <c r="W606" s="92">
        <f t="shared" si="58"/>
        <v>0</v>
      </c>
      <c r="Y606" s="210"/>
    </row>
    <row r="607" spans="1:25" ht="14.4" customHeight="1" thickBot="1" x14ac:dyDescent="0.3">
      <c r="A607" s="149"/>
      <c r="J607" s="130">
        <v>1</v>
      </c>
      <c r="K607" s="132">
        <f t="shared" si="54"/>
        <v>0</v>
      </c>
      <c r="M607" s="132">
        <v>1</v>
      </c>
      <c r="N607" s="132">
        <f t="shared" si="55"/>
        <v>0</v>
      </c>
      <c r="P607" s="132">
        <v>1</v>
      </c>
      <c r="Q607" s="132">
        <f t="shared" si="59"/>
        <v>0</v>
      </c>
      <c r="S607" s="132">
        <v>1</v>
      </c>
      <c r="T607" s="132">
        <f t="shared" si="56"/>
        <v>0</v>
      </c>
      <c r="V607" s="126">
        <f t="shared" si="57"/>
        <v>0</v>
      </c>
      <c r="W607" s="92">
        <f t="shared" si="58"/>
        <v>0</v>
      </c>
      <c r="Y607" s="210"/>
    </row>
    <row r="608" spans="1:25" ht="14.4" customHeight="1" thickBot="1" x14ac:dyDescent="0.3">
      <c r="A608" s="149"/>
      <c r="J608" s="130">
        <v>1</v>
      </c>
      <c r="K608" s="132">
        <f t="shared" si="54"/>
        <v>0</v>
      </c>
      <c r="M608" s="132">
        <v>1</v>
      </c>
      <c r="N608" s="132">
        <f t="shared" si="55"/>
        <v>0</v>
      </c>
      <c r="P608" s="132">
        <v>1</v>
      </c>
      <c r="Q608" s="132">
        <f t="shared" si="59"/>
        <v>0</v>
      </c>
      <c r="S608" s="132">
        <v>1</v>
      </c>
      <c r="T608" s="132">
        <f t="shared" si="56"/>
        <v>0</v>
      </c>
      <c r="V608" s="126">
        <f t="shared" si="57"/>
        <v>0</v>
      </c>
      <c r="W608" s="92">
        <f t="shared" si="58"/>
        <v>0</v>
      </c>
      <c r="Y608" s="210"/>
    </row>
    <row r="609" spans="1:25" ht="14.4" customHeight="1" thickBot="1" x14ac:dyDescent="0.3">
      <c r="A609" s="149"/>
      <c r="J609" s="130">
        <v>1</v>
      </c>
      <c r="K609" s="132">
        <f t="shared" si="54"/>
        <v>0</v>
      </c>
      <c r="M609" s="132">
        <v>1</v>
      </c>
      <c r="N609" s="132">
        <f t="shared" si="55"/>
        <v>0</v>
      </c>
      <c r="P609" s="132">
        <v>1</v>
      </c>
      <c r="Q609" s="132">
        <f t="shared" si="59"/>
        <v>0</v>
      </c>
      <c r="S609" s="132">
        <v>1</v>
      </c>
      <c r="T609" s="132">
        <f t="shared" si="56"/>
        <v>0</v>
      </c>
      <c r="V609" s="126">
        <f t="shared" si="57"/>
        <v>0</v>
      </c>
      <c r="W609" s="92">
        <f t="shared" si="58"/>
        <v>0</v>
      </c>
      <c r="Y609" s="210"/>
    </row>
    <row r="610" spans="1:25" ht="14.4" customHeight="1" thickBot="1" x14ac:dyDescent="0.3">
      <c r="A610" s="149"/>
      <c r="J610" s="130">
        <v>1</v>
      </c>
      <c r="K610" s="132">
        <f t="shared" si="54"/>
        <v>0</v>
      </c>
      <c r="M610" s="132">
        <v>1</v>
      </c>
      <c r="N610" s="132">
        <f t="shared" si="55"/>
        <v>0</v>
      </c>
      <c r="P610" s="132">
        <v>1</v>
      </c>
      <c r="Q610" s="132">
        <f t="shared" si="59"/>
        <v>0</v>
      </c>
      <c r="S610" s="132">
        <v>1</v>
      </c>
      <c r="T610" s="132">
        <f t="shared" si="56"/>
        <v>0</v>
      </c>
      <c r="V610" s="126">
        <f t="shared" si="57"/>
        <v>0</v>
      </c>
      <c r="W610" s="92">
        <f t="shared" si="58"/>
        <v>0</v>
      </c>
      <c r="Y610" s="210"/>
    </row>
    <row r="611" spans="1:25" ht="14.4" customHeight="1" thickBot="1" x14ac:dyDescent="0.3">
      <c r="A611" s="149"/>
      <c r="J611" s="130">
        <v>1</v>
      </c>
      <c r="K611" s="132">
        <f t="shared" si="54"/>
        <v>0</v>
      </c>
      <c r="M611" s="132">
        <v>1</v>
      </c>
      <c r="N611" s="132">
        <f t="shared" si="55"/>
        <v>0</v>
      </c>
      <c r="P611" s="132">
        <v>1</v>
      </c>
      <c r="Q611" s="132">
        <f t="shared" si="59"/>
        <v>0</v>
      </c>
      <c r="S611" s="132">
        <v>1</v>
      </c>
      <c r="T611" s="132">
        <f t="shared" si="56"/>
        <v>0</v>
      </c>
      <c r="V611" s="126">
        <f t="shared" si="57"/>
        <v>0</v>
      </c>
      <c r="W611" s="92">
        <f t="shared" si="58"/>
        <v>0</v>
      </c>
      <c r="Y611" s="210"/>
    </row>
    <row r="612" spans="1:25" ht="14.4" customHeight="1" thickBot="1" x14ac:dyDescent="0.3">
      <c r="A612" s="149"/>
      <c r="J612" s="130">
        <v>1</v>
      </c>
      <c r="K612" s="132">
        <f t="shared" si="54"/>
        <v>0</v>
      </c>
      <c r="M612" s="132">
        <v>1</v>
      </c>
      <c r="N612" s="132">
        <f t="shared" si="55"/>
        <v>0</v>
      </c>
      <c r="P612" s="132">
        <v>1</v>
      </c>
      <c r="Q612" s="132">
        <f t="shared" si="59"/>
        <v>0</v>
      </c>
      <c r="S612" s="132">
        <v>1</v>
      </c>
      <c r="T612" s="132">
        <f t="shared" si="56"/>
        <v>0</v>
      </c>
      <c r="V612" s="126">
        <f t="shared" si="57"/>
        <v>0</v>
      </c>
      <c r="W612" s="92">
        <f t="shared" si="58"/>
        <v>0</v>
      </c>
      <c r="Y612" s="210"/>
    </row>
    <row r="613" spans="1:25" ht="14.4" customHeight="1" thickBot="1" x14ac:dyDescent="0.3">
      <c r="A613" s="149"/>
      <c r="J613" s="130">
        <v>1</v>
      </c>
      <c r="K613" s="132">
        <f t="shared" si="54"/>
        <v>0</v>
      </c>
      <c r="M613" s="132">
        <v>1</v>
      </c>
      <c r="N613" s="132">
        <f t="shared" si="55"/>
        <v>0</v>
      </c>
      <c r="P613" s="132">
        <v>1</v>
      </c>
      <c r="Q613" s="132">
        <f t="shared" si="59"/>
        <v>0</v>
      </c>
      <c r="S613" s="132">
        <v>1</v>
      </c>
      <c r="T613" s="132">
        <f t="shared" si="56"/>
        <v>0</v>
      </c>
      <c r="V613" s="126">
        <f t="shared" si="57"/>
        <v>0</v>
      </c>
      <c r="W613" s="92">
        <f t="shared" si="58"/>
        <v>0</v>
      </c>
      <c r="Y613" s="210"/>
    </row>
    <row r="614" spans="1:25" ht="14.4" customHeight="1" thickBot="1" x14ac:dyDescent="0.3">
      <c r="A614" s="149"/>
      <c r="J614" s="130">
        <v>1</v>
      </c>
      <c r="K614" s="132">
        <f t="shared" si="54"/>
        <v>0</v>
      </c>
      <c r="M614" s="132">
        <v>1</v>
      </c>
      <c r="N614" s="132">
        <f t="shared" si="55"/>
        <v>0</v>
      </c>
      <c r="P614" s="132">
        <v>1</v>
      </c>
      <c r="Q614" s="132">
        <f t="shared" si="59"/>
        <v>0</v>
      </c>
      <c r="S614" s="132">
        <v>1</v>
      </c>
      <c r="T614" s="132">
        <f t="shared" si="56"/>
        <v>0</v>
      </c>
      <c r="V614" s="126">
        <f t="shared" si="57"/>
        <v>0</v>
      </c>
      <c r="W614" s="92">
        <f t="shared" si="58"/>
        <v>0</v>
      </c>
      <c r="Y614" s="210"/>
    </row>
    <row r="615" spans="1:25" ht="14.4" customHeight="1" thickBot="1" x14ac:dyDescent="0.3">
      <c r="A615" s="149"/>
      <c r="J615" s="130">
        <v>1</v>
      </c>
      <c r="K615" s="132">
        <f t="shared" si="54"/>
        <v>0</v>
      </c>
      <c r="M615" s="132">
        <v>1</v>
      </c>
      <c r="N615" s="132">
        <f t="shared" si="55"/>
        <v>0</v>
      </c>
      <c r="P615" s="132">
        <v>1</v>
      </c>
      <c r="Q615" s="132">
        <f t="shared" si="59"/>
        <v>0</v>
      </c>
      <c r="S615" s="132">
        <v>1</v>
      </c>
      <c r="T615" s="132">
        <f t="shared" si="56"/>
        <v>0</v>
      </c>
      <c r="V615" s="126">
        <f t="shared" si="57"/>
        <v>0</v>
      </c>
      <c r="W615" s="92">
        <f t="shared" si="58"/>
        <v>0</v>
      </c>
      <c r="Y615" s="210"/>
    </row>
    <row r="616" spans="1:25" ht="14.4" customHeight="1" thickBot="1" x14ac:dyDescent="0.3">
      <c r="A616" s="149"/>
      <c r="J616" s="130">
        <v>1</v>
      </c>
      <c r="K616" s="132">
        <f t="shared" si="54"/>
        <v>0</v>
      </c>
      <c r="M616" s="132">
        <v>1</v>
      </c>
      <c r="N616" s="132">
        <f t="shared" si="55"/>
        <v>0</v>
      </c>
      <c r="P616" s="132">
        <v>1</v>
      </c>
      <c r="Q616" s="132">
        <f t="shared" si="59"/>
        <v>0</v>
      </c>
      <c r="S616" s="132">
        <v>1</v>
      </c>
      <c r="T616" s="132">
        <f t="shared" si="56"/>
        <v>0</v>
      </c>
      <c r="V616" s="126">
        <f t="shared" si="57"/>
        <v>0</v>
      </c>
      <c r="W616" s="92">
        <f t="shared" si="58"/>
        <v>0</v>
      </c>
      <c r="Y616" s="210"/>
    </row>
    <row r="617" spans="1:25" ht="14.4" customHeight="1" thickBot="1" x14ac:dyDescent="0.3">
      <c r="A617" s="149"/>
      <c r="J617" s="130">
        <v>1</v>
      </c>
      <c r="K617" s="132">
        <f t="shared" si="54"/>
        <v>0</v>
      </c>
      <c r="M617" s="132">
        <v>1</v>
      </c>
      <c r="N617" s="132">
        <f t="shared" si="55"/>
        <v>0</v>
      </c>
      <c r="P617" s="132">
        <v>1</v>
      </c>
      <c r="Q617" s="132">
        <f t="shared" si="59"/>
        <v>0</v>
      </c>
      <c r="S617" s="132">
        <v>1</v>
      </c>
      <c r="T617" s="132">
        <f t="shared" si="56"/>
        <v>0</v>
      </c>
      <c r="V617" s="126">
        <f t="shared" si="57"/>
        <v>0</v>
      </c>
      <c r="W617" s="92">
        <f t="shared" si="58"/>
        <v>0</v>
      </c>
      <c r="Y617" s="210"/>
    </row>
    <row r="618" spans="1:25" ht="14.4" customHeight="1" thickBot="1" x14ac:dyDescent="0.3">
      <c r="A618" s="149"/>
      <c r="J618" s="130">
        <v>1</v>
      </c>
      <c r="K618" s="132">
        <f t="shared" si="54"/>
        <v>0</v>
      </c>
      <c r="M618" s="132">
        <v>1</v>
      </c>
      <c r="N618" s="132">
        <f t="shared" si="55"/>
        <v>0</v>
      </c>
      <c r="P618" s="132">
        <v>1</v>
      </c>
      <c r="Q618" s="132">
        <f t="shared" si="59"/>
        <v>0</v>
      </c>
      <c r="S618" s="132">
        <v>1</v>
      </c>
      <c r="T618" s="132">
        <f t="shared" si="56"/>
        <v>0</v>
      </c>
      <c r="V618" s="126">
        <f t="shared" si="57"/>
        <v>0</v>
      </c>
      <c r="W618" s="92">
        <f t="shared" si="58"/>
        <v>0</v>
      </c>
      <c r="Y618" s="210"/>
    </row>
    <row r="619" spans="1:25" ht="14.4" customHeight="1" thickBot="1" x14ac:dyDescent="0.3">
      <c r="A619" s="149"/>
      <c r="J619" s="130">
        <v>1</v>
      </c>
      <c r="K619" s="132">
        <f t="shared" si="54"/>
        <v>0</v>
      </c>
      <c r="M619" s="132">
        <v>1</v>
      </c>
      <c r="N619" s="132">
        <f t="shared" si="55"/>
        <v>0</v>
      </c>
      <c r="P619" s="132">
        <v>1</v>
      </c>
      <c r="Q619" s="132">
        <f t="shared" si="59"/>
        <v>0</v>
      </c>
      <c r="S619" s="132">
        <v>1</v>
      </c>
      <c r="T619" s="132">
        <f t="shared" si="56"/>
        <v>0</v>
      </c>
      <c r="V619" s="126">
        <f t="shared" si="57"/>
        <v>0</v>
      </c>
      <c r="W619" s="92">
        <f t="shared" si="58"/>
        <v>0</v>
      </c>
      <c r="Y619" s="210"/>
    </row>
    <row r="620" spans="1:25" ht="14.4" customHeight="1" thickBot="1" x14ac:dyDescent="0.3">
      <c r="A620" s="149"/>
      <c r="J620" s="130">
        <v>1</v>
      </c>
      <c r="K620" s="132">
        <f t="shared" si="54"/>
        <v>0</v>
      </c>
      <c r="M620" s="132">
        <v>1</v>
      </c>
      <c r="N620" s="132">
        <f t="shared" si="55"/>
        <v>0</v>
      </c>
      <c r="P620" s="132">
        <v>1</v>
      </c>
      <c r="Q620" s="132">
        <f t="shared" si="59"/>
        <v>0</v>
      </c>
      <c r="S620" s="132">
        <v>1</v>
      </c>
      <c r="T620" s="132">
        <f t="shared" si="56"/>
        <v>0</v>
      </c>
      <c r="V620" s="126">
        <f t="shared" si="57"/>
        <v>0</v>
      </c>
      <c r="W620" s="92">
        <f t="shared" si="58"/>
        <v>0</v>
      </c>
      <c r="Y620" s="210"/>
    </row>
    <row r="621" spans="1:25" ht="14.4" customHeight="1" thickBot="1" x14ac:dyDescent="0.3">
      <c r="A621" s="149"/>
      <c r="J621" s="130">
        <v>1</v>
      </c>
      <c r="K621" s="132">
        <f t="shared" si="54"/>
        <v>0</v>
      </c>
      <c r="M621" s="132">
        <v>1</v>
      </c>
      <c r="N621" s="132">
        <f t="shared" si="55"/>
        <v>0</v>
      </c>
      <c r="P621" s="132">
        <v>1</v>
      </c>
      <c r="Q621" s="132">
        <f t="shared" si="59"/>
        <v>0</v>
      </c>
      <c r="S621" s="132">
        <v>1</v>
      </c>
      <c r="T621" s="132">
        <f t="shared" si="56"/>
        <v>0</v>
      </c>
      <c r="V621" s="126">
        <f t="shared" si="57"/>
        <v>0</v>
      </c>
      <c r="W621" s="92">
        <f t="shared" si="58"/>
        <v>0</v>
      </c>
      <c r="Y621" s="210"/>
    </row>
    <row r="622" spans="1:25" ht="14.4" customHeight="1" thickBot="1" x14ac:dyDescent="0.3">
      <c r="A622" s="149"/>
      <c r="J622" s="130">
        <v>1</v>
      </c>
      <c r="K622" s="132">
        <f t="shared" si="54"/>
        <v>0</v>
      </c>
      <c r="M622" s="132">
        <v>1</v>
      </c>
      <c r="N622" s="132">
        <f t="shared" si="55"/>
        <v>0</v>
      </c>
      <c r="P622" s="132">
        <v>1</v>
      </c>
      <c r="Q622" s="132">
        <f t="shared" si="59"/>
        <v>0</v>
      </c>
      <c r="S622" s="132">
        <v>1</v>
      </c>
      <c r="T622" s="132">
        <f t="shared" si="56"/>
        <v>0</v>
      </c>
      <c r="V622" s="126">
        <f t="shared" si="57"/>
        <v>0</v>
      </c>
      <c r="W622" s="92">
        <f t="shared" si="58"/>
        <v>0</v>
      </c>
      <c r="Y622" s="210"/>
    </row>
    <row r="623" spans="1:25" ht="14.4" customHeight="1" thickBot="1" x14ac:dyDescent="0.3">
      <c r="A623" s="149"/>
      <c r="J623" s="130">
        <v>1</v>
      </c>
      <c r="K623" s="132">
        <f t="shared" si="54"/>
        <v>0</v>
      </c>
      <c r="M623" s="132">
        <v>1</v>
      </c>
      <c r="N623" s="132">
        <f t="shared" si="55"/>
        <v>0</v>
      </c>
      <c r="P623" s="132">
        <v>1</v>
      </c>
      <c r="Q623" s="132">
        <f t="shared" si="59"/>
        <v>0</v>
      </c>
      <c r="S623" s="132">
        <v>1</v>
      </c>
      <c r="T623" s="132">
        <f t="shared" si="56"/>
        <v>0</v>
      </c>
      <c r="V623" s="126">
        <f t="shared" si="57"/>
        <v>0</v>
      </c>
      <c r="W623" s="92">
        <f t="shared" si="58"/>
        <v>0</v>
      </c>
      <c r="Y623" s="210"/>
    </row>
    <row r="624" spans="1:25" ht="14.4" customHeight="1" thickBot="1" x14ac:dyDescent="0.3">
      <c r="A624" s="149"/>
      <c r="J624" s="130">
        <v>1</v>
      </c>
      <c r="K624" s="132">
        <f t="shared" si="54"/>
        <v>0</v>
      </c>
      <c r="M624" s="132">
        <v>1</v>
      </c>
      <c r="N624" s="132">
        <f t="shared" si="55"/>
        <v>0</v>
      </c>
      <c r="P624" s="132">
        <v>1</v>
      </c>
      <c r="Q624" s="132">
        <f t="shared" si="59"/>
        <v>0</v>
      </c>
      <c r="S624" s="132">
        <v>1</v>
      </c>
      <c r="T624" s="132">
        <f t="shared" si="56"/>
        <v>0</v>
      </c>
      <c r="V624" s="126">
        <f t="shared" si="57"/>
        <v>0</v>
      </c>
      <c r="W624" s="92">
        <f t="shared" si="58"/>
        <v>0</v>
      </c>
      <c r="Y624" s="210"/>
    </row>
    <row r="625" spans="1:25" ht="14.4" customHeight="1" thickBot="1" x14ac:dyDescent="0.3">
      <c r="A625" s="149"/>
      <c r="J625" s="130">
        <v>1</v>
      </c>
      <c r="K625" s="132">
        <f t="shared" si="54"/>
        <v>0</v>
      </c>
      <c r="M625" s="132">
        <v>1</v>
      </c>
      <c r="N625" s="132">
        <f t="shared" si="55"/>
        <v>0</v>
      </c>
      <c r="P625" s="132">
        <v>1</v>
      </c>
      <c r="Q625" s="132">
        <f t="shared" si="59"/>
        <v>0</v>
      </c>
      <c r="S625" s="132">
        <v>1</v>
      </c>
      <c r="T625" s="132">
        <f t="shared" si="56"/>
        <v>0</v>
      </c>
      <c r="V625" s="126">
        <f t="shared" si="57"/>
        <v>0</v>
      </c>
      <c r="W625" s="92">
        <f t="shared" si="58"/>
        <v>0</v>
      </c>
      <c r="Y625" s="210"/>
    </row>
    <row r="626" spans="1:25" ht="14.4" customHeight="1" thickBot="1" x14ac:dyDescent="0.3">
      <c r="A626" s="149"/>
      <c r="J626" s="130">
        <v>1</v>
      </c>
      <c r="K626" s="132">
        <f t="shared" si="54"/>
        <v>0</v>
      </c>
      <c r="M626" s="132">
        <v>1</v>
      </c>
      <c r="N626" s="132">
        <f t="shared" si="55"/>
        <v>0</v>
      </c>
      <c r="P626" s="132">
        <v>1</v>
      </c>
      <c r="Q626" s="132">
        <f t="shared" si="59"/>
        <v>0</v>
      </c>
      <c r="S626" s="132">
        <v>1</v>
      </c>
      <c r="T626" s="132">
        <f t="shared" si="56"/>
        <v>0</v>
      </c>
      <c r="V626" s="126">
        <f t="shared" si="57"/>
        <v>0</v>
      </c>
      <c r="W626" s="92">
        <f t="shared" si="58"/>
        <v>0</v>
      </c>
      <c r="Y626" s="210"/>
    </row>
    <row r="627" spans="1:25" ht="14.4" customHeight="1" thickBot="1" x14ac:dyDescent="0.3">
      <c r="A627" s="149"/>
      <c r="J627" s="130">
        <v>1</v>
      </c>
      <c r="K627" s="132">
        <f t="shared" si="54"/>
        <v>0</v>
      </c>
      <c r="M627" s="132">
        <v>1</v>
      </c>
      <c r="N627" s="132">
        <f t="shared" si="55"/>
        <v>0</v>
      </c>
      <c r="P627" s="132">
        <v>1</v>
      </c>
      <c r="Q627" s="132">
        <f t="shared" si="59"/>
        <v>0</v>
      </c>
      <c r="S627" s="132">
        <v>1</v>
      </c>
      <c r="T627" s="132">
        <f t="shared" si="56"/>
        <v>0</v>
      </c>
      <c r="V627" s="126">
        <f t="shared" si="57"/>
        <v>0</v>
      </c>
      <c r="W627" s="92">
        <f t="shared" si="58"/>
        <v>0</v>
      </c>
      <c r="Y627" s="210"/>
    </row>
    <row r="628" spans="1:25" ht="14.4" customHeight="1" thickBot="1" x14ac:dyDescent="0.3">
      <c r="A628" s="149"/>
      <c r="J628" s="130">
        <v>1</v>
      </c>
      <c r="K628" s="132">
        <f t="shared" si="54"/>
        <v>0</v>
      </c>
      <c r="M628" s="132">
        <v>1</v>
      </c>
      <c r="N628" s="132">
        <f t="shared" si="55"/>
        <v>0</v>
      </c>
      <c r="P628" s="132">
        <v>1</v>
      </c>
      <c r="Q628" s="132">
        <f t="shared" si="59"/>
        <v>0</v>
      </c>
      <c r="S628" s="132">
        <v>1</v>
      </c>
      <c r="T628" s="132">
        <f t="shared" si="56"/>
        <v>0</v>
      </c>
      <c r="V628" s="126">
        <f t="shared" si="57"/>
        <v>0</v>
      </c>
      <c r="W628" s="92">
        <f t="shared" si="58"/>
        <v>0</v>
      </c>
      <c r="Y628" s="210"/>
    </row>
    <row r="629" spans="1:25" ht="14.4" customHeight="1" thickBot="1" x14ac:dyDescent="0.3">
      <c r="A629" s="149"/>
      <c r="J629" s="130">
        <v>1</v>
      </c>
      <c r="K629" s="132">
        <f t="shared" si="54"/>
        <v>0</v>
      </c>
      <c r="M629" s="132">
        <v>1</v>
      </c>
      <c r="N629" s="132">
        <f t="shared" si="55"/>
        <v>0</v>
      </c>
      <c r="P629" s="132">
        <v>1</v>
      </c>
      <c r="Q629" s="132">
        <f t="shared" si="59"/>
        <v>0</v>
      </c>
      <c r="S629" s="132">
        <v>1</v>
      </c>
      <c r="T629" s="132">
        <f t="shared" si="56"/>
        <v>0</v>
      </c>
      <c r="V629" s="126">
        <f t="shared" si="57"/>
        <v>0</v>
      </c>
      <c r="W629" s="92">
        <f t="shared" si="58"/>
        <v>0</v>
      </c>
      <c r="Y629" s="210"/>
    </row>
    <row r="630" spans="1:25" ht="14.4" customHeight="1" thickBot="1" x14ac:dyDescent="0.3">
      <c r="A630" s="149"/>
      <c r="J630" s="130">
        <v>1</v>
      </c>
      <c r="K630" s="132">
        <f t="shared" si="54"/>
        <v>0</v>
      </c>
      <c r="M630" s="132">
        <v>1</v>
      </c>
      <c r="N630" s="132">
        <f t="shared" si="55"/>
        <v>0</v>
      </c>
      <c r="P630" s="132">
        <v>1</v>
      </c>
      <c r="Q630" s="132">
        <f t="shared" si="59"/>
        <v>0</v>
      </c>
      <c r="S630" s="132">
        <v>1</v>
      </c>
      <c r="T630" s="132">
        <f t="shared" si="56"/>
        <v>0</v>
      </c>
      <c r="V630" s="126">
        <f t="shared" si="57"/>
        <v>0</v>
      </c>
      <c r="W630" s="92">
        <f t="shared" si="58"/>
        <v>0</v>
      </c>
      <c r="Y630" s="210"/>
    </row>
    <row r="631" spans="1:25" ht="14.4" customHeight="1" thickBot="1" x14ac:dyDescent="0.3">
      <c r="A631" s="149"/>
      <c r="J631" s="130">
        <v>1</v>
      </c>
      <c r="K631" s="132">
        <f t="shared" si="54"/>
        <v>0</v>
      </c>
      <c r="M631" s="132">
        <v>1</v>
      </c>
      <c r="N631" s="132">
        <f t="shared" si="55"/>
        <v>0</v>
      </c>
      <c r="P631" s="132">
        <v>1</v>
      </c>
      <c r="Q631" s="132">
        <f t="shared" si="59"/>
        <v>0</v>
      </c>
      <c r="S631" s="132">
        <v>1</v>
      </c>
      <c r="T631" s="132">
        <f t="shared" si="56"/>
        <v>0</v>
      </c>
      <c r="V631" s="126">
        <f t="shared" si="57"/>
        <v>0</v>
      </c>
      <c r="W631" s="92">
        <f t="shared" si="58"/>
        <v>0</v>
      </c>
      <c r="Y631" s="210"/>
    </row>
    <row r="632" spans="1:25" ht="14.4" customHeight="1" thickBot="1" x14ac:dyDescent="0.3">
      <c r="A632" s="149"/>
      <c r="J632" s="130">
        <v>1</v>
      </c>
      <c r="K632" s="132">
        <f t="shared" si="54"/>
        <v>0</v>
      </c>
      <c r="M632" s="132">
        <v>1</v>
      </c>
      <c r="N632" s="132">
        <f t="shared" si="55"/>
        <v>0</v>
      </c>
      <c r="P632" s="132">
        <v>1</v>
      </c>
      <c r="Q632" s="132">
        <f t="shared" si="59"/>
        <v>0</v>
      </c>
      <c r="S632" s="132">
        <v>1</v>
      </c>
      <c r="T632" s="132">
        <f t="shared" si="56"/>
        <v>0</v>
      </c>
      <c r="V632" s="126">
        <f t="shared" si="57"/>
        <v>0</v>
      </c>
      <c r="W632" s="92">
        <f t="shared" si="58"/>
        <v>0</v>
      </c>
      <c r="Y632" s="210"/>
    </row>
    <row r="633" spans="1:25" ht="14.4" customHeight="1" thickBot="1" x14ac:dyDescent="0.3">
      <c r="A633" s="149"/>
      <c r="J633" s="130">
        <v>1</v>
      </c>
      <c r="K633" s="132">
        <f t="shared" si="54"/>
        <v>0</v>
      </c>
      <c r="M633" s="132">
        <v>1</v>
      </c>
      <c r="N633" s="132">
        <f t="shared" si="55"/>
        <v>0</v>
      </c>
      <c r="P633" s="132">
        <v>1</v>
      </c>
      <c r="Q633" s="132">
        <f t="shared" si="59"/>
        <v>0</v>
      </c>
      <c r="S633" s="132">
        <v>1</v>
      </c>
      <c r="T633" s="132">
        <f t="shared" si="56"/>
        <v>0</v>
      </c>
      <c r="V633" s="126">
        <f t="shared" si="57"/>
        <v>0</v>
      </c>
      <c r="W633" s="92">
        <f t="shared" si="58"/>
        <v>0</v>
      </c>
      <c r="Y633" s="210"/>
    </row>
    <row r="634" spans="1:25" ht="14.4" customHeight="1" thickBot="1" x14ac:dyDescent="0.3">
      <c r="A634" s="149"/>
      <c r="J634" s="130">
        <v>1</v>
      </c>
      <c r="K634" s="132">
        <f t="shared" si="54"/>
        <v>0</v>
      </c>
      <c r="M634" s="132">
        <v>1</v>
      </c>
      <c r="N634" s="132">
        <f t="shared" si="55"/>
        <v>0</v>
      </c>
      <c r="P634" s="132">
        <v>1</v>
      </c>
      <c r="Q634" s="132">
        <f t="shared" si="59"/>
        <v>0</v>
      </c>
      <c r="S634" s="132">
        <v>1</v>
      </c>
      <c r="T634" s="132">
        <f t="shared" si="56"/>
        <v>0</v>
      </c>
      <c r="V634" s="126">
        <f t="shared" si="57"/>
        <v>0</v>
      </c>
      <c r="W634" s="92">
        <f t="shared" si="58"/>
        <v>0</v>
      </c>
      <c r="Y634" s="210"/>
    </row>
    <row r="635" spans="1:25" ht="14.4" customHeight="1" thickBot="1" x14ac:dyDescent="0.3">
      <c r="A635" s="149"/>
      <c r="J635" s="130">
        <v>1</v>
      </c>
      <c r="K635" s="132">
        <f t="shared" si="54"/>
        <v>0</v>
      </c>
      <c r="M635" s="132">
        <v>1</v>
      </c>
      <c r="N635" s="132">
        <f t="shared" si="55"/>
        <v>0</v>
      </c>
      <c r="P635" s="132">
        <v>1</v>
      </c>
      <c r="Q635" s="132">
        <f t="shared" si="59"/>
        <v>0</v>
      </c>
      <c r="S635" s="132">
        <v>1</v>
      </c>
      <c r="T635" s="132">
        <f t="shared" si="56"/>
        <v>0</v>
      </c>
      <c r="V635" s="126">
        <f t="shared" si="57"/>
        <v>0</v>
      </c>
      <c r="W635" s="92">
        <f t="shared" si="58"/>
        <v>0</v>
      </c>
      <c r="Y635" s="210"/>
    </row>
    <row r="636" spans="1:25" ht="14.4" customHeight="1" thickBot="1" x14ac:dyDescent="0.3">
      <c r="A636" s="149"/>
      <c r="J636" s="130">
        <v>1</v>
      </c>
      <c r="K636" s="132">
        <f t="shared" si="54"/>
        <v>0</v>
      </c>
      <c r="M636" s="132">
        <v>1</v>
      </c>
      <c r="N636" s="132">
        <f t="shared" si="55"/>
        <v>0</v>
      </c>
      <c r="P636" s="132">
        <v>1</v>
      </c>
      <c r="Q636" s="132">
        <f t="shared" si="59"/>
        <v>0</v>
      </c>
      <c r="S636" s="132">
        <v>1</v>
      </c>
      <c r="T636" s="132">
        <f t="shared" si="56"/>
        <v>0</v>
      </c>
      <c r="V636" s="126">
        <f t="shared" si="57"/>
        <v>0</v>
      </c>
      <c r="W636" s="92">
        <f t="shared" si="58"/>
        <v>0</v>
      </c>
      <c r="Y636" s="210"/>
    </row>
    <row r="637" spans="1:25" ht="14.4" customHeight="1" thickBot="1" x14ac:dyDescent="0.3">
      <c r="A637" s="149"/>
      <c r="J637" s="130">
        <v>1</v>
      </c>
      <c r="K637" s="132">
        <f t="shared" si="54"/>
        <v>0</v>
      </c>
      <c r="M637" s="132">
        <v>1</v>
      </c>
      <c r="N637" s="132">
        <f t="shared" si="55"/>
        <v>0</v>
      </c>
      <c r="P637" s="132">
        <v>1</v>
      </c>
      <c r="Q637" s="132">
        <f t="shared" si="59"/>
        <v>0</v>
      </c>
      <c r="S637" s="132">
        <v>1</v>
      </c>
      <c r="T637" s="132">
        <f t="shared" si="56"/>
        <v>0</v>
      </c>
      <c r="V637" s="126">
        <f t="shared" si="57"/>
        <v>0</v>
      </c>
      <c r="W637" s="92">
        <f t="shared" si="58"/>
        <v>0</v>
      </c>
      <c r="Y637" s="210"/>
    </row>
    <row r="638" spans="1:25" ht="14.4" customHeight="1" thickBot="1" x14ac:dyDescent="0.3">
      <c r="A638" s="149"/>
      <c r="J638" s="130">
        <v>1</v>
      </c>
      <c r="K638" s="132">
        <f t="shared" si="54"/>
        <v>0</v>
      </c>
      <c r="M638" s="132">
        <v>1</v>
      </c>
      <c r="N638" s="132">
        <f t="shared" si="55"/>
        <v>0</v>
      </c>
      <c r="P638" s="132">
        <v>1</v>
      </c>
      <c r="Q638" s="132">
        <f t="shared" si="59"/>
        <v>0</v>
      </c>
      <c r="S638" s="132">
        <v>1</v>
      </c>
      <c r="T638" s="132">
        <f t="shared" si="56"/>
        <v>0</v>
      </c>
      <c r="V638" s="126">
        <f t="shared" si="57"/>
        <v>0</v>
      </c>
      <c r="W638" s="92">
        <f t="shared" si="58"/>
        <v>0</v>
      </c>
      <c r="Y638" s="210"/>
    </row>
    <row r="639" spans="1:25" ht="14.4" customHeight="1" thickBot="1" x14ac:dyDescent="0.3">
      <c r="A639" s="149"/>
      <c r="J639" s="130">
        <v>1</v>
      </c>
      <c r="K639" s="132">
        <f t="shared" si="54"/>
        <v>0</v>
      </c>
      <c r="M639" s="132">
        <v>1</v>
      </c>
      <c r="N639" s="132">
        <f t="shared" si="55"/>
        <v>0</v>
      </c>
      <c r="P639" s="132">
        <v>1</v>
      </c>
      <c r="Q639" s="132">
        <f t="shared" si="59"/>
        <v>0</v>
      </c>
      <c r="S639" s="132">
        <v>1</v>
      </c>
      <c r="T639" s="132">
        <f t="shared" si="56"/>
        <v>0</v>
      </c>
      <c r="V639" s="126">
        <f t="shared" si="57"/>
        <v>0</v>
      </c>
      <c r="W639" s="92">
        <f t="shared" si="58"/>
        <v>0</v>
      </c>
      <c r="Y639" s="210"/>
    </row>
    <row r="640" spans="1:25" ht="14.4" customHeight="1" thickBot="1" x14ac:dyDescent="0.3">
      <c r="A640" s="149"/>
      <c r="J640" s="130">
        <v>1</v>
      </c>
      <c r="K640" s="132">
        <f t="shared" si="54"/>
        <v>0</v>
      </c>
      <c r="M640" s="132">
        <v>1</v>
      </c>
      <c r="N640" s="132">
        <f t="shared" si="55"/>
        <v>0</v>
      </c>
      <c r="P640" s="132">
        <v>1</v>
      </c>
      <c r="Q640" s="132">
        <f t="shared" si="59"/>
        <v>0</v>
      </c>
      <c r="S640" s="132">
        <v>1</v>
      </c>
      <c r="T640" s="132">
        <f t="shared" si="56"/>
        <v>0</v>
      </c>
      <c r="V640" s="126">
        <f t="shared" si="57"/>
        <v>0</v>
      </c>
      <c r="W640" s="92">
        <f t="shared" si="58"/>
        <v>0</v>
      </c>
      <c r="Y640" s="210"/>
    </row>
    <row r="641" spans="1:25" ht="14.4" customHeight="1" thickBot="1" x14ac:dyDescent="0.3">
      <c r="A641" s="149"/>
      <c r="J641" s="130">
        <v>1</v>
      </c>
      <c r="K641" s="132">
        <f t="shared" si="54"/>
        <v>0</v>
      </c>
      <c r="M641" s="132">
        <v>1</v>
      </c>
      <c r="N641" s="132">
        <f t="shared" si="55"/>
        <v>0</v>
      </c>
      <c r="P641" s="132">
        <v>1</v>
      </c>
      <c r="Q641" s="132">
        <f t="shared" si="59"/>
        <v>0</v>
      </c>
      <c r="S641" s="132">
        <v>1</v>
      </c>
      <c r="T641" s="132">
        <f t="shared" si="56"/>
        <v>0</v>
      </c>
      <c r="V641" s="126">
        <f t="shared" si="57"/>
        <v>0</v>
      </c>
      <c r="W641" s="92">
        <f t="shared" si="58"/>
        <v>0</v>
      </c>
      <c r="Y641" s="210"/>
    </row>
    <row r="642" spans="1:25" ht="14.4" customHeight="1" thickBot="1" x14ac:dyDescent="0.3">
      <c r="A642" s="149"/>
      <c r="J642" s="130">
        <v>1</v>
      </c>
      <c r="K642" s="132">
        <f t="shared" ref="K642:K705" si="60">I642/J642</f>
        <v>0</v>
      </c>
      <c r="M642" s="132">
        <v>1</v>
      </c>
      <c r="N642" s="132">
        <f t="shared" ref="N642:N705" si="61">L642/M642</f>
        <v>0</v>
      </c>
      <c r="P642" s="132">
        <v>1</v>
      </c>
      <c r="Q642" s="132">
        <f t="shared" si="59"/>
        <v>0</v>
      </c>
      <c r="S642" s="132">
        <v>1</v>
      </c>
      <c r="T642" s="132">
        <f t="shared" ref="T642:T705" si="62">R642/S642</f>
        <v>0</v>
      </c>
      <c r="V642" s="126">
        <f t="shared" ref="V642:V705" si="63">D642+E642-G642-I642/J642-L642/M642-O642/P642-R642/S642</f>
        <v>0</v>
      </c>
      <c r="W642" s="92">
        <f t="shared" ref="W642:W705" si="64">G642+I642/J642+L642/M642+O642/P642+R642/S642</f>
        <v>0</v>
      </c>
      <c r="Y642" s="210"/>
    </row>
    <row r="643" spans="1:25" ht="14.4" customHeight="1" thickBot="1" x14ac:dyDescent="0.3">
      <c r="A643" s="149"/>
      <c r="J643" s="130">
        <v>1</v>
      </c>
      <c r="K643" s="132">
        <f t="shared" si="60"/>
        <v>0</v>
      </c>
      <c r="M643" s="132">
        <v>1</v>
      </c>
      <c r="N643" s="132">
        <f t="shared" si="61"/>
        <v>0</v>
      </c>
      <c r="P643" s="132">
        <v>1</v>
      </c>
      <c r="Q643" s="132">
        <f t="shared" ref="Q643:Q706" si="65">O643/P643</f>
        <v>0</v>
      </c>
      <c r="S643" s="132">
        <v>1</v>
      </c>
      <c r="T643" s="132">
        <f t="shared" si="62"/>
        <v>0</v>
      </c>
      <c r="V643" s="126">
        <f t="shared" si="63"/>
        <v>0</v>
      </c>
      <c r="W643" s="92">
        <f t="shared" si="64"/>
        <v>0</v>
      </c>
      <c r="Y643" s="210"/>
    </row>
    <row r="644" spans="1:25" ht="14.4" customHeight="1" thickBot="1" x14ac:dyDescent="0.3">
      <c r="A644" s="149"/>
      <c r="J644" s="130">
        <v>1</v>
      </c>
      <c r="K644" s="132">
        <f t="shared" si="60"/>
        <v>0</v>
      </c>
      <c r="M644" s="132">
        <v>1</v>
      </c>
      <c r="N644" s="132">
        <f t="shared" si="61"/>
        <v>0</v>
      </c>
      <c r="P644" s="132">
        <v>1</v>
      </c>
      <c r="Q644" s="132">
        <f t="shared" si="65"/>
        <v>0</v>
      </c>
      <c r="S644" s="132">
        <v>1</v>
      </c>
      <c r="T644" s="132">
        <f t="shared" si="62"/>
        <v>0</v>
      </c>
      <c r="V644" s="126">
        <f t="shared" si="63"/>
        <v>0</v>
      </c>
      <c r="W644" s="92">
        <f t="shared" si="64"/>
        <v>0</v>
      </c>
      <c r="Y644" s="210"/>
    </row>
    <row r="645" spans="1:25" ht="14.4" customHeight="1" thickBot="1" x14ac:dyDescent="0.3">
      <c r="A645" s="149"/>
      <c r="J645" s="130">
        <v>1</v>
      </c>
      <c r="K645" s="132">
        <f t="shared" si="60"/>
        <v>0</v>
      </c>
      <c r="M645" s="132">
        <v>1</v>
      </c>
      <c r="N645" s="132">
        <f t="shared" si="61"/>
        <v>0</v>
      </c>
      <c r="P645" s="132">
        <v>1</v>
      </c>
      <c r="Q645" s="132">
        <f t="shared" si="65"/>
        <v>0</v>
      </c>
      <c r="S645" s="132">
        <v>1</v>
      </c>
      <c r="T645" s="132">
        <f t="shared" si="62"/>
        <v>0</v>
      </c>
      <c r="V645" s="126">
        <f t="shared" si="63"/>
        <v>0</v>
      </c>
      <c r="W645" s="92">
        <f t="shared" si="64"/>
        <v>0</v>
      </c>
      <c r="Y645" s="210"/>
    </row>
    <row r="646" spans="1:25" ht="14.4" customHeight="1" thickBot="1" x14ac:dyDescent="0.3">
      <c r="A646" s="149"/>
      <c r="J646" s="130">
        <v>1</v>
      </c>
      <c r="K646" s="132">
        <f t="shared" si="60"/>
        <v>0</v>
      </c>
      <c r="M646" s="132">
        <v>1</v>
      </c>
      <c r="N646" s="132">
        <f t="shared" si="61"/>
        <v>0</v>
      </c>
      <c r="P646" s="132">
        <v>1</v>
      </c>
      <c r="Q646" s="132">
        <f t="shared" si="65"/>
        <v>0</v>
      </c>
      <c r="S646" s="132">
        <v>1</v>
      </c>
      <c r="T646" s="132">
        <f t="shared" si="62"/>
        <v>0</v>
      </c>
      <c r="V646" s="126">
        <f t="shared" si="63"/>
        <v>0</v>
      </c>
      <c r="W646" s="92">
        <f t="shared" si="64"/>
        <v>0</v>
      </c>
      <c r="Y646" s="210"/>
    </row>
    <row r="647" spans="1:25" ht="14.4" customHeight="1" thickBot="1" x14ac:dyDescent="0.3">
      <c r="A647" s="149"/>
      <c r="J647" s="130">
        <v>1</v>
      </c>
      <c r="K647" s="132">
        <f t="shared" si="60"/>
        <v>0</v>
      </c>
      <c r="M647" s="132">
        <v>1</v>
      </c>
      <c r="N647" s="132">
        <f t="shared" si="61"/>
        <v>0</v>
      </c>
      <c r="P647" s="132">
        <v>1</v>
      </c>
      <c r="Q647" s="132">
        <f t="shared" si="65"/>
        <v>0</v>
      </c>
      <c r="S647" s="132">
        <v>1</v>
      </c>
      <c r="T647" s="132">
        <f t="shared" si="62"/>
        <v>0</v>
      </c>
      <c r="V647" s="126">
        <f t="shared" si="63"/>
        <v>0</v>
      </c>
      <c r="W647" s="92">
        <f t="shared" si="64"/>
        <v>0</v>
      </c>
      <c r="Y647" s="210"/>
    </row>
    <row r="648" spans="1:25" ht="14.4" customHeight="1" thickBot="1" x14ac:dyDescent="0.3">
      <c r="A648" s="149"/>
      <c r="J648" s="130">
        <v>1</v>
      </c>
      <c r="K648" s="132">
        <f t="shared" si="60"/>
        <v>0</v>
      </c>
      <c r="M648" s="132">
        <v>1</v>
      </c>
      <c r="N648" s="132">
        <f t="shared" si="61"/>
        <v>0</v>
      </c>
      <c r="P648" s="132">
        <v>1</v>
      </c>
      <c r="Q648" s="132">
        <f t="shared" si="65"/>
        <v>0</v>
      </c>
      <c r="S648" s="132">
        <v>1</v>
      </c>
      <c r="T648" s="132">
        <f t="shared" si="62"/>
        <v>0</v>
      </c>
      <c r="V648" s="126">
        <f t="shared" si="63"/>
        <v>0</v>
      </c>
      <c r="W648" s="92">
        <f t="shared" si="64"/>
        <v>0</v>
      </c>
      <c r="Y648" s="210"/>
    </row>
    <row r="649" spans="1:25" ht="14.4" customHeight="1" thickBot="1" x14ac:dyDescent="0.3">
      <c r="A649" s="149"/>
      <c r="J649" s="130">
        <v>1</v>
      </c>
      <c r="K649" s="132">
        <f t="shared" si="60"/>
        <v>0</v>
      </c>
      <c r="M649" s="132">
        <v>1</v>
      </c>
      <c r="N649" s="132">
        <f t="shared" si="61"/>
        <v>0</v>
      </c>
      <c r="P649" s="132">
        <v>1</v>
      </c>
      <c r="Q649" s="132">
        <f t="shared" si="65"/>
        <v>0</v>
      </c>
      <c r="S649" s="132">
        <v>1</v>
      </c>
      <c r="T649" s="132">
        <f t="shared" si="62"/>
        <v>0</v>
      </c>
      <c r="V649" s="126">
        <f t="shared" si="63"/>
        <v>0</v>
      </c>
      <c r="W649" s="92">
        <f t="shared" si="64"/>
        <v>0</v>
      </c>
      <c r="Y649" s="210"/>
    </row>
    <row r="650" spans="1:25" ht="14.4" customHeight="1" thickBot="1" x14ac:dyDescent="0.3">
      <c r="A650" s="149"/>
      <c r="J650" s="130">
        <v>1</v>
      </c>
      <c r="K650" s="132">
        <f t="shared" si="60"/>
        <v>0</v>
      </c>
      <c r="M650" s="132">
        <v>1</v>
      </c>
      <c r="N650" s="132">
        <f t="shared" si="61"/>
        <v>0</v>
      </c>
      <c r="P650" s="132">
        <v>1</v>
      </c>
      <c r="Q650" s="132">
        <f t="shared" si="65"/>
        <v>0</v>
      </c>
      <c r="S650" s="132">
        <v>1</v>
      </c>
      <c r="T650" s="132">
        <f t="shared" si="62"/>
        <v>0</v>
      </c>
      <c r="V650" s="126">
        <f t="shared" si="63"/>
        <v>0</v>
      </c>
      <c r="W650" s="92">
        <f t="shared" si="64"/>
        <v>0</v>
      </c>
      <c r="Y650" s="210"/>
    </row>
    <row r="651" spans="1:25" ht="14.4" customHeight="1" thickBot="1" x14ac:dyDescent="0.3">
      <c r="A651" s="149"/>
      <c r="J651" s="130">
        <v>1</v>
      </c>
      <c r="K651" s="132">
        <f t="shared" si="60"/>
        <v>0</v>
      </c>
      <c r="M651" s="132">
        <v>1</v>
      </c>
      <c r="N651" s="132">
        <f t="shared" si="61"/>
        <v>0</v>
      </c>
      <c r="P651" s="132">
        <v>1</v>
      </c>
      <c r="Q651" s="132">
        <f t="shared" si="65"/>
        <v>0</v>
      </c>
      <c r="S651" s="132">
        <v>1</v>
      </c>
      <c r="T651" s="132">
        <f t="shared" si="62"/>
        <v>0</v>
      </c>
      <c r="V651" s="126">
        <f t="shared" si="63"/>
        <v>0</v>
      </c>
      <c r="W651" s="92">
        <f t="shared" si="64"/>
        <v>0</v>
      </c>
      <c r="Y651" s="210"/>
    </row>
    <row r="652" spans="1:25" ht="14.4" customHeight="1" thickBot="1" x14ac:dyDescent="0.3">
      <c r="A652" s="149"/>
      <c r="J652" s="130">
        <v>1</v>
      </c>
      <c r="K652" s="132">
        <f t="shared" si="60"/>
        <v>0</v>
      </c>
      <c r="M652" s="132">
        <v>1</v>
      </c>
      <c r="N652" s="132">
        <f t="shared" si="61"/>
        <v>0</v>
      </c>
      <c r="P652" s="132">
        <v>1</v>
      </c>
      <c r="Q652" s="132">
        <f t="shared" si="65"/>
        <v>0</v>
      </c>
      <c r="S652" s="132">
        <v>1</v>
      </c>
      <c r="T652" s="132">
        <f t="shared" si="62"/>
        <v>0</v>
      </c>
      <c r="V652" s="126">
        <f t="shared" si="63"/>
        <v>0</v>
      </c>
      <c r="W652" s="92">
        <f t="shared" si="64"/>
        <v>0</v>
      </c>
      <c r="Y652" s="210"/>
    </row>
    <row r="653" spans="1:25" ht="14.4" customHeight="1" thickBot="1" x14ac:dyDescent="0.3">
      <c r="A653" s="149"/>
      <c r="J653" s="130">
        <v>1</v>
      </c>
      <c r="K653" s="132">
        <f t="shared" si="60"/>
        <v>0</v>
      </c>
      <c r="M653" s="132">
        <v>1</v>
      </c>
      <c r="N653" s="132">
        <f t="shared" si="61"/>
        <v>0</v>
      </c>
      <c r="P653" s="132">
        <v>1</v>
      </c>
      <c r="Q653" s="132">
        <f t="shared" si="65"/>
        <v>0</v>
      </c>
      <c r="S653" s="132">
        <v>1</v>
      </c>
      <c r="T653" s="132">
        <f t="shared" si="62"/>
        <v>0</v>
      </c>
      <c r="V653" s="126">
        <f t="shared" si="63"/>
        <v>0</v>
      </c>
      <c r="W653" s="92">
        <f t="shared" si="64"/>
        <v>0</v>
      </c>
      <c r="Y653" s="210"/>
    </row>
    <row r="654" spans="1:25" ht="14.4" customHeight="1" thickBot="1" x14ac:dyDescent="0.3">
      <c r="A654" s="149"/>
      <c r="J654" s="130">
        <v>1</v>
      </c>
      <c r="K654" s="132">
        <f t="shared" si="60"/>
        <v>0</v>
      </c>
      <c r="M654" s="132">
        <v>1</v>
      </c>
      <c r="N654" s="132">
        <f t="shared" si="61"/>
        <v>0</v>
      </c>
      <c r="P654" s="132">
        <v>1</v>
      </c>
      <c r="Q654" s="132">
        <f t="shared" si="65"/>
        <v>0</v>
      </c>
      <c r="S654" s="132">
        <v>1</v>
      </c>
      <c r="T654" s="132">
        <f t="shared" si="62"/>
        <v>0</v>
      </c>
      <c r="V654" s="126">
        <f t="shared" si="63"/>
        <v>0</v>
      </c>
      <c r="W654" s="92">
        <f t="shared" si="64"/>
        <v>0</v>
      </c>
      <c r="Y654" s="210"/>
    </row>
    <row r="655" spans="1:25" ht="14.4" customHeight="1" thickBot="1" x14ac:dyDescent="0.3">
      <c r="A655" s="149"/>
      <c r="J655" s="130">
        <v>1</v>
      </c>
      <c r="K655" s="132">
        <f t="shared" si="60"/>
        <v>0</v>
      </c>
      <c r="M655" s="132">
        <v>1</v>
      </c>
      <c r="N655" s="132">
        <f t="shared" si="61"/>
        <v>0</v>
      </c>
      <c r="P655" s="132">
        <v>1</v>
      </c>
      <c r="Q655" s="132">
        <f t="shared" si="65"/>
        <v>0</v>
      </c>
      <c r="S655" s="132">
        <v>1</v>
      </c>
      <c r="T655" s="132">
        <f t="shared" si="62"/>
        <v>0</v>
      </c>
      <c r="V655" s="126">
        <f t="shared" si="63"/>
        <v>0</v>
      </c>
      <c r="W655" s="92">
        <f t="shared" si="64"/>
        <v>0</v>
      </c>
      <c r="Y655" s="210"/>
    </row>
    <row r="656" spans="1:25" ht="14.4" customHeight="1" thickBot="1" x14ac:dyDescent="0.3">
      <c r="A656" s="149"/>
      <c r="J656" s="130">
        <v>1</v>
      </c>
      <c r="K656" s="132">
        <f t="shared" si="60"/>
        <v>0</v>
      </c>
      <c r="M656" s="132">
        <v>1</v>
      </c>
      <c r="N656" s="132">
        <f t="shared" si="61"/>
        <v>0</v>
      </c>
      <c r="P656" s="132">
        <v>1</v>
      </c>
      <c r="Q656" s="132">
        <f t="shared" si="65"/>
        <v>0</v>
      </c>
      <c r="S656" s="132">
        <v>1</v>
      </c>
      <c r="T656" s="132">
        <f t="shared" si="62"/>
        <v>0</v>
      </c>
      <c r="V656" s="126">
        <f t="shared" si="63"/>
        <v>0</v>
      </c>
      <c r="W656" s="92">
        <f t="shared" si="64"/>
        <v>0</v>
      </c>
      <c r="Y656" s="210"/>
    </row>
    <row r="657" spans="1:25" ht="14.4" customHeight="1" thickBot="1" x14ac:dyDescent="0.3">
      <c r="A657" s="149"/>
      <c r="J657" s="130">
        <v>1</v>
      </c>
      <c r="K657" s="132">
        <f t="shared" si="60"/>
        <v>0</v>
      </c>
      <c r="M657" s="132">
        <v>1</v>
      </c>
      <c r="N657" s="132">
        <f t="shared" si="61"/>
        <v>0</v>
      </c>
      <c r="P657" s="132">
        <v>1</v>
      </c>
      <c r="Q657" s="132">
        <f t="shared" si="65"/>
        <v>0</v>
      </c>
      <c r="S657" s="132">
        <v>1</v>
      </c>
      <c r="T657" s="132">
        <f t="shared" si="62"/>
        <v>0</v>
      </c>
      <c r="V657" s="126">
        <f t="shared" si="63"/>
        <v>0</v>
      </c>
      <c r="W657" s="92">
        <f t="shared" si="64"/>
        <v>0</v>
      </c>
      <c r="Y657" s="210"/>
    </row>
    <row r="658" spans="1:25" ht="14.4" customHeight="1" thickBot="1" x14ac:dyDescent="0.3">
      <c r="A658" s="149"/>
      <c r="J658" s="130">
        <v>1</v>
      </c>
      <c r="K658" s="132">
        <f t="shared" si="60"/>
        <v>0</v>
      </c>
      <c r="M658" s="132">
        <v>1</v>
      </c>
      <c r="N658" s="132">
        <f t="shared" si="61"/>
        <v>0</v>
      </c>
      <c r="P658" s="132">
        <v>1</v>
      </c>
      <c r="Q658" s="132">
        <f t="shared" si="65"/>
        <v>0</v>
      </c>
      <c r="S658" s="132">
        <v>1</v>
      </c>
      <c r="T658" s="132">
        <f t="shared" si="62"/>
        <v>0</v>
      </c>
      <c r="V658" s="126">
        <f t="shared" si="63"/>
        <v>0</v>
      </c>
      <c r="W658" s="92">
        <f t="shared" si="64"/>
        <v>0</v>
      </c>
      <c r="Y658" s="210"/>
    </row>
    <row r="659" spans="1:25" ht="14.4" customHeight="1" thickBot="1" x14ac:dyDescent="0.3">
      <c r="A659" s="149"/>
      <c r="J659" s="130">
        <v>1</v>
      </c>
      <c r="K659" s="132">
        <f t="shared" si="60"/>
        <v>0</v>
      </c>
      <c r="M659" s="132">
        <v>1</v>
      </c>
      <c r="N659" s="132">
        <f t="shared" si="61"/>
        <v>0</v>
      </c>
      <c r="P659" s="132">
        <v>1</v>
      </c>
      <c r="Q659" s="132">
        <f t="shared" si="65"/>
        <v>0</v>
      </c>
      <c r="S659" s="132">
        <v>1</v>
      </c>
      <c r="T659" s="132">
        <f t="shared" si="62"/>
        <v>0</v>
      </c>
      <c r="V659" s="126">
        <f t="shared" si="63"/>
        <v>0</v>
      </c>
      <c r="W659" s="92">
        <f t="shared" si="64"/>
        <v>0</v>
      </c>
      <c r="Y659" s="210"/>
    </row>
    <row r="660" spans="1:25" ht="14.4" customHeight="1" thickBot="1" x14ac:dyDescent="0.3">
      <c r="A660" s="149"/>
      <c r="J660" s="130">
        <v>1</v>
      </c>
      <c r="K660" s="132">
        <f t="shared" si="60"/>
        <v>0</v>
      </c>
      <c r="M660" s="132">
        <v>1</v>
      </c>
      <c r="N660" s="132">
        <f t="shared" si="61"/>
        <v>0</v>
      </c>
      <c r="P660" s="132">
        <v>1</v>
      </c>
      <c r="Q660" s="132">
        <f t="shared" si="65"/>
        <v>0</v>
      </c>
      <c r="S660" s="132">
        <v>1</v>
      </c>
      <c r="T660" s="132">
        <f t="shared" si="62"/>
        <v>0</v>
      </c>
      <c r="V660" s="126">
        <f t="shared" si="63"/>
        <v>0</v>
      </c>
      <c r="W660" s="92">
        <f t="shared" si="64"/>
        <v>0</v>
      </c>
      <c r="Y660" s="210"/>
    </row>
    <row r="661" spans="1:25" ht="14.4" customHeight="1" thickBot="1" x14ac:dyDescent="0.3">
      <c r="A661" s="149"/>
      <c r="J661" s="130">
        <v>1</v>
      </c>
      <c r="K661" s="132">
        <f t="shared" si="60"/>
        <v>0</v>
      </c>
      <c r="M661" s="132">
        <v>1</v>
      </c>
      <c r="N661" s="132">
        <f t="shared" si="61"/>
        <v>0</v>
      </c>
      <c r="P661" s="132">
        <v>1</v>
      </c>
      <c r="Q661" s="132">
        <f t="shared" si="65"/>
        <v>0</v>
      </c>
      <c r="S661" s="132">
        <v>1</v>
      </c>
      <c r="T661" s="132">
        <f t="shared" si="62"/>
        <v>0</v>
      </c>
      <c r="V661" s="126">
        <f t="shared" si="63"/>
        <v>0</v>
      </c>
      <c r="W661" s="92">
        <f t="shared" si="64"/>
        <v>0</v>
      </c>
      <c r="Y661" s="210"/>
    </row>
    <row r="662" spans="1:25" ht="14.4" customHeight="1" thickBot="1" x14ac:dyDescent="0.3">
      <c r="A662" s="149"/>
      <c r="J662" s="130">
        <v>1</v>
      </c>
      <c r="K662" s="132">
        <f t="shared" si="60"/>
        <v>0</v>
      </c>
      <c r="M662" s="132">
        <v>1</v>
      </c>
      <c r="N662" s="132">
        <f t="shared" si="61"/>
        <v>0</v>
      </c>
      <c r="P662" s="132">
        <v>1</v>
      </c>
      <c r="Q662" s="132">
        <f t="shared" si="65"/>
        <v>0</v>
      </c>
      <c r="S662" s="132">
        <v>1</v>
      </c>
      <c r="T662" s="132">
        <f t="shared" si="62"/>
        <v>0</v>
      </c>
      <c r="V662" s="126">
        <f t="shared" si="63"/>
        <v>0</v>
      </c>
      <c r="W662" s="92">
        <f t="shared" si="64"/>
        <v>0</v>
      </c>
      <c r="Y662" s="210"/>
    </row>
    <row r="663" spans="1:25" ht="14.4" customHeight="1" thickBot="1" x14ac:dyDescent="0.3">
      <c r="A663" s="149"/>
      <c r="J663" s="130">
        <v>1</v>
      </c>
      <c r="K663" s="132">
        <f t="shared" si="60"/>
        <v>0</v>
      </c>
      <c r="M663" s="132">
        <v>1</v>
      </c>
      <c r="N663" s="132">
        <f t="shared" si="61"/>
        <v>0</v>
      </c>
      <c r="P663" s="132">
        <v>1</v>
      </c>
      <c r="Q663" s="132">
        <f t="shared" si="65"/>
        <v>0</v>
      </c>
      <c r="S663" s="132">
        <v>1</v>
      </c>
      <c r="T663" s="132">
        <f t="shared" si="62"/>
        <v>0</v>
      </c>
      <c r="V663" s="126">
        <f t="shared" si="63"/>
        <v>0</v>
      </c>
      <c r="W663" s="92">
        <f t="shared" si="64"/>
        <v>0</v>
      </c>
      <c r="Y663" s="210"/>
    </row>
    <row r="664" spans="1:25" ht="14.4" customHeight="1" thickBot="1" x14ac:dyDescent="0.3">
      <c r="A664" s="149"/>
      <c r="J664" s="130">
        <v>1</v>
      </c>
      <c r="K664" s="132">
        <f t="shared" si="60"/>
        <v>0</v>
      </c>
      <c r="M664" s="132">
        <v>1</v>
      </c>
      <c r="N664" s="132">
        <f t="shared" si="61"/>
        <v>0</v>
      </c>
      <c r="P664" s="132">
        <v>1</v>
      </c>
      <c r="Q664" s="132">
        <f t="shared" si="65"/>
        <v>0</v>
      </c>
      <c r="S664" s="132">
        <v>1</v>
      </c>
      <c r="T664" s="132">
        <f t="shared" si="62"/>
        <v>0</v>
      </c>
      <c r="V664" s="126">
        <f t="shared" si="63"/>
        <v>0</v>
      </c>
      <c r="W664" s="92">
        <f t="shared" si="64"/>
        <v>0</v>
      </c>
      <c r="Y664" s="210"/>
    </row>
    <row r="665" spans="1:25" ht="14.4" customHeight="1" thickBot="1" x14ac:dyDescent="0.3">
      <c r="A665" s="149"/>
      <c r="J665" s="130">
        <v>1</v>
      </c>
      <c r="K665" s="132">
        <f t="shared" si="60"/>
        <v>0</v>
      </c>
      <c r="M665" s="132">
        <v>1</v>
      </c>
      <c r="N665" s="132">
        <f t="shared" si="61"/>
        <v>0</v>
      </c>
      <c r="P665" s="132">
        <v>1</v>
      </c>
      <c r="Q665" s="132">
        <f t="shared" si="65"/>
        <v>0</v>
      </c>
      <c r="S665" s="132">
        <v>1</v>
      </c>
      <c r="T665" s="132">
        <f t="shared" si="62"/>
        <v>0</v>
      </c>
      <c r="V665" s="126">
        <f t="shared" si="63"/>
        <v>0</v>
      </c>
      <c r="W665" s="92">
        <f t="shared" si="64"/>
        <v>0</v>
      </c>
      <c r="Y665" s="210"/>
    </row>
    <row r="666" spans="1:25" ht="14.4" customHeight="1" thickBot="1" x14ac:dyDescent="0.3">
      <c r="A666" s="149"/>
      <c r="J666" s="130">
        <v>1</v>
      </c>
      <c r="K666" s="132">
        <f t="shared" si="60"/>
        <v>0</v>
      </c>
      <c r="M666" s="132">
        <v>1</v>
      </c>
      <c r="N666" s="132">
        <f t="shared" si="61"/>
        <v>0</v>
      </c>
      <c r="P666" s="132">
        <v>1</v>
      </c>
      <c r="Q666" s="132">
        <f t="shared" si="65"/>
        <v>0</v>
      </c>
      <c r="S666" s="132">
        <v>1</v>
      </c>
      <c r="T666" s="132">
        <f t="shared" si="62"/>
        <v>0</v>
      </c>
      <c r="V666" s="126">
        <f t="shared" si="63"/>
        <v>0</v>
      </c>
      <c r="W666" s="92">
        <f t="shared" si="64"/>
        <v>0</v>
      </c>
      <c r="Y666" s="210"/>
    </row>
    <row r="667" spans="1:25" ht="14.4" customHeight="1" thickBot="1" x14ac:dyDescent="0.3">
      <c r="A667" s="149"/>
      <c r="J667" s="130">
        <v>1</v>
      </c>
      <c r="K667" s="132">
        <f t="shared" si="60"/>
        <v>0</v>
      </c>
      <c r="M667" s="132">
        <v>1</v>
      </c>
      <c r="N667" s="132">
        <f t="shared" si="61"/>
        <v>0</v>
      </c>
      <c r="P667" s="132">
        <v>1</v>
      </c>
      <c r="Q667" s="132">
        <f t="shared" si="65"/>
        <v>0</v>
      </c>
      <c r="S667" s="132">
        <v>1</v>
      </c>
      <c r="T667" s="132">
        <f t="shared" si="62"/>
        <v>0</v>
      </c>
      <c r="V667" s="126">
        <f t="shared" si="63"/>
        <v>0</v>
      </c>
      <c r="W667" s="92">
        <f t="shared" si="64"/>
        <v>0</v>
      </c>
      <c r="Y667" s="210"/>
    </row>
    <row r="668" spans="1:25" ht="14.4" customHeight="1" thickBot="1" x14ac:dyDescent="0.3">
      <c r="A668" s="149"/>
      <c r="J668" s="130">
        <v>1</v>
      </c>
      <c r="K668" s="132">
        <f t="shared" si="60"/>
        <v>0</v>
      </c>
      <c r="M668" s="132">
        <v>1</v>
      </c>
      <c r="N668" s="132">
        <f t="shared" si="61"/>
        <v>0</v>
      </c>
      <c r="P668" s="132">
        <v>1</v>
      </c>
      <c r="Q668" s="132">
        <f t="shared" si="65"/>
        <v>0</v>
      </c>
      <c r="S668" s="132">
        <v>1</v>
      </c>
      <c r="T668" s="132">
        <f t="shared" si="62"/>
        <v>0</v>
      </c>
      <c r="V668" s="126">
        <f t="shared" si="63"/>
        <v>0</v>
      </c>
      <c r="W668" s="92">
        <f t="shared" si="64"/>
        <v>0</v>
      </c>
      <c r="Y668" s="210"/>
    </row>
    <row r="669" spans="1:25" ht="14.4" customHeight="1" thickBot="1" x14ac:dyDescent="0.3">
      <c r="A669" s="149"/>
      <c r="J669" s="130">
        <v>1</v>
      </c>
      <c r="K669" s="132">
        <f t="shared" si="60"/>
        <v>0</v>
      </c>
      <c r="M669" s="132">
        <v>1</v>
      </c>
      <c r="N669" s="132">
        <f t="shared" si="61"/>
        <v>0</v>
      </c>
      <c r="P669" s="132">
        <v>1</v>
      </c>
      <c r="Q669" s="132">
        <f t="shared" si="65"/>
        <v>0</v>
      </c>
      <c r="S669" s="132">
        <v>1</v>
      </c>
      <c r="T669" s="132">
        <f t="shared" si="62"/>
        <v>0</v>
      </c>
      <c r="V669" s="126">
        <f t="shared" si="63"/>
        <v>0</v>
      </c>
      <c r="W669" s="92">
        <f t="shared" si="64"/>
        <v>0</v>
      </c>
      <c r="Y669" s="210"/>
    </row>
    <row r="670" spans="1:25" ht="14.4" customHeight="1" thickBot="1" x14ac:dyDescent="0.3">
      <c r="A670" s="149"/>
      <c r="J670" s="130">
        <v>1</v>
      </c>
      <c r="K670" s="132">
        <f t="shared" si="60"/>
        <v>0</v>
      </c>
      <c r="M670" s="132">
        <v>1</v>
      </c>
      <c r="N670" s="132">
        <f t="shared" si="61"/>
        <v>0</v>
      </c>
      <c r="P670" s="132">
        <v>1</v>
      </c>
      <c r="Q670" s="132">
        <f t="shared" si="65"/>
        <v>0</v>
      </c>
      <c r="S670" s="132">
        <v>1</v>
      </c>
      <c r="T670" s="132">
        <f t="shared" si="62"/>
        <v>0</v>
      </c>
      <c r="V670" s="126">
        <f t="shared" si="63"/>
        <v>0</v>
      </c>
      <c r="W670" s="92">
        <f t="shared" si="64"/>
        <v>0</v>
      </c>
      <c r="Y670" s="210"/>
    </row>
    <row r="671" spans="1:25" ht="14.4" customHeight="1" thickBot="1" x14ac:dyDescent="0.3">
      <c r="A671" s="149"/>
      <c r="J671" s="130">
        <v>1</v>
      </c>
      <c r="K671" s="132">
        <f t="shared" si="60"/>
        <v>0</v>
      </c>
      <c r="M671" s="132">
        <v>1</v>
      </c>
      <c r="N671" s="132">
        <f t="shared" si="61"/>
        <v>0</v>
      </c>
      <c r="P671" s="132">
        <v>1</v>
      </c>
      <c r="Q671" s="132">
        <f t="shared" si="65"/>
        <v>0</v>
      </c>
      <c r="S671" s="132">
        <v>1</v>
      </c>
      <c r="T671" s="132">
        <f t="shared" si="62"/>
        <v>0</v>
      </c>
      <c r="V671" s="126">
        <f t="shared" si="63"/>
        <v>0</v>
      </c>
      <c r="W671" s="92">
        <f t="shared" si="64"/>
        <v>0</v>
      </c>
      <c r="Y671" s="210"/>
    </row>
    <row r="672" spans="1:25" ht="14.4" customHeight="1" thickBot="1" x14ac:dyDescent="0.3">
      <c r="A672" s="149"/>
      <c r="J672" s="130">
        <v>1</v>
      </c>
      <c r="K672" s="132">
        <f t="shared" si="60"/>
        <v>0</v>
      </c>
      <c r="M672" s="132">
        <v>1</v>
      </c>
      <c r="N672" s="132">
        <f t="shared" si="61"/>
        <v>0</v>
      </c>
      <c r="P672" s="132">
        <v>1</v>
      </c>
      <c r="Q672" s="132">
        <f t="shared" si="65"/>
        <v>0</v>
      </c>
      <c r="S672" s="132">
        <v>1</v>
      </c>
      <c r="T672" s="132">
        <f t="shared" si="62"/>
        <v>0</v>
      </c>
      <c r="V672" s="126">
        <f t="shared" si="63"/>
        <v>0</v>
      </c>
      <c r="W672" s="92">
        <f t="shared" si="64"/>
        <v>0</v>
      </c>
      <c r="Y672" s="210"/>
    </row>
    <row r="673" spans="1:25" ht="14.4" customHeight="1" thickBot="1" x14ac:dyDescent="0.3">
      <c r="A673" s="149"/>
      <c r="J673" s="130">
        <v>1</v>
      </c>
      <c r="K673" s="132">
        <f t="shared" si="60"/>
        <v>0</v>
      </c>
      <c r="M673" s="132">
        <v>1</v>
      </c>
      <c r="N673" s="132">
        <f t="shared" si="61"/>
        <v>0</v>
      </c>
      <c r="P673" s="132">
        <v>1</v>
      </c>
      <c r="Q673" s="132">
        <f t="shared" si="65"/>
        <v>0</v>
      </c>
      <c r="S673" s="132">
        <v>1</v>
      </c>
      <c r="T673" s="132">
        <f t="shared" si="62"/>
        <v>0</v>
      </c>
      <c r="V673" s="126">
        <f t="shared" si="63"/>
        <v>0</v>
      </c>
      <c r="W673" s="92">
        <f t="shared" si="64"/>
        <v>0</v>
      </c>
      <c r="Y673" s="210"/>
    </row>
    <row r="674" spans="1:25" ht="14.4" customHeight="1" thickBot="1" x14ac:dyDescent="0.3">
      <c r="A674" s="149"/>
      <c r="J674" s="130">
        <v>1</v>
      </c>
      <c r="K674" s="132">
        <f t="shared" si="60"/>
        <v>0</v>
      </c>
      <c r="M674" s="132">
        <v>1</v>
      </c>
      <c r="N674" s="132">
        <f t="shared" si="61"/>
        <v>0</v>
      </c>
      <c r="P674" s="132">
        <v>1</v>
      </c>
      <c r="Q674" s="132">
        <f t="shared" si="65"/>
        <v>0</v>
      </c>
      <c r="S674" s="132">
        <v>1</v>
      </c>
      <c r="T674" s="132">
        <f t="shared" si="62"/>
        <v>0</v>
      </c>
      <c r="V674" s="126">
        <f t="shared" si="63"/>
        <v>0</v>
      </c>
      <c r="W674" s="92">
        <f t="shared" si="64"/>
        <v>0</v>
      </c>
      <c r="Y674" s="210"/>
    </row>
    <row r="675" spans="1:25" ht="14.4" customHeight="1" thickBot="1" x14ac:dyDescent="0.3">
      <c r="A675" s="149"/>
      <c r="J675" s="130">
        <v>1</v>
      </c>
      <c r="K675" s="132">
        <f t="shared" si="60"/>
        <v>0</v>
      </c>
      <c r="M675" s="132">
        <v>1</v>
      </c>
      <c r="N675" s="132">
        <f t="shared" si="61"/>
        <v>0</v>
      </c>
      <c r="P675" s="132">
        <v>1</v>
      </c>
      <c r="Q675" s="132">
        <f t="shared" si="65"/>
        <v>0</v>
      </c>
      <c r="S675" s="132">
        <v>1</v>
      </c>
      <c r="T675" s="132">
        <f t="shared" si="62"/>
        <v>0</v>
      </c>
      <c r="V675" s="126">
        <f t="shared" si="63"/>
        <v>0</v>
      </c>
      <c r="W675" s="92">
        <f t="shared" si="64"/>
        <v>0</v>
      </c>
      <c r="Y675" s="210"/>
    </row>
    <row r="676" spans="1:25" ht="14.4" customHeight="1" thickBot="1" x14ac:dyDescent="0.3">
      <c r="A676" s="149"/>
      <c r="J676" s="130">
        <v>1</v>
      </c>
      <c r="K676" s="132">
        <f t="shared" si="60"/>
        <v>0</v>
      </c>
      <c r="M676" s="132">
        <v>1</v>
      </c>
      <c r="N676" s="132">
        <f t="shared" si="61"/>
        <v>0</v>
      </c>
      <c r="P676" s="132">
        <v>1</v>
      </c>
      <c r="Q676" s="132">
        <f t="shared" si="65"/>
        <v>0</v>
      </c>
      <c r="S676" s="132">
        <v>1</v>
      </c>
      <c r="T676" s="132">
        <f t="shared" si="62"/>
        <v>0</v>
      </c>
      <c r="V676" s="126">
        <f t="shared" si="63"/>
        <v>0</v>
      </c>
      <c r="W676" s="92">
        <f t="shared" si="64"/>
        <v>0</v>
      </c>
      <c r="Y676" s="210"/>
    </row>
    <row r="677" spans="1:25" ht="14.4" customHeight="1" thickBot="1" x14ac:dyDescent="0.3">
      <c r="A677" s="149"/>
      <c r="J677" s="130">
        <v>1</v>
      </c>
      <c r="K677" s="132">
        <f t="shared" si="60"/>
        <v>0</v>
      </c>
      <c r="M677" s="132">
        <v>1</v>
      </c>
      <c r="N677" s="132">
        <f t="shared" si="61"/>
        <v>0</v>
      </c>
      <c r="P677" s="132">
        <v>1</v>
      </c>
      <c r="Q677" s="132">
        <f t="shared" si="65"/>
        <v>0</v>
      </c>
      <c r="S677" s="132">
        <v>1</v>
      </c>
      <c r="T677" s="132">
        <f t="shared" si="62"/>
        <v>0</v>
      </c>
      <c r="V677" s="126">
        <f t="shared" si="63"/>
        <v>0</v>
      </c>
      <c r="W677" s="92">
        <f t="shared" si="64"/>
        <v>0</v>
      </c>
      <c r="Y677" s="210"/>
    </row>
    <row r="678" spans="1:25" ht="14.4" customHeight="1" thickBot="1" x14ac:dyDescent="0.3">
      <c r="A678" s="149"/>
      <c r="J678" s="130">
        <v>1</v>
      </c>
      <c r="K678" s="132">
        <f t="shared" si="60"/>
        <v>0</v>
      </c>
      <c r="M678" s="132">
        <v>1</v>
      </c>
      <c r="N678" s="132">
        <f t="shared" si="61"/>
        <v>0</v>
      </c>
      <c r="P678" s="132">
        <v>1</v>
      </c>
      <c r="Q678" s="132">
        <f t="shared" si="65"/>
        <v>0</v>
      </c>
      <c r="S678" s="132">
        <v>1</v>
      </c>
      <c r="T678" s="132">
        <f t="shared" si="62"/>
        <v>0</v>
      </c>
      <c r="V678" s="126">
        <f t="shared" si="63"/>
        <v>0</v>
      </c>
      <c r="W678" s="92">
        <f t="shared" si="64"/>
        <v>0</v>
      </c>
      <c r="Y678" s="210"/>
    </row>
    <row r="679" spans="1:25" ht="14.4" customHeight="1" thickBot="1" x14ac:dyDescent="0.3">
      <c r="A679" s="149"/>
      <c r="J679" s="130">
        <v>1</v>
      </c>
      <c r="K679" s="132">
        <f t="shared" si="60"/>
        <v>0</v>
      </c>
      <c r="M679" s="132">
        <v>1</v>
      </c>
      <c r="N679" s="132">
        <f t="shared" si="61"/>
        <v>0</v>
      </c>
      <c r="P679" s="132">
        <v>1</v>
      </c>
      <c r="Q679" s="132">
        <f t="shared" si="65"/>
        <v>0</v>
      </c>
      <c r="S679" s="132">
        <v>1</v>
      </c>
      <c r="T679" s="132">
        <f t="shared" si="62"/>
        <v>0</v>
      </c>
      <c r="V679" s="126">
        <f t="shared" si="63"/>
        <v>0</v>
      </c>
      <c r="W679" s="92">
        <f t="shared" si="64"/>
        <v>0</v>
      </c>
      <c r="Y679" s="210"/>
    </row>
    <row r="680" spans="1:25" ht="14.4" customHeight="1" thickBot="1" x14ac:dyDescent="0.3">
      <c r="A680" s="149"/>
      <c r="J680" s="130">
        <v>1</v>
      </c>
      <c r="K680" s="132">
        <f t="shared" si="60"/>
        <v>0</v>
      </c>
      <c r="M680" s="132">
        <v>1</v>
      </c>
      <c r="N680" s="132">
        <f t="shared" si="61"/>
        <v>0</v>
      </c>
      <c r="P680" s="132">
        <v>1</v>
      </c>
      <c r="Q680" s="132">
        <f t="shared" si="65"/>
        <v>0</v>
      </c>
      <c r="S680" s="132">
        <v>1</v>
      </c>
      <c r="T680" s="132">
        <f t="shared" si="62"/>
        <v>0</v>
      </c>
      <c r="V680" s="126">
        <f t="shared" si="63"/>
        <v>0</v>
      </c>
      <c r="W680" s="92">
        <f t="shared" si="64"/>
        <v>0</v>
      </c>
      <c r="Y680" s="210"/>
    </row>
    <row r="681" spans="1:25" ht="14.4" customHeight="1" thickBot="1" x14ac:dyDescent="0.3">
      <c r="A681" s="149"/>
      <c r="J681" s="130">
        <v>1</v>
      </c>
      <c r="K681" s="132">
        <f t="shared" si="60"/>
        <v>0</v>
      </c>
      <c r="M681" s="132">
        <v>1</v>
      </c>
      <c r="N681" s="132">
        <f t="shared" si="61"/>
        <v>0</v>
      </c>
      <c r="P681" s="132">
        <v>1</v>
      </c>
      <c r="Q681" s="132">
        <f t="shared" si="65"/>
        <v>0</v>
      </c>
      <c r="S681" s="132">
        <v>1</v>
      </c>
      <c r="T681" s="132">
        <f t="shared" si="62"/>
        <v>0</v>
      </c>
      <c r="V681" s="126">
        <f t="shared" si="63"/>
        <v>0</v>
      </c>
      <c r="W681" s="92">
        <f t="shared" si="64"/>
        <v>0</v>
      </c>
      <c r="Y681" s="210"/>
    </row>
    <row r="682" spans="1:25" ht="14.4" customHeight="1" thickBot="1" x14ac:dyDescent="0.3">
      <c r="A682" s="149"/>
      <c r="J682" s="130">
        <v>1</v>
      </c>
      <c r="K682" s="132">
        <f t="shared" si="60"/>
        <v>0</v>
      </c>
      <c r="M682" s="132">
        <v>1</v>
      </c>
      <c r="N682" s="132">
        <f t="shared" si="61"/>
        <v>0</v>
      </c>
      <c r="P682" s="132">
        <v>1</v>
      </c>
      <c r="Q682" s="132">
        <f t="shared" si="65"/>
        <v>0</v>
      </c>
      <c r="S682" s="132">
        <v>1</v>
      </c>
      <c r="T682" s="132">
        <f t="shared" si="62"/>
        <v>0</v>
      </c>
      <c r="V682" s="126">
        <f t="shared" si="63"/>
        <v>0</v>
      </c>
      <c r="W682" s="92">
        <f t="shared" si="64"/>
        <v>0</v>
      </c>
      <c r="Y682" s="210"/>
    </row>
    <row r="683" spans="1:25" ht="14.4" customHeight="1" thickBot="1" x14ac:dyDescent="0.3">
      <c r="A683" s="149"/>
      <c r="J683" s="130">
        <v>1</v>
      </c>
      <c r="K683" s="132">
        <f t="shared" si="60"/>
        <v>0</v>
      </c>
      <c r="M683" s="132">
        <v>1</v>
      </c>
      <c r="N683" s="132">
        <f t="shared" si="61"/>
        <v>0</v>
      </c>
      <c r="P683" s="132">
        <v>1</v>
      </c>
      <c r="Q683" s="132">
        <f t="shared" si="65"/>
        <v>0</v>
      </c>
      <c r="S683" s="132">
        <v>1</v>
      </c>
      <c r="T683" s="132">
        <f t="shared" si="62"/>
        <v>0</v>
      </c>
      <c r="V683" s="126">
        <f t="shared" si="63"/>
        <v>0</v>
      </c>
      <c r="W683" s="92">
        <f t="shared" si="64"/>
        <v>0</v>
      </c>
      <c r="Y683" s="210"/>
    </row>
    <row r="684" spans="1:25" ht="14.4" customHeight="1" thickBot="1" x14ac:dyDescent="0.3">
      <c r="A684" s="149"/>
      <c r="J684" s="130">
        <v>1</v>
      </c>
      <c r="K684" s="132">
        <f t="shared" si="60"/>
        <v>0</v>
      </c>
      <c r="M684" s="132">
        <v>1</v>
      </c>
      <c r="N684" s="132">
        <f t="shared" si="61"/>
        <v>0</v>
      </c>
      <c r="P684" s="132">
        <v>1</v>
      </c>
      <c r="Q684" s="132">
        <f t="shared" si="65"/>
        <v>0</v>
      </c>
      <c r="S684" s="132">
        <v>1</v>
      </c>
      <c r="T684" s="132">
        <f t="shared" si="62"/>
        <v>0</v>
      </c>
      <c r="V684" s="126">
        <f t="shared" si="63"/>
        <v>0</v>
      </c>
      <c r="W684" s="92">
        <f t="shared" si="64"/>
        <v>0</v>
      </c>
      <c r="Y684" s="210"/>
    </row>
    <row r="685" spans="1:25" ht="14.4" customHeight="1" thickBot="1" x14ac:dyDescent="0.3">
      <c r="A685" s="149"/>
      <c r="J685" s="130">
        <v>1</v>
      </c>
      <c r="K685" s="132">
        <f t="shared" si="60"/>
        <v>0</v>
      </c>
      <c r="M685" s="132">
        <v>1</v>
      </c>
      <c r="N685" s="132">
        <f t="shared" si="61"/>
        <v>0</v>
      </c>
      <c r="P685" s="132">
        <v>1</v>
      </c>
      <c r="Q685" s="132">
        <f t="shared" si="65"/>
        <v>0</v>
      </c>
      <c r="S685" s="132">
        <v>1</v>
      </c>
      <c r="T685" s="132">
        <f t="shared" si="62"/>
        <v>0</v>
      </c>
      <c r="V685" s="126">
        <f t="shared" si="63"/>
        <v>0</v>
      </c>
      <c r="W685" s="92">
        <f t="shared" si="64"/>
        <v>0</v>
      </c>
      <c r="Y685" s="210"/>
    </row>
    <row r="686" spans="1:25" ht="14.4" customHeight="1" thickBot="1" x14ac:dyDescent="0.3">
      <c r="A686" s="149"/>
      <c r="J686" s="130">
        <v>1</v>
      </c>
      <c r="K686" s="132">
        <f t="shared" si="60"/>
        <v>0</v>
      </c>
      <c r="M686" s="132">
        <v>1</v>
      </c>
      <c r="N686" s="132">
        <f t="shared" si="61"/>
        <v>0</v>
      </c>
      <c r="P686" s="132">
        <v>1</v>
      </c>
      <c r="Q686" s="132">
        <f t="shared" si="65"/>
        <v>0</v>
      </c>
      <c r="S686" s="132">
        <v>1</v>
      </c>
      <c r="T686" s="132">
        <f t="shared" si="62"/>
        <v>0</v>
      </c>
      <c r="V686" s="126">
        <f t="shared" si="63"/>
        <v>0</v>
      </c>
      <c r="W686" s="92">
        <f t="shared" si="64"/>
        <v>0</v>
      </c>
      <c r="Y686" s="210"/>
    </row>
    <row r="687" spans="1:25" ht="14.4" customHeight="1" thickBot="1" x14ac:dyDescent="0.3">
      <c r="A687" s="149"/>
      <c r="J687" s="130">
        <v>1</v>
      </c>
      <c r="K687" s="132">
        <f t="shared" si="60"/>
        <v>0</v>
      </c>
      <c r="M687" s="132">
        <v>1</v>
      </c>
      <c r="N687" s="132">
        <f t="shared" si="61"/>
        <v>0</v>
      </c>
      <c r="P687" s="132">
        <v>1</v>
      </c>
      <c r="Q687" s="132">
        <f t="shared" si="65"/>
        <v>0</v>
      </c>
      <c r="S687" s="132">
        <v>1</v>
      </c>
      <c r="T687" s="132">
        <f t="shared" si="62"/>
        <v>0</v>
      </c>
      <c r="V687" s="126">
        <f t="shared" si="63"/>
        <v>0</v>
      </c>
      <c r="W687" s="92">
        <f t="shared" si="64"/>
        <v>0</v>
      </c>
      <c r="Y687" s="210"/>
    </row>
    <row r="688" spans="1:25" ht="14.4" customHeight="1" thickBot="1" x14ac:dyDescent="0.3">
      <c r="A688" s="149"/>
      <c r="J688" s="130">
        <v>1</v>
      </c>
      <c r="K688" s="132">
        <f t="shared" si="60"/>
        <v>0</v>
      </c>
      <c r="M688" s="132">
        <v>1</v>
      </c>
      <c r="N688" s="132">
        <f t="shared" si="61"/>
        <v>0</v>
      </c>
      <c r="P688" s="132">
        <v>1</v>
      </c>
      <c r="Q688" s="132">
        <f t="shared" si="65"/>
        <v>0</v>
      </c>
      <c r="S688" s="132">
        <v>1</v>
      </c>
      <c r="T688" s="132">
        <f t="shared" si="62"/>
        <v>0</v>
      </c>
      <c r="V688" s="126">
        <f t="shared" si="63"/>
        <v>0</v>
      </c>
      <c r="W688" s="92">
        <f t="shared" si="64"/>
        <v>0</v>
      </c>
      <c r="Y688" s="210"/>
    </row>
    <row r="689" spans="1:25" ht="14.4" customHeight="1" thickBot="1" x14ac:dyDescent="0.3">
      <c r="A689" s="149"/>
      <c r="J689" s="130">
        <v>1</v>
      </c>
      <c r="K689" s="132">
        <f t="shared" si="60"/>
        <v>0</v>
      </c>
      <c r="M689" s="132">
        <v>1</v>
      </c>
      <c r="N689" s="132">
        <f t="shared" si="61"/>
        <v>0</v>
      </c>
      <c r="P689" s="132">
        <v>1</v>
      </c>
      <c r="Q689" s="132">
        <f t="shared" si="65"/>
        <v>0</v>
      </c>
      <c r="S689" s="132">
        <v>1</v>
      </c>
      <c r="T689" s="132">
        <f t="shared" si="62"/>
        <v>0</v>
      </c>
      <c r="V689" s="126">
        <f t="shared" si="63"/>
        <v>0</v>
      </c>
      <c r="W689" s="92">
        <f t="shared" si="64"/>
        <v>0</v>
      </c>
      <c r="Y689" s="210"/>
    </row>
    <row r="690" spans="1:25" ht="14.4" customHeight="1" thickBot="1" x14ac:dyDescent="0.3">
      <c r="A690" s="149"/>
      <c r="J690" s="130">
        <v>1</v>
      </c>
      <c r="K690" s="132">
        <f t="shared" si="60"/>
        <v>0</v>
      </c>
      <c r="M690" s="132">
        <v>1</v>
      </c>
      <c r="N690" s="132">
        <f t="shared" si="61"/>
        <v>0</v>
      </c>
      <c r="P690" s="132">
        <v>1</v>
      </c>
      <c r="Q690" s="132">
        <f t="shared" si="65"/>
        <v>0</v>
      </c>
      <c r="S690" s="132">
        <v>1</v>
      </c>
      <c r="T690" s="132">
        <f t="shared" si="62"/>
        <v>0</v>
      </c>
      <c r="V690" s="126">
        <f t="shared" si="63"/>
        <v>0</v>
      </c>
      <c r="W690" s="92">
        <f t="shared" si="64"/>
        <v>0</v>
      </c>
      <c r="Y690" s="210"/>
    </row>
    <row r="691" spans="1:25" ht="14.4" customHeight="1" thickBot="1" x14ac:dyDescent="0.3">
      <c r="A691" s="149"/>
      <c r="J691" s="130">
        <v>1</v>
      </c>
      <c r="K691" s="132">
        <f t="shared" si="60"/>
        <v>0</v>
      </c>
      <c r="M691" s="132">
        <v>1</v>
      </c>
      <c r="N691" s="132">
        <f t="shared" si="61"/>
        <v>0</v>
      </c>
      <c r="P691" s="132">
        <v>1</v>
      </c>
      <c r="Q691" s="132">
        <f t="shared" si="65"/>
        <v>0</v>
      </c>
      <c r="S691" s="132">
        <v>1</v>
      </c>
      <c r="T691" s="132">
        <f t="shared" si="62"/>
        <v>0</v>
      </c>
      <c r="V691" s="126">
        <f t="shared" si="63"/>
        <v>0</v>
      </c>
      <c r="W691" s="92">
        <f t="shared" si="64"/>
        <v>0</v>
      </c>
      <c r="Y691" s="210"/>
    </row>
    <row r="692" spans="1:25" ht="14.4" customHeight="1" thickBot="1" x14ac:dyDescent="0.3">
      <c r="A692" s="149"/>
      <c r="J692" s="130">
        <v>1</v>
      </c>
      <c r="K692" s="132">
        <f t="shared" si="60"/>
        <v>0</v>
      </c>
      <c r="M692" s="132">
        <v>1</v>
      </c>
      <c r="N692" s="132">
        <f t="shared" si="61"/>
        <v>0</v>
      </c>
      <c r="P692" s="132">
        <v>1</v>
      </c>
      <c r="Q692" s="132">
        <f t="shared" si="65"/>
        <v>0</v>
      </c>
      <c r="S692" s="132">
        <v>1</v>
      </c>
      <c r="T692" s="132">
        <f t="shared" si="62"/>
        <v>0</v>
      </c>
      <c r="V692" s="126">
        <f t="shared" si="63"/>
        <v>0</v>
      </c>
      <c r="W692" s="92">
        <f t="shared" si="64"/>
        <v>0</v>
      </c>
      <c r="Y692" s="210"/>
    </row>
    <row r="693" spans="1:25" ht="14.4" customHeight="1" thickBot="1" x14ac:dyDescent="0.3">
      <c r="A693" s="149"/>
      <c r="J693" s="130">
        <v>1</v>
      </c>
      <c r="K693" s="132">
        <f t="shared" si="60"/>
        <v>0</v>
      </c>
      <c r="M693" s="132">
        <v>1</v>
      </c>
      <c r="N693" s="132">
        <f t="shared" si="61"/>
        <v>0</v>
      </c>
      <c r="P693" s="132">
        <v>1</v>
      </c>
      <c r="Q693" s="132">
        <f t="shared" si="65"/>
        <v>0</v>
      </c>
      <c r="S693" s="132">
        <v>1</v>
      </c>
      <c r="T693" s="132">
        <f t="shared" si="62"/>
        <v>0</v>
      </c>
      <c r="V693" s="126">
        <f t="shared" si="63"/>
        <v>0</v>
      </c>
      <c r="W693" s="92">
        <f t="shared" si="64"/>
        <v>0</v>
      </c>
      <c r="Y693" s="210"/>
    </row>
    <row r="694" spans="1:25" ht="14.4" customHeight="1" thickBot="1" x14ac:dyDescent="0.3">
      <c r="A694" s="149"/>
      <c r="J694" s="130">
        <v>1</v>
      </c>
      <c r="K694" s="132">
        <f t="shared" si="60"/>
        <v>0</v>
      </c>
      <c r="M694" s="132">
        <v>1</v>
      </c>
      <c r="N694" s="132">
        <f t="shared" si="61"/>
        <v>0</v>
      </c>
      <c r="P694" s="132">
        <v>1</v>
      </c>
      <c r="Q694" s="132">
        <f t="shared" si="65"/>
        <v>0</v>
      </c>
      <c r="S694" s="132">
        <v>1</v>
      </c>
      <c r="T694" s="132">
        <f t="shared" si="62"/>
        <v>0</v>
      </c>
      <c r="V694" s="126">
        <f t="shared" si="63"/>
        <v>0</v>
      </c>
      <c r="W694" s="92">
        <f t="shared" si="64"/>
        <v>0</v>
      </c>
      <c r="Y694" s="210"/>
    </row>
    <row r="695" spans="1:25" ht="14.4" customHeight="1" thickBot="1" x14ac:dyDescent="0.3">
      <c r="A695" s="149"/>
      <c r="J695" s="130">
        <v>1</v>
      </c>
      <c r="K695" s="132">
        <f t="shared" si="60"/>
        <v>0</v>
      </c>
      <c r="M695" s="132">
        <v>1</v>
      </c>
      <c r="N695" s="132">
        <f t="shared" si="61"/>
        <v>0</v>
      </c>
      <c r="P695" s="132">
        <v>1</v>
      </c>
      <c r="Q695" s="132">
        <f t="shared" si="65"/>
        <v>0</v>
      </c>
      <c r="S695" s="132">
        <v>1</v>
      </c>
      <c r="T695" s="132">
        <f t="shared" si="62"/>
        <v>0</v>
      </c>
      <c r="V695" s="126">
        <f t="shared" si="63"/>
        <v>0</v>
      </c>
      <c r="W695" s="92">
        <f t="shared" si="64"/>
        <v>0</v>
      </c>
      <c r="Y695" s="210"/>
    </row>
    <row r="696" spans="1:25" ht="14.4" customHeight="1" thickBot="1" x14ac:dyDescent="0.3">
      <c r="A696" s="149"/>
      <c r="J696" s="130">
        <v>1</v>
      </c>
      <c r="K696" s="132">
        <f t="shared" si="60"/>
        <v>0</v>
      </c>
      <c r="M696" s="132">
        <v>1</v>
      </c>
      <c r="N696" s="132">
        <f t="shared" si="61"/>
        <v>0</v>
      </c>
      <c r="P696" s="132">
        <v>1</v>
      </c>
      <c r="Q696" s="132">
        <f t="shared" si="65"/>
        <v>0</v>
      </c>
      <c r="S696" s="132">
        <v>1</v>
      </c>
      <c r="T696" s="132">
        <f t="shared" si="62"/>
        <v>0</v>
      </c>
      <c r="V696" s="126">
        <f t="shared" si="63"/>
        <v>0</v>
      </c>
      <c r="W696" s="92">
        <f t="shared" si="64"/>
        <v>0</v>
      </c>
      <c r="Y696" s="210"/>
    </row>
    <row r="697" spans="1:25" ht="14.4" customHeight="1" thickBot="1" x14ac:dyDescent="0.3">
      <c r="A697" s="149"/>
      <c r="J697" s="130">
        <v>1</v>
      </c>
      <c r="K697" s="132">
        <f t="shared" si="60"/>
        <v>0</v>
      </c>
      <c r="M697" s="132">
        <v>1</v>
      </c>
      <c r="N697" s="132">
        <f t="shared" si="61"/>
        <v>0</v>
      </c>
      <c r="P697" s="132">
        <v>1</v>
      </c>
      <c r="Q697" s="132">
        <f t="shared" si="65"/>
        <v>0</v>
      </c>
      <c r="S697" s="132">
        <v>1</v>
      </c>
      <c r="T697" s="132">
        <f t="shared" si="62"/>
        <v>0</v>
      </c>
      <c r="V697" s="126">
        <f t="shared" si="63"/>
        <v>0</v>
      </c>
      <c r="W697" s="92">
        <f t="shared" si="64"/>
        <v>0</v>
      </c>
      <c r="Y697" s="210"/>
    </row>
    <row r="698" spans="1:25" ht="14.4" customHeight="1" thickBot="1" x14ac:dyDescent="0.3">
      <c r="A698" s="149"/>
      <c r="J698" s="130">
        <v>1</v>
      </c>
      <c r="K698" s="132">
        <f t="shared" si="60"/>
        <v>0</v>
      </c>
      <c r="M698" s="132">
        <v>1</v>
      </c>
      <c r="N698" s="132">
        <f t="shared" si="61"/>
        <v>0</v>
      </c>
      <c r="P698" s="132">
        <v>1</v>
      </c>
      <c r="Q698" s="132">
        <f t="shared" si="65"/>
        <v>0</v>
      </c>
      <c r="S698" s="132">
        <v>1</v>
      </c>
      <c r="T698" s="132">
        <f t="shared" si="62"/>
        <v>0</v>
      </c>
      <c r="V698" s="126">
        <f t="shared" si="63"/>
        <v>0</v>
      </c>
      <c r="W698" s="92">
        <f t="shared" si="64"/>
        <v>0</v>
      </c>
      <c r="Y698" s="210"/>
    </row>
    <row r="699" spans="1:25" ht="14.4" customHeight="1" thickBot="1" x14ac:dyDescent="0.3">
      <c r="A699" s="149"/>
      <c r="J699" s="130">
        <v>1</v>
      </c>
      <c r="K699" s="132">
        <f t="shared" si="60"/>
        <v>0</v>
      </c>
      <c r="M699" s="132">
        <v>1</v>
      </c>
      <c r="N699" s="132">
        <f t="shared" si="61"/>
        <v>0</v>
      </c>
      <c r="P699" s="132">
        <v>1</v>
      </c>
      <c r="Q699" s="132">
        <f t="shared" si="65"/>
        <v>0</v>
      </c>
      <c r="S699" s="132">
        <v>1</v>
      </c>
      <c r="T699" s="132">
        <f t="shared" si="62"/>
        <v>0</v>
      </c>
      <c r="V699" s="126">
        <f t="shared" si="63"/>
        <v>0</v>
      </c>
      <c r="W699" s="92">
        <f t="shared" si="64"/>
        <v>0</v>
      </c>
      <c r="Y699" s="210"/>
    </row>
    <row r="700" spans="1:25" ht="14.4" customHeight="1" thickBot="1" x14ac:dyDescent="0.3">
      <c r="A700" s="149"/>
      <c r="J700" s="130">
        <v>1</v>
      </c>
      <c r="K700" s="132">
        <f t="shared" si="60"/>
        <v>0</v>
      </c>
      <c r="M700" s="132">
        <v>1</v>
      </c>
      <c r="N700" s="132">
        <f t="shared" si="61"/>
        <v>0</v>
      </c>
      <c r="P700" s="132">
        <v>1</v>
      </c>
      <c r="Q700" s="132">
        <f t="shared" si="65"/>
        <v>0</v>
      </c>
      <c r="S700" s="132">
        <v>1</v>
      </c>
      <c r="T700" s="132">
        <f t="shared" si="62"/>
        <v>0</v>
      </c>
      <c r="V700" s="126">
        <f t="shared" si="63"/>
        <v>0</v>
      </c>
      <c r="W700" s="92">
        <f t="shared" si="64"/>
        <v>0</v>
      </c>
      <c r="Y700" s="210"/>
    </row>
    <row r="701" spans="1:25" ht="14.4" customHeight="1" thickBot="1" x14ac:dyDescent="0.3">
      <c r="A701" s="149"/>
      <c r="J701" s="130">
        <v>1</v>
      </c>
      <c r="K701" s="132">
        <f t="shared" si="60"/>
        <v>0</v>
      </c>
      <c r="M701" s="132">
        <v>1</v>
      </c>
      <c r="N701" s="132">
        <f t="shared" si="61"/>
        <v>0</v>
      </c>
      <c r="P701" s="132">
        <v>1</v>
      </c>
      <c r="Q701" s="132">
        <f t="shared" si="65"/>
        <v>0</v>
      </c>
      <c r="S701" s="132">
        <v>1</v>
      </c>
      <c r="T701" s="132">
        <f t="shared" si="62"/>
        <v>0</v>
      </c>
      <c r="V701" s="126">
        <f t="shared" si="63"/>
        <v>0</v>
      </c>
      <c r="W701" s="92">
        <f t="shared" si="64"/>
        <v>0</v>
      </c>
      <c r="Y701" s="210"/>
    </row>
    <row r="702" spans="1:25" ht="14.4" customHeight="1" thickBot="1" x14ac:dyDescent="0.3">
      <c r="A702" s="149"/>
      <c r="J702" s="130">
        <v>1</v>
      </c>
      <c r="K702" s="132">
        <f t="shared" si="60"/>
        <v>0</v>
      </c>
      <c r="M702" s="132">
        <v>1</v>
      </c>
      <c r="N702" s="132">
        <f t="shared" si="61"/>
        <v>0</v>
      </c>
      <c r="P702" s="132">
        <v>1</v>
      </c>
      <c r="Q702" s="132">
        <f t="shared" si="65"/>
        <v>0</v>
      </c>
      <c r="S702" s="132">
        <v>1</v>
      </c>
      <c r="T702" s="132">
        <f t="shared" si="62"/>
        <v>0</v>
      </c>
      <c r="V702" s="126">
        <f t="shared" si="63"/>
        <v>0</v>
      </c>
      <c r="W702" s="92">
        <f t="shared" si="64"/>
        <v>0</v>
      </c>
      <c r="Y702" s="210"/>
    </row>
    <row r="703" spans="1:25" ht="14.4" customHeight="1" thickBot="1" x14ac:dyDescent="0.3">
      <c r="A703" s="149"/>
      <c r="J703" s="130">
        <v>1</v>
      </c>
      <c r="K703" s="132">
        <f t="shared" si="60"/>
        <v>0</v>
      </c>
      <c r="M703" s="132">
        <v>1</v>
      </c>
      <c r="N703" s="132">
        <f t="shared" si="61"/>
        <v>0</v>
      </c>
      <c r="P703" s="132">
        <v>1</v>
      </c>
      <c r="Q703" s="132">
        <f t="shared" si="65"/>
        <v>0</v>
      </c>
      <c r="S703" s="132">
        <v>1</v>
      </c>
      <c r="T703" s="132">
        <f t="shared" si="62"/>
        <v>0</v>
      </c>
      <c r="V703" s="126">
        <f t="shared" si="63"/>
        <v>0</v>
      </c>
      <c r="W703" s="92">
        <f t="shared" si="64"/>
        <v>0</v>
      </c>
      <c r="Y703" s="210"/>
    </row>
    <row r="704" spans="1:25" ht="14.4" customHeight="1" thickBot="1" x14ac:dyDescent="0.3">
      <c r="A704" s="149"/>
      <c r="J704" s="130">
        <v>1</v>
      </c>
      <c r="K704" s="132">
        <f t="shared" si="60"/>
        <v>0</v>
      </c>
      <c r="M704" s="132">
        <v>1</v>
      </c>
      <c r="N704" s="132">
        <f t="shared" si="61"/>
        <v>0</v>
      </c>
      <c r="P704" s="132">
        <v>1</v>
      </c>
      <c r="Q704" s="132">
        <f t="shared" si="65"/>
        <v>0</v>
      </c>
      <c r="S704" s="132">
        <v>1</v>
      </c>
      <c r="T704" s="132">
        <f t="shared" si="62"/>
        <v>0</v>
      </c>
      <c r="V704" s="126">
        <f t="shared" si="63"/>
        <v>0</v>
      </c>
      <c r="W704" s="92">
        <f t="shared" si="64"/>
        <v>0</v>
      </c>
      <c r="Y704" s="210"/>
    </row>
    <row r="705" spans="1:25" ht="14.4" customHeight="1" thickBot="1" x14ac:dyDescent="0.3">
      <c r="A705" s="149"/>
      <c r="J705" s="130">
        <v>1</v>
      </c>
      <c r="K705" s="132">
        <f t="shared" si="60"/>
        <v>0</v>
      </c>
      <c r="M705" s="132">
        <v>1</v>
      </c>
      <c r="N705" s="132">
        <f t="shared" si="61"/>
        <v>0</v>
      </c>
      <c r="P705" s="132">
        <v>1</v>
      </c>
      <c r="Q705" s="132">
        <f t="shared" si="65"/>
        <v>0</v>
      </c>
      <c r="S705" s="132">
        <v>1</v>
      </c>
      <c r="T705" s="132">
        <f t="shared" si="62"/>
        <v>0</v>
      </c>
      <c r="V705" s="126">
        <f t="shared" si="63"/>
        <v>0</v>
      </c>
      <c r="W705" s="92">
        <f t="shared" si="64"/>
        <v>0</v>
      </c>
      <c r="Y705" s="210"/>
    </row>
    <row r="706" spans="1:25" ht="14.4" customHeight="1" thickBot="1" x14ac:dyDescent="0.3">
      <c r="A706" s="149"/>
      <c r="J706" s="130">
        <v>1</v>
      </c>
      <c r="K706" s="132">
        <f t="shared" ref="K706:K769" si="66">I706/J706</f>
        <v>0</v>
      </c>
      <c r="M706" s="132">
        <v>1</v>
      </c>
      <c r="N706" s="132">
        <f t="shared" ref="N706:N769" si="67">L706/M706</f>
        <v>0</v>
      </c>
      <c r="P706" s="132">
        <v>1</v>
      </c>
      <c r="Q706" s="132">
        <f t="shared" si="65"/>
        <v>0</v>
      </c>
      <c r="S706" s="132">
        <v>1</v>
      </c>
      <c r="T706" s="132">
        <f t="shared" ref="T706:T769" si="68">R706/S706</f>
        <v>0</v>
      </c>
      <c r="V706" s="126">
        <f t="shared" ref="V706:V769" si="69">D706+E706-G706-I706/J706-L706/M706-O706/P706-R706/S706</f>
        <v>0</v>
      </c>
      <c r="W706" s="92">
        <f t="shared" ref="W706:W769" si="70">G706+I706/J706+L706/M706+O706/P706+R706/S706</f>
        <v>0</v>
      </c>
      <c r="Y706" s="210"/>
    </row>
    <row r="707" spans="1:25" ht="14.4" customHeight="1" thickBot="1" x14ac:dyDescent="0.3">
      <c r="A707" s="149"/>
      <c r="J707" s="130">
        <v>1</v>
      </c>
      <c r="K707" s="132">
        <f t="shared" si="66"/>
        <v>0</v>
      </c>
      <c r="M707" s="132">
        <v>1</v>
      </c>
      <c r="N707" s="132">
        <f t="shared" si="67"/>
        <v>0</v>
      </c>
      <c r="P707" s="132">
        <v>1</v>
      </c>
      <c r="Q707" s="132">
        <f t="shared" ref="Q707:Q770" si="71">O707/P707</f>
        <v>0</v>
      </c>
      <c r="S707" s="132">
        <v>1</v>
      </c>
      <c r="T707" s="132">
        <f t="shared" si="68"/>
        <v>0</v>
      </c>
      <c r="V707" s="126">
        <f t="shared" si="69"/>
        <v>0</v>
      </c>
      <c r="W707" s="92">
        <f t="shared" si="70"/>
        <v>0</v>
      </c>
      <c r="Y707" s="210"/>
    </row>
    <row r="708" spans="1:25" ht="14.4" customHeight="1" thickBot="1" x14ac:dyDescent="0.3">
      <c r="A708" s="149"/>
      <c r="J708" s="130">
        <v>1</v>
      </c>
      <c r="K708" s="132">
        <f t="shared" si="66"/>
        <v>0</v>
      </c>
      <c r="M708" s="132">
        <v>1</v>
      </c>
      <c r="N708" s="132">
        <f t="shared" si="67"/>
        <v>0</v>
      </c>
      <c r="P708" s="132">
        <v>1</v>
      </c>
      <c r="Q708" s="132">
        <f t="shared" si="71"/>
        <v>0</v>
      </c>
      <c r="S708" s="132">
        <v>1</v>
      </c>
      <c r="T708" s="132">
        <f t="shared" si="68"/>
        <v>0</v>
      </c>
      <c r="V708" s="126">
        <f t="shared" si="69"/>
        <v>0</v>
      </c>
      <c r="W708" s="92">
        <f t="shared" si="70"/>
        <v>0</v>
      </c>
      <c r="Y708" s="210"/>
    </row>
    <row r="709" spans="1:25" ht="14.4" customHeight="1" thickBot="1" x14ac:dyDescent="0.3">
      <c r="A709" s="149"/>
      <c r="J709" s="130">
        <v>1</v>
      </c>
      <c r="K709" s="132">
        <f t="shared" si="66"/>
        <v>0</v>
      </c>
      <c r="M709" s="132">
        <v>1</v>
      </c>
      <c r="N709" s="132">
        <f t="shared" si="67"/>
        <v>0</v>
      </c>
      <c r="P709" s="132">
        <v>1</v>
      </c>
      <c r="Q709" s="132">
        <f t="shared" si="71"/>
        <v>0</v>
      </c>
      <c r="S709" s="132">
        <v>1</v>
      </c>
      <c r="T709" s="132">
        <f t="shared" si="68"/>
        <v>0</v>
      </c>
      <c r="V709" s="126">
        <f t="shared" si="69"/>
        <v>0</v>
      </c>
      <c r="W709" s="92">
        <f t="shared" si="70"/>
        <v>0</v>
      </c>
      <c r="Y709" s="210"/>
    </row>
    <row r="710" spans="1:25" ht="14.4" customHeight="1" thickBot="1" x14ac:dyDescent="0.3">
      <c r="A710" s="149"/>
      <c r="J710" s="130">
        <v>1</v>
      </c>
      <c r="K710" s="132">
        <f t="shared" si="66"/>
        <v>0</v>
      </c>
      <c r="M710" s="132">
        <v>1</v>
      </c>
      <c r="N710" s="132">
        <f t="shared" si="67"/>
        <v>0</v>
      </c>
      <c r="P710" s="132">
        <v>1</v>
      </c>
      <c r="Q710" s="132">
        <f t="shared" si="71"/>
        <v>0</v>
      </c>
      <c r="S710" s="132">
        <v>1</v>
      </c>
      <c r="T710" s="132">
        <f t="shared" si="68"/>
        <v>0</v>
      </c>
      <c r="V710" s="126">
        <f t="shared" si="69"/>
        <v>0</v>
      </c>
      <c r="W710" s="92">
        <f t="shared" si="70"/>
        <v>0</v>
      </c>
      <c r="Y710" s="210"/>
    </row>
    <row r="711" spans="1:25" ht="14.4" customHeight="1" thickBot="1" x14ac:dyDescent="0.3">
      <c r="A711" s="149"/>
      <c r="J711" s="130">
        <v>1</v>
      </c>
      <c r="K711" s="132">
        <f t="shared" si="66"/>
        <v>0</v>
      </c>
      <c r="M711" s="132">
        <v>1</v>
      </c>
      <c r="N711" s="132">
        <f t="shared" si="67"/>
        <v>0</v>
      </c>
      <c r="P711" s="132">
        <v>1</v>
      </c>
      <c r="Q711" s="132">
        <f t="shared" si="71"/>
        <v>0</v>
      </c>
      <c r="S711" s="132">
        <v>1</v>
      </c>
      <c r="T711" s="132">
        <f t="shared" si="68"/>
        <v>0</v>
      </c>
      <c r="V711" s="126">
        <f t="shared" si="69"/>
        <v>0</v>
      </c>
      <c r="W711" s="92">
        <f t="shared" si="70"/>
        <v>0</v>
      </c>
      <c r="Y711" s="210"/>
    </row>
    <row r="712" spans="1:25" ht="14.4" customHeight="1" thickBot="1" x14ac:dyDescent="0.3">
      <c r="A712" s="149"/>
      <c r="J712" s="130">
        <v>1</v>
      </c>
      <c r="K712" s="132">
        <f t="shared" si="66"/>
        <v>0</v>
      </c>
      <c r="M712" s="132">
        <v>1</v>
      </c>
      <c r="N712" s="132">
        <f t="shared" si="67"/>
        <v>0</v>
      </c>
      <c r="P712" s="132">
        <v>1</v>
      </c>
      <c r="Q712" s="132">
        <f t="shared" si="71"/>
        <v>0</v>
      </c>
      <c r="S712" s="132">
        <v>1</v>
      </c>
      <c r="T712" s="132">
        <f t="shared" si="68"/>
        <v>0</v>
      </c>
      <c r="V712" s="126">
        <f t="shared" si="69"/>
        <v>0</v>
      </c>
      <c r="W712" s="92">
        <f t="shared" si="70"/>
        <v>0</v>
      </c>
      <c r="Y712" s="210"/>
    </row>
    <row r="713" spans="1:25" ht="14.4" customHeight="1" thickBot="1" x14ac:dyDescent="0.3">
      <c r="A713" s="149"/>
      <c r="J713" s="130">
        <v>1</v>
      </c>
      <c r="K713" s="132">
        <f t="shared" si="66"/>
        <v>0</v>
      </c>
      <c r="M713" s="132">
        <v>1</v>
      </c>
      <c r="N713" s="132">
        <f t="shared" si="67"/>
        <v>0</v>
      </c>
      <c r="P713" s="132">
        <v>1</v>
      </c>
      <c r="Q713" s="132">
        <f t="shared" si="71"/>
        <v>0</v>
      </c>
      <c r="S713" s="132">
        <v>1</v>
      </c>
      <c r="T713" s="132">
        <f t="shared" si="68"/>
        <v>0</v>
      </c>
      <c r="V713" s="126">
        <f t="shared" si="69"/>
        <v>0</v>
      </c>
      <c r="W713" s="92">
        <f t="shared" si="70"/>
        <v>0</v>
      </c>
      <c r="Y713" s="210"/>
    </row>
    <row r="714" spans="1:25" ht="14.4" customHeight="1" thickBot="1" x14ac:dyDescent="0.3">
      <c r="A714" s="149"/>
      <c r="J714" s="130">
        <v>1</v>
      </c>
      <c r="K714" s="132">
        <f t="shared" si="66"/>
        <v>0</v>
      </c>
      <c r="M714" s="132">
        <v>1</v>
      </c>
      <c r="N714" s="132">
        <f t="shared" si="67"/>
        <v>0</v>
      </c>
      <c r="P714" s="132">
        <v>1</v>
      </c>
      <c r="Q714" s="132">
        <f t="shared" si="71"/>
        <v>0</v>
      </c>
      <c r="S714" s="132">
        <v>1</v>
      </c>
      <c r="T714" s="132">
        <f t="shared" si="68"/>
        <v>0</v>
      </c>
      <c r="V714" s="126">
        <f t="shared" si="69"/>
        <v>0</v>
      </c>
      <c r="W714" s="92">
        <f t="shared" si="70"/>
        <v>0</v>
      </c>
      <c r="Y714" s="210"/>
    </row>
    <row r="715" spans="1:25" ht="14.4" customHeight="1" thickBot="1" x14ac:dyDescent="0.3">
      <c r="A715" s="149"/>
      <c r="J715" s="130">
        <v>1</v>
      </c>
      <c r="K715" s="132">
        <f t="shared" si="66"/>
        <v>0</v>
      </c>
      <c r="M715" s="132">
        <v>1</v>
      </c>
      <c r="N715" s="132">
        <f t="shared" si="67"/>
        <v>0</v>
      </c>
      <c r="P715" s="132">
        <v>1</v>
      </c>
      <c r="Q715" s="132">
        <f t="shared" si="71"/>
        <v>0</v>
      </c>
      <c r="S715" s="132">
        <v>1</v>
      </c>
      <c r="T715" s="132">
        <f t="shared" si="68"/>
        <v>0</v>
      </c>
      <c r="V715" s="126">
        <f t="shared" si="69"/>
        <v>0</v>
      </c>
      <c r="W715" s="92">
        <f t="shared" si="70"/>
        <v>0</v>
      </c>
      <c r="Y715" s="210"/>
    </row>
    <row r="716" spans="1:25" ht="14.4" customHeight="1" thickBot="1" x14ac:dyDescent="0.3">
      <c r="A716" s="149"/>
      <c r="J716" s="130">
        <v>1</v>
      </c>
      <c r="K716" s="132">
        <f t="shared" si="66"/>
        <v>0</v>
      </c>
      <c r="M716" s="132">
        <v>1</v>
      </c>
      <c r="N716" s="132">
        <f t="shared" si="67"/>
        <v>0</v>
      </c>
      <c r="P716" s="132">
        <v>1</v>
      </c>
      <c r="Q716" s="132">
        <f t="shared" si="71"/>
        <v>0</v>
      </c>
      <c r="S716" s="132">
        <v>1</v>
      </c>
      <c r="T716" s="132">
        <f t="shared" si="68"/>
        <v>0</v>
      </c>
      <c r="V716" s="126">
        <f t="shared" si="69"/>
        <v>0</v>
      </c>
      <c r="W716" s="92">
        <f t="shared" si="70"/>
        <v>0</v>
      </c>
      <c r="Y716" s="210"/>
    </row>
    <row r="717" spans="1:25" ht="14.4" customHeight="1" thickBot="1" x14ac:dyDescent="0.3">
      <c r="A717" s="149"/>
      <c r="J717" s="130">
        <v>1</v>
      </c>
      <c r="K717" s="132">
        <f t="shared" si="66"/>
        <v>0</v>
      </c>
      <c r="M717" s="132">
        <v>1</v>
      </c>
      <c r="N717" s="132">
        <f t="shared" si="67"/>
        <v>0</v>
      </c>
      <c r="P717" s="132">
        <v>1</v>
      </c>
      <c r="Q717" s="132">
        <f t="shared" si="71"/>
        <v>0</v>
      </c>
      <c r="S717" s="132">
        <v>1</v>
      </c>
      <c r="T717" s="132">
        <f t="shared" si="68"/>
        <v>0</v>
      </c>
      <c r="V717" s="126">
        <f t="shared" si="69"/>
        <v>0</v>
      </c>
      <c r="W717" s="92">
        <f t="shared" si="70"/>
        <v>0</v>
      </c>
      <c r="Y717" s="210"/>
    </row>
    <row r="718" spans="1:25" ht="14.4" customHeight="1" thickBot="1" x14ac:dyDescent="0.3">
      <c r="A718" s="149"/>
      <c r="J718" s="130">
        <v>1</v>
      </c>
      <c r="K718" s="132">
        <f t="shared" si="66"/>
        <v>0</v>
      </c>
      <c r="M718" s="132">
        <v>1</v>
      </c>
      <c r="N718" s="132">
        <f t="shared" si="67"/>
        <v>0</v>
      </c>
      <c r="P718" s="132">
        <v>1</v>
      </c>
      <c r="Q718" s="132">
        <f t="shared" si="71"/>
        <v>0</v>
      </c>
      <c r="S718" s="132">
        <v>1</v>
      </c>
      <c r="T718" s="132">
        <f t="shared" si="68"/>
        <v>0</v>
      </c>
      <c r="V718" s="126">
        <f t="shared" si="69"/>
        <v>0</v>
      </c>
      <c r="W718" s="92">
        <f t="shared" si="70"/>
        <v>0</v>
      </c>
      <c r="Y718" s="210"/>
    </row>
    <row r="719" spans="1:25" ht="14.4" customHeight="1" thickBot="1" x14ac:dyDescent="0.3">
      <c r="A719" s="149"/>
      <c r="J719" s="130">
        <v>1</v>
      </c>
      <c r="K719" s="132">
        <f t="shared" si="66"/>
        <v>0</v>
      </c>
      <c r="M719" s="132">
        <v>1</v>
      </c>
      <c r="N719" s="132">
        <f t="shared" si="67"/>
        <v>0</v>
      </c>
      <c r="P719" s="132">
        <v>1</v>
      </c>
      <c r="Q719" s="132">
        <f t="shared" si="71"/>
        <v>0</v>
      </c>
      <c r="S719" s="132">
        <v>1</v>
      </c>
      <c r="T719" s="132">
        <f t="shared" si="68"/>
        <v>0</v>
      </c>
      <c r="V719" s="126">
        <f t="shared" si="69"/>
        <v>0</v>
      </c>
      <c r="W719" s="92">
        <f t="shared" si="70"/>
        <v>0</v>
      </c>
      <c r="Y719" s="210"/>
    </row>
    <row r="720" spans="1:25" ht="14.4" customHeight="1" thickBot="1" x14ac:dyDescent="0.3">
      <c r="A720" s="149"/>
      <c r="J720" s="130">
        <v>1</v>
      </c>
      <c r="K720" s="132">
        <f t="shared" si="66"/>
        <v>0</v>
      </c>
      <c r="M720" s="132">
        <v>1</v>
      </c>
      <c r="N720" s="132">
        <f t="shared" si="67"/>
        <v>0</v>
      </c>
      <c r="P720" s="132">
        <v>1</v>
      </c>
      <c r="Q720" s="132">
        <f t="shared" si="71"/>
        <v>0</v>
      </c>
      <c r="S720" s="132">
        <v>1</v>
      </c>
      <c r="T720" s="132">
        <f t="shared" si="68"/>
        <v>0</v>
      </c>
      <c r="V720" s="126">
        <f t="shared" si="69"/>
        <v>0</v>
      </c>
      <c r="W720" s="92">
        <f t="shared" si="70"/>
        <v>0</v>
      </c>
      <c r="Y720" s="210"/>
    </row>
    <row r="721" spans="1:25" ht="14.4" customHeight="1" thickBot="1" x14ac:dyDescent="0.3">
      <c r="A721" s="149"/>
      <c r="J721" s="130">
        <v>1</v>
      </c>
      <c r="K721" s="132">
        <f t="shared" si="66"/>
        <v>0</v>
      </c>
      <c r="M721" s="132">
        <v>1</v>
      </c>
      <c r="N721" s="132">
        <f t="shared" si="67"/>
        <v>0</v>
      </c>
      <c r="P721" s="132">
        <v>1</v>
      </c>
      <c r="Q721" s="132">
        <f t="shared" si="71"/>
        <v>0</v>
      </c>
      <c r="S721" s="132">
        <v>1</v>
      </c>
      <c r="T721" s="132">
        <f t="shared" si="68"/>
        <v>0</v>
      </c>
      <c r="V721" s="126">
        <f t="shared" si="69"/>
        <v>0</v>
      </c>
      <c r="W721" s="92">
        <f t="shared" si="70"/>
        <v>0</v>
      </c>
      <c r="Y721" s="210"/>
    </row>
    <row r="722" spans="1:25" ht="14.4" customHeight="1" thickBot="1" x14ac:dyDescent="0.3">
      <c r="A722" s="149"/>
      <c r="J722" s="130">
        <v>1</v>
      </c>
      <c r="K722" s="132">
        <f t="shared" si="66"/>
        <v>0</v>
      </c>
      <c r="M722" s="132">
        <v>1</v>
      </c>
      <c r="N722" s="132">
        <f t="shared" si="67"/>
        <v>0</v>
      </c>
      <c r="P722" s="132">
        <v>1</v>
      </c>
      <c r="Q722" s="132">
        <f t="shared" si="71"/>
        <v>0</v>
      </c>
      <c r="S722" s="132">
        <v>1</v>
      </c>
      <c r="T722" s="132">
        <f t="shared" si="68"/>
        <v>0</v>
      </c>
      <c r="V722" s="126">
        <f t="shared" si="69"/>
        <v>0</v>
      </c>
      <c r="W722" s="92">
        <f t="shared" si="70"/>
        <v>0</v>
      </c>
      <c r="Y722" s="210"/>
    </row>
    <row r="723" spans="1:25" ht="14.4" customHeight="1" thickBot="1" x14ac:dyDescent="0.3">
      <c r="A723" s="149"/>
      <c r="J723" s="130">
        <v>1</v>
      </c>
      <c r="K723" s="132">
        <f t="shared" si="66"/>
        <v>0</v>
      </c>
      <c r="M723" s="132">
        <v>1</v>
      </c>
      <c r="N723" s="132">
        <f t="shared" si="67"/>
        <v>0</v>
      </c>
      <c r="P723" s="132">
        <v>1</v>
      </c>
      <c r="Q723" s="132">
        <f t="shared" si="71"/>
        <v>0</v>
      </c>
      <c r="S723" s="132">
        <v>1</v>
      </c>
      <c r="T723" s="132">
        <f t="shared" si="68"/>
        <v>0</v>
      </c>
      <c r="V723" s="126">
        <f t="shared" si="69"/>
        <v>0</v>
      </c>
      <c r="W723" s="92">
        <f t="shared" si="70"/>
        <v>0</v>
      </c>
      <c r="Y723" s="210"/>
    </row>
    <row r="724" spans="1:25" ht="14.4" customHeight="1" thickBot="1" x14ac:dyDescent="0.3">
      <c r="A724" s="149"/>
      <c r="J724" s="130">
        <v>1</v>
      </c>
      <c r="K724" s="132">
        <f t="shared" si="66"/>
        <v>0</v>
      </c>
      <c r="M724" s="132">
        <v>1</v>
      </c>
      <c r="N724" s="132">
        <f t="shared" si="67"/>
        <v>0</v>
      </c>
      <c r="P724" s="132">
        <v>1</v>
      </c>
      <c r="Q724" s="132">
        <f t="shared" si="71"/>
        <v>0</v>
      </c>
      <c r="S724" s="132">
        <v>1</v>
      </c>
      <c r="T724" s="132">
        <f t="shared" si="68"/>
        <v>0</v>
      </c>
      <c r="V724" s="126">
        <f t="shared" si="69"/>
        <v>0</v>
      </c>
      <c r="W724" s="92">
        <f t="shared" si="70"/>
        <v>0</v>
      </c>
      <c r="Y724" s="210"/>
    </row>
    <row r="725" spans="1:25" ht="14.4" customHeight="1" thickBot="1" x14ac:dyDescent="0.3">
      <c r="A725" s="149"/>
      <c r="J725" s="130">
        <v>1</v>
      </c>
      <c r="K725" s="132">
        <f t="shared" si="66"/>
        <v>0</v>
      </c>
      <c r="M725" s="132">
        <v>1</v>
      </c>
      <c r="N725" s="132">
        <f t="shared" si="67"/>
        <v>0</v>
      </c>
      <c r="P725" s="132">
        <v>1</v>
      </c>
      <c r="Q725" s="132">
        <f t="shared" si="71"/>
        <v>0</v>
      </c>
      <c r="S725" s="132">
        <v>1</v>
      </c>
      <c r="T725" s="132">
        <f t="shared" si="68"/>
        <v>0</v>
      </c>
      <c r="V725" s="126">
        <f t="shared" si="69"/>
        <v>0</v>
      </c>
      <c r="W725" s="92">
        <f t="shared" si="70"/>
        <v>0</v>
      </c>
      <c r="Y725" s="210"/>
    </row>
    <row r="726" spans="1:25" ht="14.4" customHeight="1" thickBot="1" x14ac:dyDescent="0.3">
      <c r="A726" s="149"/>
      <c r="J726" s="130">
        <v>1</v>
      </c>
      <c r="K726" s="132">
        <f t="shared" si="66"/>
        <v>0</v>
      </c>
      <c r="M726" s="132">
        <v>1</v>
      </c>
      <c r="N726" s="132">
        <f t="shared" si="67"/>
        <v>0</v>
      </c>
      <c r="P726" s="132">
        <v>1</v>
      </c>
      <c r="Q726" s="132">
        <f t="shared" si="71"/>
        <v>0</v>
      </c>
      <c r="S726" s="132">
        <v>1</v>
      </c>
      <c r="T726" s="132">
        <f t="shared" si="68"/>
        <v>0</v>
      </c>
      <c r="V726" s="126">
        <f t="shared" si="69"/>
        <v>0</v>
      </c>
      <c r="W726" s="92">
        <f t="shared" si="70"/>
        <v>0</v>
      </c>
      <c r="Y726" s="210"/>
    </row>
    <row r="727" spans="1:25" ht="14.4" customHeight="1" thickBot="1" x14ac:dyDescent="0.3">
      <c r="A727" s="149"/>
      <c r="J727" s="130">
        <v>1</v>
      </c>
      <c r="K727" s="132">
        <f t="shared" si="66"/>
        <v>0</v>
      </c>
      <c r="M727" s="132">
        <v>1</v>
      </c>
      <c r="N727" s="132">
        <f t="shared" si="67"/>
        <v>0</v>
      </c>
      <c r="P727" s="132">
        <v>1</v>
      </c>
      <c r="Q727" s="132">
        <f t="shared" si="71"/>
        <v>0</v>
      </c>
      <c r="S727" s="132">
        <v>1</v>
      </c>
      <c r="T727" s="132">
        <f t="shared" si="68"/>
        <v>0</v>
      </c>
      <c r="V727" s="126">
        <f t="shared" si="69"/>
        <v>0</v>
      </c>
      <c r="W727" s="92">
        <f t="shared" si="70"/>
        <v>0</v>
      </c>
      <c r="Y727" s="210"/>
    </row>
    <row r="728" spans="1:25" ht="14.4" customHeight="1" thickBot="1" x14ac:dyDescent="0.3">
      <c r="A728" s="149"/>
      <c r="J728" s="130">
        <v>1</v>
      </c>
      <c r="K728" s="132">
        <f t="shared" si="66"/>
        <v>0</v>
      </c>
      <c r="M728" s="132">
        <v>1</v>
      </c>
      <c r="N728" s="132">
        <f t="shared" si="67"/>
        <v>0</v>
      </c>
      <c r="P728" s="132">
        <v>1</v>
      </c>
      <c r="Q728" s="132">
        <f t="shared" si="71"/>
        <v>0</v>
      </c>
      <c r="S728" s="132">
        <v>1</v>
      </c>
      <c r="T728" s="132">
        <f t="shared" si="68"/>
        <v>0</v>
      </c>
      <c r="V728" s="126">
        <f t="shared" si="69"/>
        <v>0</v>
      </c>
      <c r="W728" s="92">
        <f t="shared" si="70"/>
        <v>0</v>
      </c>
      <c r="Y728" s="210"/>
    </row>
    <row r="729" spans="1:25" ht="14.4" customHeight="1" thickBot="1" x14ac:dyDescent="0.3">
      <c r="A729" s="149"/>
      <c r="J729" s="130">
        <v>1</v>
      </c>
      <c r="K729" s="132">
        <f t="shared" si="66"/>
        <v>0</v>
      </c>
      <c r="M729" s="132">
        <v>1</v>
      </c>
      <c r="N729" s="132">
        <f t="shared" si="67"/>
        <v>0</v>
      </c>
      <c r="P729" s="132">
        <v>1</v>
      </c>
      <c r="Q729" s="132">
        <f t="shared" si="71"/>
        <v>0</v>
      </c>
      <c r="S729" s="132">
        <v>1</v>
      </c>
      <c r="T729" s="132">
        <f t="shared" si="68"/>
        <v>0</v>
      </c>
      <c r="V729" s="126">
        <f t="shared" si="69"/>
        <v>0</v>
      </c>
      <c r="W729" s="92">
        <f t="shared" si="70"/>
        <v>0</v>
      </c>
      <c r="Y729" s="210"/>
    </row>
    <row r="730" spans="1:25" ht="14.4" customHeight="1" thickBot="1" x14ac:dyDescent="0.3">
      <c r="A730" s="149"/>
      <c r="J730" s="130">
        <v>1</v>
      </c>
      <c r="K730" s="132">
        <f t="shared" si="66"/>
        <v>0</v>
      </c>
      <c r="M730" s="132">
        <v>1</v>
      </c>
      <c r="N730" s="132">
        <f t="shared" si="67"/>
        <v>0</v>
      </c>
      <c r="P730" s="132">
        <v>1</v>
      </c>
      <c r="Q730" s="132">
        <f t="shared" si="71"/>
        <v>0</v>
      </c>
      <c r="S730" s="132">
        <v>1</v>
      </c>
      <c r="T730" s="132">
        <f t="shared" si="68"/>
        <v>0</v>
      </c>
      <c r="V730" s="126">
        <f t="shared" si="69"/>
        <v>0</v>
      </c>
      <c r="W730" s="92">
        <f t="shared" si="70"/>
        <v>0</v>
      </c>
      <c r="Y730" s="210"/>
    </row>
    <row r="731" spans="1:25" ht="14.4" customHeight="1" thickBot="1" x14ac:dyDescent="0.3">
      <c r="A731" s="149"/>
      <c r="J731" s="130">
        <v>1</v>
      </c>
      <c r="K731" s="132">
        <f t="shared" si="66"/>
        <v>0</v>
      </c>
      <c r="M731" s="132">
        <v>1</v>
      </c>
      <c r="N731" s="132">
        <f t="shared" si="67"/>
        <v>0</v>
      </c>
      <c r="P731" s="132">
        <v>1</v>
      </c>
      <c r="Q731" s="132">
        <f t="shared" si="71"/>
        <v>0</v>
      </c>
      <c r="S731" s="132">
        <v>1</v>
      </c>
      <c r="T731" s="132">
        <f t="shared" si="68"/>
        <v>0</v>
      </c>
      <c r="V731" s="126">
        <f t="shared" si="69"/>
        <v>0</v>
      </c>
      <c r="W731" s="92">
        <f t="shared" si="70"/>
        <v>0</v>
      </c>
      <c r="Y731" s="210"/>
    </row>
    <row r="732" spans="1:25" ht="14.4" customHeight="1" thickBot="1" x14ac:dyDescent="0.3">
      <c r="A732" s="149"/>
      <c r="J732" s="130">
        <v>1</v>
      </c>
      <c r="K732" s="132">
        <f t="shared" si="66"/>
        <v>0</v>
      </c>
      <c r="M732" s="132">
        <v>1</v>
      </c>
      <c r="N732" s="132">
        <f t="shared" si="67"/>
        <v>0</v>
      </c>
      <c r="P732" s="132">
        <v>1</v>
      </c>
      <c r="Q732" s="132">
        <f t="shared" si="71"/>
        <v>0</v>
      </c>
      <c r="S732" s="132">
        <v>1</v>
      </c>
      <c r="T732" s="132">
        <f t="shared" si="68"/>
        <v>0</v>
      </c>
      <c r="V732" s="126">
        <f t="shared" si="69"/>
        <v>0</v>
      </c>
      <c r="W732" s="92">
        <f t="shared" si="70"/>
        <v>0</v>
      </c>
      <c r="Y732" s="210"/>
    </row>
    <row r="733" spans="1:25" ht="14.4" customHeight="1" thickBot="1" x14ac:dyDescent="0.3">
      <c r="A733" s="149"/>
      <c r="J733" s="130">
        <v>1</v>
      </c>
      <c r="K733" s="132">
        <f t="shared" si="66"/>
        <v>0</v>
      </c>
      <c r="M733" s="132">
        <v>1</v>
      </c>
      <c r="N733" s="132">
        <f t="shared" si="67"/>
        <v>0</v>
      </c>
      <c r="P733" s="132">
        <v>1</v>
      </c>
      <c r="Q733" s="132">
        <f t="shared" si="71"/>
        <v>0</v>
      </c>
      <c r="S733" s="132">
        <v>1</v>
      </c>
      <c r="T733" s="132">
        <f t="shared" si="68"/>
        <v>0</v>
      </c>
      <c r="V733" s="126">
        <f t="shared" si="69"/>
        <v>0</v>
      </c>
      <c r="W733" s="92">
        <f t="shared" si="70"/>
        <v>0</v>
      </c>
      <c r="Y733" s="210"/>
    </row>
    <row r="734" spans="1:25" ht="14.4" customHeight="1" thickBot="1" x14ac:dyDescent="0.3">
      <c r="A734" s="149"/>
      <c r="J734" s="130">
        <v>1</v>
      </c>
      <c r="K734" s="132">
        <f t="shared" si="66"/>
        <v>0</v>
      </c>
      <c r="M734" s="132">
        <v>1</v>
      </c>
      <c r="N734" s="132">
        <f t="shared" si="67"/>
        <v>0</v>
      </c>
      <c r="P734" s="132">
        <v>1</v>
      </c>
      <c r="Q734" s="132">
        <f t="shared" si="71"/>
        <v>0</v>
      </c>
      <c r="S734" s="132">
        <v>1</v>
      </c>
      <c r="T734" s="132">
        <f t="shared" si="68"/>
        <v>0</v>
      </c>
      <c r="V734" s="126">
        <f t="shared" si="69"/>
        <v>0</v>
      </c>
      <c r="W734" s="92">
        <f t="shared" si="70"/>
        <v>0</v>
      </c>
      <c r="Y734" s="210"/>
    </row>
    <row r="735" spans="1:25" ht="14.4" customHeight="1" thickBot="1" x14ac:dyDescent="0.3">
      <c r="A735" s="149"/>
      <c r="J735" s="130">
        <v>1</v>
      </c>
      <c r="K735" s="132">
        <f t="shared" si="66"/>
        <v>0</v>
      </c>
      <c r="M735" s="132">
        <v>1</v>
      </c>
      <c r="N735" s="132">
        <f t="shared" si="67"/>
        <v>0</v>
      </c>
      <c r="P735" s="132">
        <v>1</v>
      </c>
      <c r="Q735" s="132">
        <f t="shared" si="71"/>
        <v>0</v>
      </c>
      <c r="S735" s="132">
        <v>1</v>
      </c>
      <c r="T735" s="132">
        <f t="shared" si="68"/>
        <v>0</v>
      </c>
      <c r="V735" s="126">
        <f t="shared" si="69"/>
        <v>0</v>
      </c>
      <c r="W735" s="92">
        <f t="shared" si="70"/>
        <v>0</v>
      </c>
      <c r="Y735" s="210"/>
    </row>
    <row r="736" spans="1:25" ht="14.4" customHeight="1" thickBot="1" x14ac:dyDescent="0.3">
      <c r="A736" s="149"/>
      <c r="J736" s="130">
        <v>1</v>
      </c>
      <c r="K736" s="132">
        <f t="shared" si="66"/>
        <v>0</v>
      </c>
      <c r="M736" s="132">
        <v>1</v>
      </c>
      <c r="N736" s="132">
        <f t="shared" si="67"/>
        <v>0</v>
      </c>
      <c r="P736" s="132">
        <v>1</v>
      </c>
      <c r="Q736" s="132">
        <f t="shared" si="71"/>
        <v>0</v>
      </c>
      <c r="S736" s="132">
        <v>1</v>
      </c>
      <c r="T736" s="132">
        <f t="shared" si="68"/>
        <v>0</v>
      </c>
      <c r="V736" s="126">
        <f t="shared" si="69"/>
        <v>0</v>
      </c>
      <c r="W736" s="92">
        <f t="shared" si="70"/>
        <v>0</v>
      </c>
      <c r="Y736" s="210"/>
    </row>
    <row r="737" spans="1:25" ht="14.4" customHeight="1" thickBot="1" x14ac:dyDescent="0.3">
      <c r="A737" s="149"/>
      <c r="J737" s="130">
        <v>1</v>
      </c>
      <c r="K737" s="132">
        <f t="shared" si="66"/>
        <v>0</v>
      </c>
      <c r="M737" s="132">
        <v>1</v>
      </c>
      <c r="N737" s="132">
        <f t="shared" si="67"/>
        <v>0</v>
      </c>
      <c r="P737" s="132">
        <v>1</v>
      </c>
      <c r="Q737" s="132">
        <f t="shared" si="71"/>
        <v>0</v>
      </c>
      <c r="S737" s="132">
        <v>1</v>
      </c>
      <c r="T737" s="132">
        <f t="shared" si="68"/>
        <v>0</v>
      </c>
      <c r="V737" s="126">
        <f t="shared" si="69"/>
        <v>0</v>
      </c>
      <c r="W737" s="92">
        <f t="shared" si="70"/>
        <v>0</v>
      </c>
      <c r="Y737" s="210"/>
    </row>
    <row r="738" spans="1:25" ht="14.4" customHeight="1" thickBot="1" x14ac:dyDescent="0.3">
      <c r="A738" s="149"/>
      <c r="J738" s="130">
        <v>1</v>
      </c>
      <c r="K738" s="132">
        <f t="shared" si="66"/>
        <v>0</v>
      </c>
      <c r="M738" s="132">
        <v>1</v>
      </c>
      <c r="N738" s="132">
        <f t="shared" si="67"/>
        <v>0</v>
      </c>
      <c r="P738" s="132">
        <v>1</v>
      </c>
      <c r="Q738" s="132">
        <f t="shared" si="71"/>
        <v>0</v>
      </c>
      <c r="S738" s="132">
        <v>1</v>
      </c>
      <c r="T738" s="132">
        <f t="shared" si="68"/>
        <v>0</v>
      </c>
      <c r="V738" s="126">
        <f t="shared" si="69"/>
        <v>0</v>
      </c>
      <c r="W738" s="92">
        <f t="shared" si="70"/>
        <v>0</v>
      </c>
      <c r="Y738" s="210"/>
    </row>
    <row r="739" spans="1:25" ht="14.4" customHeight="1" thickBot="1" x14ac:dyDescent="0.3">
      <c r="A739" s="149"/>
      <c r="J739" s="130">
        <v>1</v>
      </c>
      <c r="K739" s="132">
        <f t="shared" si="66"/>
        <v>0</v>
      </c>
      <c r="M739" s="132">
        <v>1</v>
      </c>
      <c r="N739" s="132">
        <f t="shared" si="67"/>
        <v>0</v>
      </c>
      <c r="P739" s="132">
        <v>1</v>
      </c>
      <c r="Q739" s="132">
        <f t="shared" si="71"/>
        <v>0</v>
      </c>
      <c r="S739" s="132">
        <v>1</v>
      </c>
      <c r="T739" s="132">
        <f t="shared" si="68"/>
        <v>0</v>
      </c>
      <c r="V739" s="126">
        <f t="shared" si="69"/>
        <v>0</v>
      </c>
      <c r="W739" s="92">
        <f t="shared" si="70"/>
        <v>0</v>
      </c>
      <c r="Y739" s="210"/>
    </row>
    <row r="740" spans="1:25" ht="14.4" customHeight="1" thickBot="1" x14ac:dyDescent="0.3">
      <c r="A740" s="149"/>
      <c r="J740" s="130">
        <v>1</v>
      </c>
      <c r="K740" s="132">
        <f t="shared" si="66"/>
        <v>0</v>
      </c>
      <c r="M740" s="132">
        <v>1</v>
      </c>
      <c r="N740" s="132">
        <f t="shared" si="67"/>
        <v>0</v>
      </c>
      <c r="P740" s="132">
        <v>1</v>
      </c>
      <c r="Q740" s="132">
        <f t="shared" si="71"/>
        <v>0</v>
      </c>
      <c r="S740" s="132">
        <v>1</v>
      </c>
      <c r="T740" s="132">
        <f t="shared" si="68"/>
        <v>0</v>
      </c>
      <c r="V740" s="126">
        <f t="shared" si="69"/>
        <v>0</v>
      </c>
      <c r="W740" s="92">
        <f t="shared" si="70"/>
        <v>0</v>
      </c>
      <c r="Y740" s="210"/>
    </row>
    <row r="741" spans="1:25" ht="14.4" customHeight="1" thickBot="1" x14ac:dyDescent="0.3">
      <c r="A741" s="149"/>
      <c r="J741" s="130">
        <v>1</v>
      </c>
      <c r="K741" s="132">
        <f t="shared" si="66"/>
        <v>0</v>
      </c>
      <c r="M741" s="132">
        <v>1</v>
      </c>
      <c r="N741" s="132">
        <f t="shared" si="67"/>
        <v>0</v>
      </c>
      <c r="P741" s="132">
        <v>1</v>
      </c>
      <c r="Q741" s="132">
        <f t="shared" si="71"/>
        <v>0</v>
      </c>
      <c r="S741" s="132">
        <v>1</v>
      </c>
      <c r="T741" s="132">
        <f t="shared" si="68"/>
        <v>0</v>
      </c>
      <c r="V741" s="126">
        <f t="shared" si="69"/>
        <v>0</v>
      </c>
      <c r="W741" s="92">
        <f t="shared" si="70"/>
        <v>0</v>
      </c>
      <c r="Y741" s="210"/>
    </row>
    <row r="742" spans="1:25" ht="14.4" customHeight="1" thickBot="1" x14ac:dyDescent="0.3">
      <c r="A742" s="149"/>
      <c r="J742" s="130">
        <v>1</v>
      </c>
      <c r="K742" s="132">
        <f t="shared" si="66"/>
        <v>0</v>
      </c>
      <c r="M742" s="132">
        <v>1</v>
      </c>
      <c r="N742" s="132">
        <f t="shared" si="67"/>
        <v>0</v>
      </c>
      <c r="P742" s="132">
        <v>1</v>
      </c>
      <c r="Q742" s="132">
        <f t="shared" si="71"/>
        <v>0</v>
      </c>
      <c r="S742" s="132">
        <v>1</v>
      </c>
      <c r="T742" s="132">
        <f t="shared" si="68"/>
        <v>0</v>
      </c>
      <c r="V742" s="126">
        <f t="shared" si="69"/>
        <v>0</v>
      </c>
      <c r="W742" s="92">
        <f t="shared" si="70"/>
        <v>0</v>
      </c>
      <c r="Y742" s="210"/>
    </row>
    <row r="743" spans="1:25" ht="14.4" customHeight="1" thickBot="1" x14ac:dyDescent="0.3">
      <c r="A743" s="149"/>
      <c r="J743" s="130">
        <v>1</v>
      </c>
      <c r="K743" s="132">
        <f t="shared" si="66"/>
        <v>0</v>
      </c>
      <c r="M743" s="132">
        <v>1</v>
      </c>
      <c r="N743" s="132">
        <f t="shared" si="67"/>
        <v>0</v>
      </c>
      <c r="P743" s="132">
        <v>1</v>
      </c>
      <c r="Q743" s="132">
        <f t="shared" si="71"/>
        <v>0</v>
      </c>
      <c r="S743" s="132">
        <v>1</v>
      </c>
      <c r="T743" s="132">
        <f t="shared" si="68"/>
        <v>0</v>
      </c>
      <c r="V743" s="126">
        <f t="shared" si="69"/>
        <v>0</v>
      </c>
      <c r="W743" s="92">
        <f t="shared" si="70"/>
        <v>0</v>
      </c>
      <c r="Y743" s="210"/>
    </row>
    <row r="744" spans="1:25" ht="14.4" customHeight="1" thickBot="1" x14ac:dyDescent="0.3">
      <c r="A744" s="149"/>
      <c r="J744" s="130">
        <v>1</v>
      </c>
      <c r="K744" s="132">
        <f t="shared" si="66"/>
        <v>0</v>
      </c>
      <c r="M744" s="132">
        <v>1</v>
      </c>
      <c r="N744" s="132">
        <f t="shared" si="67"/>
        <v>0</v>
      </c>
      <c r="P744" s="132">
        <v>1</v>
      </c>
      <c r="Q744" s="132">
        <f t="shared" si="71"/>
        <v>0</v>
      </c>
      <c r="S744" s="132">
        <v>1</v>
      </c>
      <c r="T744" s="132">
        <f t="shared" si="68"/>
        <v>0</v>
      </c>
      <c r="V744" s="126">
        <f t="shared" si="69"/>
        <v>0</v>
      </c>
      <c r="W744" s="92">
        <f t="shared" si="70"/>
        <v>0</v>
      </c>
      <c r="Y744" s="210"/>
    </row>
    <row r="745" spans="1:25" ht="14.4" customHeight="1" thickBot="1" x14ac:dyDescent="0.3">
      <c r="A745" s="149"/>
      <c r="J745" s="130">
        <v>1</v>
      </c>
      <c r="K745" s="132">
        <f t="shared" si="66"/>
        <v>0</v>
      </c>
      <c r="M745" s="132">
        <v>1</v>
      </c>
      <c r="N745" s="132">
        <f t="shared" si="67"/>
        <v>0</v>
      </c>
      <c r="P745" s="132">
        <v>1</v>
      </c>
      <c r="Q745" s="132">
        <f t="shared" si="71"/>
        <v>0</v>
      </c>
      <c r="S745" s="132">
        <v>1</v>
      </c>
      <c r="T745" s="132">
        <f t="shared" si="68"/>
        <v>0</v>
      </c>
      <c r="V745" s="126">
        <f t="shared" si="69"/>
        <v>0</v>
      </c>
      <c r="W745" s="92">
        <f t="shared" si="70"/>
        <v>0</v>
      </c>
      <c r="Y745" s="210"/>
    </row>
    <row r="746" spans="1:25" ht="14.4" customHeight="1" thickBot="1" x14ac:dyDescent="0.3">
      <c r="A746" s="149"/>
      <c r="J746" s="130">
        <v>1</v>
      </c>
      <c r="K746" s="132">
        <f t="shared" si="66"/>
        <v>0</v>
      </c>
      <c r="M746" s="132">
        <v>1</v>
      </c>
      <c r="N746" s="132">
        <f t="shared" si="67"/>
        <v>0</v>
      </c>
      <c r="P746" s="132">
        <v>1</v>
      </c>
      <c r="Q746" s="132">
        <f t="shared" si="71"/>
        <v>0</v>
      </c>
      <c r="S746" s="132">
        <v>1</v>
      </c>
      <c r="T746" s="132">
        <f t="shared" si="68"/>
        <v>0</v>
      </c>
      <c r="V746" s="126">
        <f t="shared" si="69"/>
        <v>0</v>
      </c>
      <c r="W746" s="92">
        <f t="shared" si="70"/>
        <v>0</v>
      </c>
      <c r="Y746" s="210"/>
    </row>
    <row r="747" spans="1:25" ht="14.4" customHeight="1" thickBot="1" x14ac:dyDescent="0.3">
      <c r="A747" s="149"/>
      <c r="J747" s="130">
        <v>1</v>
      </c>
      <c r="K747" s="132">
        <f t="shared" si="66"/>
        <v>0</v>
      </c>
      <c r="M747" s="132">
        <v>1</v>
      </c>
      <c r="N747" s="132">
        <f t="shared" si="67"/>
        <v>0</v>
      </c>
      <c r="P747" s="132">
        <v>1</v>
      </c>
      <c r="Q747" s="132">
        <f t="shared" si="71"/>
        <v>0</v>
      </c>
      <c r="S747" s="132">
        <v>1</v>
      </c>
      <c r="T747" s="132">
        <f t="shared" si="68"/>
        <v>0</v>
      </c>
      <c r="V747" s="126">
        <f t="shared" si="69"/>
        <v>0</v>
      </c>
      <c r="W747" s="92">
        <f t="shared" si="70"/>
        <v>0</v>
      </c>
      <c r="Y747" s="210"/>
    </row>
    <row r="748" spans="1:25" ht="14.4" customHeight="1" thickBot="1" x14ac:dyDescent="0.3">
      <c r="A748" s="149"/>
      <c r="J748" s="130">
        <v>1</v>
      </c>
      <c r="K748" s="132">
        <f t="shared" si="66"/>
        <v>0</v>
      </c>
      <c r="M748" s="132">
        <v>1</v>
      </c>
      <c r="N748" s="132">
        <f t="shared" si="67"/>
        <v>0</v>
      </c>
      <c r="P748" s="132">
        <v>1</v>
      </c>
      <c r="Q748" s="132">
        <f t="shared" si="71"/>
        <v>0</v>
      </c>
      <c r="S748" s="132">
        <v>1</v>
      </c>
      <c r="T748" s="132">
        <f t="shared" si="68"/>
        <v>0</v>
      </c>
      <c r="V748" s="126">
        <f t="shared" si="69"/>
        <v>0</v>
      </c>
      <c r="W748" s="92">
        <f t="shared" si="70"/>
        <v>0</v>
      </c>
      <c r="Y748" s="210"/>
    </row>
    <row r="749" spans="1:25" ht="14.4" customHeight="1" thickBot="1" x14ac:dyDescent="0.3">
      <c r="A749" s="149"/>
      <c r="J749" s="130">
        <v>1</v>
      </c>
      <c r="K749" s="132">
        <f t="shared" si="66"/>
        <v>0</v>
      </c>
      <c r="M749" s="132">
        <v>1</v>
      </c>
      <c r="N749" s="132">
        <f t="shared" si="67"/>
        <v>0</v>
      </c>
      <c r="P749" s="132">
        <v>1</v>
      </c>
      <c r="Q749" s="132">
        <f t="shared" si="71"/>
        <v>0</v>
      </c>
      <c r="S749" s="132">
        <v>1</v>
      </c>
      <c r="T749" s="132">
        <f t="shared" si="68"/>
        <v>0</v>
      </c>
      <c r="V749" s="126">
        <f t="shared" si="69"/>
        <v>0</v>
      </c>
      <c r="W749" s="92">
        <f t="shared" si="70"/>
        <v>0</v>
      </c>
      <c r="Y749" s="210"/>
    </row>
    <row r="750" spans="1:25" ht="14.4" customHeight="1" thickBot="1" x14ac:dyDescent="0.3">
      <c r="A750" s="149"/>
      <c r="J750" s="130">
        <v>1</v>
      </c>
      <c r="K750" s="132">
        <f t="shared" si="66"/>
        <v>0</v>
      </c>
      <c r="M750" s="132">
        <v>1</v>
      </c>
      <c r="N750" s="132">
        <f t="shared" si="67"/>
        <v>0</v>
      </c>
      <c r="P750" s="132">
        <v>1</v>
      </c>
      <c r="Q750" s="132">
        <f t="shared" si="71"/>
        <v>0</v>
      </c>
      <c r="S750" s="132">
        <v>1</v>
      </c>
      <c r="T750" s="132">
        <f t="shared" si="68"/>
        <v>0</v>
      </c>
      <c r="V750" s="126">
        <f t="shared" si="69"/>
        <v>0</v>
      </c>
      <c r="W750" s="92">
        <f t="shared" si="70"/>
        <v>0</v>
      </c>
      <c r="Y750" s="210"/>
    </row>
    <row r="751" spans="1:25" ht="14.4" customHeight="1" thickBot="1" x14ac:dyDescent="0.3">
      <c r="A751" s="149"/>
      <c r="J751" s="130">
        <v>1</v>
      </c>
      <c r="K751" s="132">
        <f t="shared" si="66"/>
        <v>0</v>
      </c>
      <c r="M751" s="132">
        <v>1</v>
      </c>
      <c r="N751" s="132">
        <f t="shared" si="67"/>
        <v>0</v>
      </c>
      <c r="P751" s="132">
        <v>1</v>
      </c>
      <c r="Q751" s="132">
        <f t="shared" si="71"/>
        <v>0</v>
      </c>
      <c r="S751" s="132">
        <v>1</v>
      </c>
      <c r="T751" s="132">
        <f t="shared" si="68"/>
        <v>0</v>
      </c>
      <c r="V751" s="126">
        <f t="shared" si="69"/>
        <v>0</v>
      </c>
      <c r="W751" s="92">
        <f t="shared" si="70"/>
        <v>0</v>
      </c>
      <c r="Y751" s="210"/>
    </row>
    <row r="752" spans="1:25" ht="14.4" customHeight="1" thickBot="1" x14ac:dyDescent="0.3">
      <c r="A752" s="149"/>
      <c r="J752" s="130">
        <v>1</v>
      </c>
      <c r="K752" s="132">
        <f t="shared" si="66"/>
        <v>0</v>
      </c>
      <c r="M752" s="132">
        <v>1</v>
      </c>
      <c r="N752" s="132">
        <f t="shared" si="67"/>
        <v>0</v>
      </c>
      <c r="P752" s="132">
        <v>1</v>
      </c>
      <c r="Q752" s="132">
        <f t="shared" si="71"/>
        <v>0</v>
      </c>
      <c r="S752" s="132">
        <v>1</v>
      </c>
      <c r="T752" s="132">
        <f t="shared" si="68"/>
        <v>0</v>
      </c>
      <c r="V752" s="126">
        <f t="shared" si="69"/>
        <v>0</v>
      </c>
      <c r="W752" s="92">
        <f t="shared" si="70"/>
        <v>0</v>
      </c>
      <c r="Y752" s="210"/>
    </row>
    <row r="753" spans="1:25" ht="14.4" customHeight="1" thickBot="1" x14ac:dyDescent="0.3">
      <c r="A753" s="149"/>
      <c r="J753" s="130">
        <v>1</v>
      </c>
      <c r="K753" s="132">
        <f t="shared" si="66"/>
        <v>0</v>
      </c>
      <c r="M753" s="132">
        <v>1</v>
      </c>
      <c r="N753" s="132">
        <f t="shared" si="67"/>
        <v>0</v>
      </c>
      <c r="P753" s="132">
        <v>1</v>
      </c>
      <c r="Q753" s="132">
        <f t="shared" si="71"/>
        <v>0</v>
      </c>
      <c r="S753" s="132">
        <v>1</v>
      </c>
      <c r="T753" s="132">
        <f t="shared" si="68"/>
        <v>0</v>
      </c>
      <c r="V753" s="126">
        <f t="shared" si="69"/>
        <v>0</v>
      </c>
      <c r="W753" s="92">
        <f t="shared" si="70"/>
        <v>0</v>
      </c>
      <c r="Y753" s="210"/>
    </row>
    <row r="754" spans="1:25" ht="14.4" customHeight="1" thickBot="1" x14ac:dyDescent="0.3">
      <c r="A754" s="149"/>
      <c r="J754" s="130">
        <v>1</v>
      </c>
      <c r="K754" s="132">
        <f t="shared" si="66"/>
        <v>0</v>
      </c>
      <c r="M754" s="132">
        <v>1</v>
      </c>
      <c r="N754" s="132">
        <f t="shared" si="67"/>
        <v>0</v>
      </c>
      <c r="P754" s="132">
        <v>1</v>
      </c>
      <c r="Q754" s="132">
        <f t="shared" si="71"/>
        <v>0</v>
      </c>
      <c r="S754" s="132">
        <v>1</v>
      </c>
      <c r="T754" s="132">
        <f t="shared" si="68"/>
        <v>0</v>
      </c>
      <c r="V754" s="126">
        <f t="shared" si="69"/>
        <v>0</v>
      </c>
      <c r="W754" s="92">
        <f t="shared" si="70"/>
        <v>0</v>
      </c>
      <c r="Y754" s="210"/>
    </row>
    <row r="755" spans="1:25" ht="14.4" customHeight="1" thickBot="1" x14ac:dyDescent="0.3">
      <c r="A755" s="149"/>
      <c r="J755" s="130">
        <v>1</v>
      </c>
      <c r="K755" s="132">
        <f t="shared" si="66"/>
        <v>0</v>
      </c>
      <c r="M755" s="132">
        <v>1</v>
      </c>
      <c r="N755" s="132">
        <f t="shared" si="67"/>
        <v>0</v>
      </c>
      <c r="P755" s="132">
        <v>1</v>
      </c>
      <c r="Q755" s="132">
        <f t="shared" si="71"/>
        <v>0</v>
      </c>
      <c r="S755" s="132">
        <v>1</v>
      </c>
      <c r="T755" s="132">
        <f t="shared" si="68"/>
        <v>0</v>
      </c>
      <c r="V755" s="126">
        <f t="shared" si="69"/>
        <v>0</v>
      </c>
      <c r="W755" s="92">
        <f t="shared" si="70"/>
        <v>0</v>
      </c>
      <c r="Y755" s="210"/>
    </row>
    <row r="756" spans="1:25" ht="14.4" customHeight="1" thickBot="1" x14ac:dyDescent="0.3">
      <c r="A756" s="149"/>
      <c r="J756" s="130">
        <v>1</v>
      </c>
      <c r="K756" s="132">
        <f t="shared" si="66"/>
        <v>0</v>
      </c>
      <c r="M756" s="132">
        <v>1</v>
      </c>
      <c r="N756" s="132">
        <f t="shared" si="67"/>
        <v>0</v>
      </c>
      <c r="P756" s="132">
        <v>1</v>
      </c>
      <c r="Q756" s="132">
        <f t="shared" si="71"/>
        <v>0</v>
      </c>
      <c r="S756" s="132">
        <v>1</v>
      </c>
      <c r="T756" s="132">
        <f t="shared" si="68"/>
        <v>0</v>
      </c>
      <c r="V756" s="126">
        <f t="shared" si="69"/>
        <v>0</v>
      </c>
      <c r="W756" s="92">
        <f t="shared" si="70"/>
        <v>0</v>
      </c>
      <c r="Y756" s="210"/>
    </row>
    <row r="757" spans="1:25" ht="14.4" customHeight="1" thickBot="1" x14ac:dyDescent="0.3">
      <c r="A757" s="149"/>
      <c r="J757" s="130">
        <v>1</v>
      </c>
      <c r="K757" s="132">
        <f t="shared" si="66"/>
        <v>0</v>
      </c>
      <c r="M757" s="132">
        <v>1</v>
      </c>
      <c r="N757" s="132">
        <f t="shared" si="67"/>
        <v>0</v>
      </c>
      <c r="P757" s="132">
        <v>1</v>
      </c>
      <c r="Q757" s="132">
        <f t="shared" si="71"/>
        <v>0</v>
      </c>
      <c r="S757" s="132">
        <v>1</v>
      </c>
      <c r="T757" s="132">
        <f t="shared" si="68"/>
        <v>0</v>
      </c>
      <c r="V757" s="126">
        <f t="shared" si="69"/>
        <v>0</v>
      </c>
      <c r="W757" s="92">
        <f t="shared" si="70"/>
        <v>0</v>
      </c>
      <c r="Y757" s="210"/>
    </row>
    <row r="758" spans="1:25" ht="14.4" customHeight="1" thickBot="1" x14ac:dyDescent="0.3">
      <c r="A758" s="149"/>
      <c r="J758" s="130">
        <v>1</v>
      </c>
      <c r="K758" s="132">
        <f t="shared" si="66"/>
        <v>0</v>
      </c>
      <c r="M758" s="132">
        <v>1</v>
      </c>
      <c r="N758" s="132">
        <f t="shared" si="67"/>
        <v>0</v>
      </c>
      <c r="P758" s="132">
        <v>1</v>
      </c>
      <c r="Q758" s="132">
        <f t="shared" si="71"/>
        <v>0</v>
      </c>
      <c r="S758" s="132">
        <v>1</v>
      </c>
      <c r="T758" s="132">
        <f t="shared" si="68"/>
        <v>0</v>
      </c>
      <c r="V758" s="126">
        <f t="shared" si="69"/>
        <v>0</v>
      </c>
      <c r="W758" s="92">
        <f t="shared" si="70"/>
        <v>0</v>
      </c>
      <c r="Y758" s="210"/>
    </row>
    <row r="759" spans="1:25" ht="14.4" customHeight="1" thickBot="1" x14ac:dyDescent="0.3">
      <c r="A759" s="149"/>
      <c r="J759" s="130">
        <v>1</v>
      </c>
      <c r="K759" s="132">
        <f t="shared" si="66"/>
        <v>0</v>
      </c>
      <c r="M759" s="132">
        <v>1</v>
      </c>
      <c r="N759" s="132">
        <f t="shared" si="67"/>
        <v>0</v>
      </c>
      <c r="P759" s="132">
        <v>1</v>
      </c>
      <c r="Q759" s="132">
        <f t="shared" si="71"/>
        <v>0</v>
      </c>
      <c r="S759" s="132">
        <v>1</v>
      </c>
      <c r="T759" s="132">
        <f t="shared" si="68"/>
        <v>0</v>
      </c>
      <c r="V759" s="126">
        <f t="shared" si="69"/>
        <v>0</v>
      </c>
      <c r="W759" s="92">
        <f t="shared" si="70"/>
        <v>0</v>
      </c>
      <c r="Y759" s="210"/>
    </row>
    <row r="760" spans="1:25" ht="14.4" customHeight="1" thickBot="1" x14ac:dyDescent="0.3">
      <c r="A760" s="149"/>
      <c r="J760" s="130">
        <v>1</v>
      </c>
      <c r="K760" s="132">
        <f t="shared" si="66"/>
        <v>0</v>
      </c>
      <c r="M760" s="132">
        <v>1</v>
      </c>
      <c r="N760" s="132">
        <f t="shared" si="67"/>
        <v>0</v>
      </c>
      <c r="P760" s="132">
        <v>1</v>
      </c>
      <c r="Q760" s="132">
        <f t="shared" si="71"/>
        <v>0</v>
      </c>
      <c r="S760" s="132">
        <v>1</v>
      </c>
      <c r="T760" s="132">
        <f t="shared" si="68"/>
        <v>0</v>
      </c>
      <c r="V760" s="126">
        <f t="shared" si="69"/>
        <v>0</v>
      </c>
      <c r="W760" s="92">
        <f t="shared" si="70"/>
        <v>0</v>
      </c>
      <c r="Y760" s="210"/>
    </row>
    <row r="761" spans="1:25" ht="14.4" customHeight="1" thickBot="1" x14ac:dyDescent="0.3">
      <c r="A761" s="149"/>
      <c r="J761" s="130">
        <v>1</v>
      </c>
      <c r="K761" s="132">
        <f t="shared" si="66"/>
        <v>0</v>
      </c>
      <c r="M761" s="132">
        <v>1</v>
      </c>
      <c r="N761" s="132">
        <f t="shared" si="67"/>
        <v>0</v>
      </c>
      <c r="P761" s="132">
        <v>1</v>
      </c>
      <c r="Q761" s="132">
        <f t="shared" si="71"/>
        <v>0</v>
      </c>
      <c r="S761" s="132">
        <v>1</v>
      </c>
      <c r="T761" s="132">
        <f t="shared" si="68"/>
        <v>0</v>
      </c>
      <c r="V761" s="126">
        <f t="shared" si="69"/>
        <v>0</v>
      </c>
      <c r="W761" s="92">
        <f t="shared" si="70"/>
        <v>0</v>
      </c>
      <c r="Y761" s="210"/>
    </row>
    <row r="762" spans="1:25" ht="14.4" customHeight="1" thickBot="1" x14ac:dyDescent="0.3">
      <c r="A762" s="149"/>
      <c r="J762" s="130">
        <v>1</v>
      </c>
      <c r="K762" s="132">
        <f t="shared" si="66"/>
        <v>0</v>
      </c>
      <c r="M762" s="132">
        <v>1</v>
      </c>
      <c r="N762" s="132">
        <f t="shared" si="67"/>
        <v>0</v>
      </c>
      <c r="P762" s="132">
        <v>1</v>
      </c>
      <c r="Q762" s="132">
        <f t="shared" si="71"/>
        <v>0</v>
      </c>
      <c r="S762" s="132">
        <v>1</v>
      </c>
      <c r="T762" s="132">
        <f t="shared" si="68"/>
        <v>0</v>
      </c>
      <c r="V762" s="126">
        <f t="shared" si="69"/>
        <v>0</v>
      </c>
      <c r="W762" s="92">
        <f t="shared" si="70"/>
        <v>0</v>
      </c>
      <c r="Y762" s="210"/>
    </row>
    <row r="763" spans="1:25" ht="14.4" customHeight="1" thickBot="1" x14ac:dyDescent="0.3">
      <c r="A763" s="149"/>
      <c r="J763" s="130">
        <v>1</v>
      </c>
      <c r="K763" s="132">
        <f t="shared" si="66"/>
        <v>0</v>
      </c>
      <c r="M763" s="132">
        <v>1</v>
      </c>
      <c r="N763" s="132">
        <f t="shared" si="67"/>
        <v>0</v>
      </c>
      <c r="P763" s="132">
        <v>1</v>
      </c>
      <c r="Q763" s="132">
        <f t="shared" si="71"/>
        <v>0</v>
      </c>
      <c r="S763" s="132">
        <v>1</v>
      </c>
      <c r="T763" s="132">
        <f t="shared" si="68"/>
        <v>0</v>
      </c>
      <c r="V763" s="126">
        <f t="shared" si="69"/>
        <v>0</v>
      </c>
      <c r="W763" s="92">
        <f t="shared" si="70"/>
        <v>0</v>
      </c>
      <c r="Y763" s="210"/>
    </row>
    <row r="764" spans="1:25" ht="14.4" customHeight="1" thickBot="1" x14ac:dyDescent="0.3">
      <c r="A764" s="149"/>
      <c r="J764" s="130">
        <v>1</v>
      </c>
      <c r="K764" s="132">
        <f t="shared" si="66"/>
        <v>0</v>
      </c>
      <c r="M764" s="132">
        <v>1</v>
      </c>
      <c r="N764" s="132">
        <f t="shared" si="67"/>
        <v>0</v>
      </c>
      <c r="P764" s="132">
        <v>1</v>
      </c>
      <c r="Q764" s="132">
        <f t="shared" si="71"/>
        <v>0</v>
      </c>
      <c r="S764" s="132">
        <v>1</v>
      </c>
      <c r="T764" s="132">
        <f t="shared" si="68"/>
        <v>0</v>
      </c>
      <c r="V764" s="126">
        <f t="shared" si="69"/>
        <v>0</v>
      </c>
      <c r="W764" s="92">
        <f t="shared" si="70"/>
        <v>0</v>
      </c>
      <c r="Y764" s="210"/>
    </row>
    <row r="765" spans="1:25" ht="14.4" customHeight="1" thickBot="1" x14ac:dyDescent="0.3">
      <c r="A765" s="149"/>
      <c r="J765" s="130">
        <v>1</v>
      </c>
      <c r="K765" s="132">
        <f t="shared" si="66"/>
        <v>0</v>
      </c>
      <c r="M765" s="132">
        <v>1</v>
      </c>
      <c r="N765" s="132">
        <f t="shared" si="67"/>
        <v>0</v>
      </c>
      <c r="P765" s="132">
        <v>1</v>
      </c>
      <c r="Q765" s="132">
        <f t="shared" si="71"/>
        <v>0</v>
      </c>
      <c r="S765" s="132">
        <v>1</v>
      </c>
      <c r="T765" s="132">
        <f t="shared" si="68"/>
        <v>0</v>
      </c>
      <c r="V765" s="126">
        <f t="shared" si="69"/>
        <v>0</v>
      </c>
      <c r="W765" s="92">
        <f t="shared" si="70"/>
        <v>0</v>
      </c>
      <c r="Y765" s="210"/>
    </row>
    <row r="766" spans="1:25" ht="14.4" customHeight="1" thickBot="1" x14ac:dyDescent="0.3">
      <c r="A766" s="149"/>
      <c r="J766" s="130">
        <v>1</v>
      </c>
      <c r="K766" s="132">
        <f t="shared" si="66"/>
        <v>0</v>
      </c>
      <c r="M766" s="132">
        <v>1</v>
      </c>
      <c r="N766" s="132">
        <f t="shared" si="67"/>
        <v>0</v>
      </c>
      <c r="P766" s="132">
        <v>1</v>
      </c>
      <c r="Q766" s="132">
        <f t="shared" si="71"/>
        <v>0</v>
      </c>
      <c r="S766" s="132">
        <v>1</v>
      </c>
      <c r="T766" s="132">
        <f t="shared" si="68"/>
        <v>0</v>
      </c>
      <c r="V766" s="126">
        <f t="shared" si="69"/>
        <v>0</v>
      </c>
      <c r="W766" s="92">
        <f t="shared" si="70"/>
        <v>0</v>
      </c>
      <c r="Y766" s="210"/>
    </row>
    <row r="767" spans="1:25" ht="14.4" customHeight="1" thickBot="1" x14ac:dyDescent="0.3">
      <c r="A767" s="149"/>
      <c r="J767" s="130">
        <v>1</v>
      </c>
      <c r="K767" s="132">
        <f t="shared" si="66"/>
        <v>0</v>
      </c>
      <c r="M767" s="132">
        <v>1</v>
      </c>
      <c r="N767" s="132">
        <f t="shared" si="67"/>
        <v>0</v>
      </c>
      <c r="P767" s="132">
        <v>1</v>
      </c>
      <c r="Q767" s="132">
        <f t="shared" si="71"/>
        <v>0</v>
      </c>
      <c r="S767" s="132">
        <v>1</v>
      </c>
      <c r="T767" s="132">
        <f t="shared" si="68"/>
        <v>0</v>
      </c>
      <c r="V767" s="126">
        <f t="shared" si="69"/>
        <v>0</v>
      </c>
      <c r="W767" s="92">
        <f t="shared" si="70"/>
        <v>0</v>
      </c>
      <c r="Y767" s="210"/>
    </row>
    <row r="768" spans="1:25" ht="14.4" customHeight="1" thickBot="1" x14ac:dyDescent="0.3">
      <c r="A768" s="149"/>
      <c r="J768" s="130">
        <v>1</v>
      </c>
      <c r="K768" s="132">
        <f t="shared" si="66"/>
        <v>0</v>
      </c>
      <c r="M768" s="132">
        <v>1</v>
      </c>
      <c r="N768" s="132">
        <f t="shared" si="67"/>
        <v>0</v>
      </c>
      <c r="P768" s="132">
        <v>1</v>
      </c>
      <c r="Q768" s="132">
        <f t="shared" si="71"/>
        <v>0</v>
      </c>
      <c r="S768" s="132">
        <v>1</v>
      </c>
      <c r="T768" s="132">
        <f t="shared" si="68"/>
        <v>0</v>
      </c>
      <c r="V768" s="126">
        <f t="shared" si="69"/>
        <v>0</v>
      </c>
      <c r="W768" s="92">
        <f t="shared" si="70"/>
        <v>0</v>
      </c>
      <c r="Y768" s="210"/>
    </row>
    <row r="769" spans="1:25" ht="14.4" customHeight="1" thickBot="1" x14ac:dyDescent="0.3">
      <c r="A769" s="149"/>
      <c r="J769" s="130">
        <v>1</v>
      </c>
      <c r="K769" s="132">
        <f t="shared" si="66"/>
        <v>0</v>
      </c>
      <c r="M769" s="132">
        <v>1</v>
      </c>
      <c r="N769" s="132">
        <f t="shared" si="67"/>
        <v>0</v>
      </c>
      <c r="P769" s="132">
        <v>1</v>
      </c>
      <c r="Q769" s="132">
        <f t="shared" si="71"/>
        <v>0</v>
      </c>
      <c r="S769" s="132">
        <v>1</v>
      </c>
      <c r="T769" s="132">
        <f t="shared" si="68"/>
        <v>0</v>
      </c>
      <c r="V769" s="126">
        <f t="shared" si="69"/>
        <v>0</v>
      </c>
      <c r="W769" s="92">
        <f t="shared" si="70"/>
        <v>0</v>
      </c>
      <c r="Y769" s="210"/>
    </row>
    <row r="770" spans="1:25" ht="14.4" customHeight="1" thickBot="1" x14ac:dyDescent="0.3">
      <c r="A770" s="149"/>
      <c r="J770" s="130">
        <v>1</v>
      </c>
      <c r="K770" s="132">
        <f t="shared" ref="K770:K833" si="72">I770/J770</f>
        <v>0</v>
      </c>
      <c r="M770" s="132">
        <v>1</v>
      </c>
      <c r="N770" s="132">
        <f t="shared" ref="N770:N833" si="73">L770/M770</f>
        <v>0</v>
      </c>
      <c r="P770" s="132">
        <v>1</v>
      </c>
      <c r="Q770" s="132">
        <f t="shared" si="71"/>
        <v>0</v>
      </c>
      <c r="S770" s="132">
        <v>1</v>
      </c>
      <c r="T770" s="132">
        <f t="shared" ref="T770:T833" si="74">R770/S770</f>
        <v>0</v>
      </c>
      <c r="V770" s="126">
        <f t="shared" ref="V770:V833" si="75">D770+E770-G770-I770/J770-L770/M770-O770/P770-R770/S770</f>
        <v>0</v>
      </c>
      <c r="W770" s="92">
        <f t="shared" ref="W770:W833" si="76">G770+I770/J770+L770/M770+O770/P770+R770/S770</f>
        <v>0</v>
      </c>
      <c r="Y770" s="210"/>
    </row>
    <row r="771" spans="1:25" ht="14.4" customHeight="1" thickBot="1" x14ac:dyDescent="0.3">
      <c r="A771" s="149"/>
      <c r="J771" s="130">
        <v>1</v>
      </c>
      <c r="K771" s="132">
        <f t="shared" si="72"/>
        <v>0</v>
      </c>
      <c r="M771" s="132">
        <v>1</v>
      </c>
      <c r="N771" s="132">
        <f t="shared" si="73"/>
        <v>0</v>
      </c>
      <c r="P771" s="132">
        <v>1</v>
      </c>
      <c r="Q771" s="132">
        <f t="shared" ref="Q771:Q834" si="77">O771/P771</f>
        <v>0</v>
      </c>
      <c r="S771" s="132">
        <v>1</v>
      </c>
      <c r="T771" s="132">
        <f t="shared" si="74"/>
        <v>0</v>
      </c>
      <c r="V771" s="126">
        <f t="shared" si="75"/>
        <v>0</v>
      </c>
      <c r="W771" s="92">
        <f t="shared" si="76"/>
        <v>0</v>
      </c>
      <c r="Y771" s="210"/>
    </row>
    <row r="772" spans="1:25" ht="14.4" customHeight="1" thickBot="1" x14ac:dyDescent="0.3">
      <c r="A772" s="149"/>
      <c r="J772" s="130">
        <v>1</v>
      </c>
      <c r="K772" s="132">
        <f t="shared" si="72"/>
        <v>0</v>
      </c>
      <c r="M772" s="132">
        <v>1</v>
      </c>
      <c r="N772" s="132">
        <f t="shared" si="73"/>
        <v>0</v>
      </c>
      <c r="P772" s="132">
        <v>1</v>
      </c>
      <c r="Q772" s="132">
        <f t="shared" si="77"/>
        <v>0</v>
      </c>
      <c r="S772" s="132">
        <v>1</v>
      </c>
      <c r="T772" s="132">
        <f t="shared" si="74"/>
        <v>0</v>
      </c>
      <c r="V772" s="126">
        <f t="shared" si="75"/>
        <v>0</v>
      </c>
      <c r="W772" s="92">
        <f t="shared" si="76"/>
        <v>0</v>
      </c>
      <c r="Y772" s="210"/>
    </row>
    <row r="773" spans="1:25" ht="14.4" customHeight="1" thickBot="1" x14ac:dyDescent="0.3">
      <c r="A773" s="149"/>
      <c r="J773" s="130">
        <v>1</v>
      </c>
      <c r="K773" s="132">
        <f t="shared" si="72"/>
        <v>0</v>
      </c>
      <c r="M773" s="132">
        <v>1</v>
      </c>
      <c r="N773" s="132">
        <f t="shared" si="73"/>
        <v>0</v>
      </c>
      <c r="P773" s="132">
        <v>1</v>
      </c>
      <c r="Q773" s="132">
        <f t="shared" si="77"/>
        <v>0</v>
      </c>
      <c r="S773" s="132">
        <v>1</v>
      </c>
      <c r="T773" s="132">
        <f t="shared" si="74"/>
        <v>0</v>
      </c>
      <c r="V773" s="126">
        <f t="shared" si="75"/>
        <v>0</v>
      </c>
      <c r="W773" s="92">
        <f t="shared" si="76"/>
        <v>0</v>
      </c>
      <c r="Y773" s="210"/>
    </row>
    <row r="774" spans="1:25" ht="14.4" customHeight="1" thickBot="1" x14ac:dyDescent="0.3">
      <c r="A774" s="149"/>
      <c r="J774" s="130">
        <v>1</v>
      </c>
      <c r="K774" s="132">
        <f t="shared" si="72"/>
        <v>0</v>
      </c>
      <c r="M774" s="132">
        <v>1</v>
      </c>
      <c r="N774" s="132">
        <f t="shared" si="73"/>
        <v>0</v>
      </c>
      <c r="P774" s="132">
        <v>1</v>
      </c>
      <c r="Q774" s="132">
        <f t="shared" si="77"/>
        <v>0</v>
      </c>
      <c r="S774" s="132">
        <v>1</v>
      </c>
      <c r="T774" s="132">
        <f t="shared" si="74"/>
        <v>0</v>
      </c>
      <c r="V774" s="126">
        <f t="shared" si="75"/>
        <v>0</v>
      </c>
      <c r="W774" s="92">
        <f t="shared" si="76"/>
        <v>0</v>
      </c>
      <c r="Y774" s="210"/>
    </row>
    <row r="775" spans="1:25" ht="14.4" customHeight="1" thickBot="1" x14ac:dyDescent="0.3">
      <c r="A775" s="149"/>
      <c r="J775" s="130">
        <v>1</v>
      </c>
      <c r="K775" s="132">
        <f t="shared" si="72"/>
        <v>0</v>
      </c>
      <c r="M775" s="132">
        <v>1</v>
      </c>
      <c r="N775" s="132">
        <f t="shared" si="73"/>
        <v>0</v>
      </c>
      <c r="P775" s="132">
        <v>1</v>
      </c>
      <c r="Q775" s="132">
        <f t="shared" si="77"/>
        <v>0</v>
      </c>
      <c r="S775" s="132">
        <v>1</v>
      </c>
      <c r="T775" s="132">
        <f t="shared" si="74"/>
        <v>0</v>
      </c>
      <c r="V775" s="126">
        <f t="shared" si="75"/>
        <v>0</v>
      </c>
      <c r="W775" s="92">
        <f t="shared" si="76"/>
        <v>0</v>
      </c>
      <c r="Y775" s="210"/>
    </row>
    <row r="776" spans="1:25" ht="14.4" customHeight="1" thickBot="1" x14ac:dyDescent="0.3">
      <c r="A776" s="149"/>
      <c r="J776" s="130">
        <v>1</v>
      </c>
      <c r="K776" s="132">
        <f t="shared" si="72"/>
        <v>0</v>
      </c>
      <c r="M776" s="132">
        <v>1</v>
      </c>
      <c r="N776" s="132">
        <f t="shared" si="73"/>
        <v>0</v>
      </c>
      <c r="P776" s="132">
        <v>1</v>
      </c>
      <c r="Q776" s="132">
        <f t="shared" si="77"/>
        <v>0</v>
      </c>
      <c r="S776" s="132">
        <v>1</v>
      </c>
      <c r="T776" s="132">
        <f t="shared" si="74"/>
        <v>0</v>
      </c>
      <c r="V776" s="126">
        <f t="shared" si="75"/>
        <v>0</v>
      </c>
      <c r="W776" s="92">
        <f t="shared" si="76"/>
        <v>0</v>
      </c>
      <c r="Y776" s="210"/>
    </row>
    <row r="777" spans="1:25" ht="14.4" customHeight="1" thickBot="1" x14ac:dyDescent="0.3">
      <c r="A777" s="149"/>
      <c r="J777" s="130">
        <v>1</v>
      </c>
      <c r="K777" s="132">
        <f t="shared" si="72"/>
        <v>0</v>
      </c>
      <c r="M777" s="132">
        <v>1</v>
      </c>
      <c r="N777" s="132">
        <f t="shared" si="73"/>
        <v>0</v>
      </c>
      <c r="P777" s="132">
        <v>1</v>
      </c>
      <c r="Q777" s="132">
        <f t="shared" si="77"/>
        <v>0</v>
      </c>
      <c r="S777" s="132">
        <v>1</v>
      </c>
      <c r="T777" s="132">
        <f t="shared" si="74"/>
        <v>0</v>
      </c>
      <c r="V777" s="126">
        <f t="shared" si="75"/>
        <v>0</v>
      </c>
      <c r="W777" s="92">
        <f t="shared" si="76"/>
        <v>0</v>
      </c>
      <c r="Y777" s="210"/>
    </row>
    <row r="778" spans="1:25" ht="14.4" customHeight="1" thickBot="1" x14ac:dyDescent="0.3">
      <c r="A778" s="149"/>
      <c r="J778" s="130">
        <v>1</v>
      </c>
      <c r="K778" s="132">
        <f t="shared" si="72"/>
        <v>0</v>
      </c>
      <c r="M778" s="132">
        <v>1</v>
      </c>
      <c r="N778" s="132">
        <f t="shared" si="73"/>
        <v>0</v>
      </c>
      <c r="P778" s="132">
        <v>1</v>
      </c>
      <c r="Q778" s="132">
        <f t="shared" si="77"/>
        <v>0</v>
      </c>
      <c r="S778" s="132">
        <v>1</v>
      </c>
      <c r="T778" s="132">
        <f t="shared" si="74"/>
        <v>0</v>
      </c>
      <c r="V778" s="126">
        <f t="shared" si="75"/>
        <v>0</v>
      </c>
      <c r="W778" s="92">
        <f t="shared" si="76"/>
        <v>0</v>
      </c>
      <c r="Y778" s="210"/>
    </row>
    <row r="779" spans="1:25" ht="14.4" customHeight="1" thickBot="1" x14ac:dyDescent="0.3">
      <c r="A779" s="149"/>
      <c r="J779" s="130">
        <v>1</v>
      </c>
      <c r="K779" s="132">
        <f t="shared" si="72"/>
        <v>0</v>
      </c>
      <c r="M779" s="132">
        <v>1</v>
      </c>
      <c r="N779" s="132">
        <f t="shared" si="73"/>
        <v>0</v>
      </c>
      <c r="P779" s="132">
        <v>1</v>
      </c>
      <c r="Q779" s="132">
        <f t="shared" si="77"/>
        <v>0</v>
      </c>
      <c r="S779" s="132">
        <v>1</v>
      </c>
      <c r="T779" s="132">
        <f t="shared" si="74"/>
        <v>0</v>
      </c>
      <c r="V779" s="126">
        <f t="shared" si="75"/>
        <v>0</v>
      </c>
      <c r="W779" s="92">
        <f t="shared" si="76"/>
        <v>0</v>
      </c>
      <c r="Y779" s="210"/>
    </row>
    <row r="780" spans="1:25" ht="14.4" customHeight="1" thickBot="1" x14ac:dyDescent="0.3">
      <c r="A780" s="149"/>
      <c r="J780" s="130">
        <v>1</v>
      </c>
      <c r="K780" s="132">
        <f t="shared" si="72"/>
        <v>0</v>
      </c>
      <c r="M780" s="132">
        <v>1</v>
      </c>
      <c r="N780" s="132">
        <f t="shared" si="73"/>
        <v>0</v>
      </c>
      <c r="P780" s="132">
        <v>1</v>
      </c>
      <c r="Q780" s="132">
        <f t="shared" si="77"/>
        <v>0</v>
      </c>
      <c r="S780" s="132">
        <v>1</v>
      </c>
      <c r="T780" s="132">
        <f t="shared" si="74"/>
        <v>0</v>
      </c>
      <c r="V780" s="126">
        <f t="shared" si="75"/>
        <v>0</v>
      </c>
      <c r="W780" s="92">
        <f t="shared" si="76"/>
        <v>0</v>
      </c>
      <c r="Y780" s="210"/>
    </row>
    <row r="781" spans="1:25" ht="14.4" customHeight="1" thickBot="1" x14ac:dyDescent="0.3">
      <c r="A781" s="149"/>
      <c r="J781" s="130">
        <v>1</v>
      </c>
      <c r="K781" s="132">
        <f t="shared" si="72"/>
        <v>0</v>
      </c>
      <c r="M781" s="132">
        <v>1</v>
      </c>
      <c r="N781" s="132">
        <f t="shared" si="73"/>
        <v>0</v>
      </c>
      <c r="P781" s="132">
        <v>1</v>
      </c>
      <c r="Q781" s="132">
        <f t="shared" si="77"/>
        <v>0</v>
      </c>
      <c r="S781" s="132">
        <v>1</v>
      </c>
      <c r="T781" s="132">
        <f t="shared" si="74"/>
        <v>0</v>
      </c>
      <c r="V781" s="126">
        <f t="shared" si="75"/>
        <v>0</v>
      </c>
      <c r="W781" s="92">
        <f t="shared" si="76"/>
        <v>0</v>
      </c>
      <c r="Y781" s="210"/>
    </row>
    <row r="782" spans="1:25" ht="14.4" customHeight="1" thickBot="1" x14ac:dyDescent="0.3">
      <c r="A782" s="149"/>
      <c r="J782" s="130">
        <v>1</v>
      </c>
      <c r="K782" s="132">
        <f t="shared" si="72"/>
        <v>0</v>
      </c>
      <c r="M782" s="132">
        <v>1</v>
      </c>
      <c r="N782" s="132">
        <f t="shared" si="73"/>
        <v>0</v>
      </c>
      <c r="P782" s="132">
        <v>1</v>
      </c>
      <c r="Q782" s="132">
        <f t="shared" si="77"/>
        <v>0</v>
      </c>
      <c r="S782" s="132">
        <v>1</v>
      </c>
      <c r="T782" s="132">
        <f t="shared" si="74"/>
        <v>0</v>
      </c>
      <c r="V782" s="126">
        <f t="shared" si="75"/>
        <v>0</v>
      </c>
      <c r="W782" s="92">
        <f t="shared" si="76"/>
        <v>0</v>
      </c>
      <c r="Y782" s="210"/>
    </row>
    <row r="783" spans="1:25" ht="14.4" customHeight="1" thickBot="1" x14ac:dyDescent="0.3">
      <c r="A783" s="149"/>
      <c r="J783" s="130">
        <v>1</v>
      </c>
      <c r="K783" s="132">
        <f t="shared" si="72"/>
        <v>0</v>
      </c>
      <c r="M783" s="132">
        <v>1</v>
      </c>
      <c r="N783" s="132">
        <f t="shared" si="73"/>
        <v>0</v>
      </c>
      <c r="P783" s="132">
        <v>1</v>
      </c>
      <c r="Q783" s="132">
        <f t="shared" si="77"/>
        <v>0</v>
      </c>
      <c r="S783" s="132">
        <v>1</v>
      </c>
      <c r="T783" s="132">
        <f t="shared" si="74"/>
        <v>0</v>
      </c>
      <c r="V783" s="126">
        <f t="shared" si="75"/>
        <v>0</v>
      </c>
      <c r="W783" s="92">
        <f t="shared" si="76"/>
        <v>0</v>
      </c>
      <c r="Y783" s="210"/>
    </row>
    <row r="784" spans="1:25" ht="14.4" customHeight="1" thickBot="1" x14ac:dyDescent="0.3">
      <c r="A784" s="149"/>
      <c r="J784" s="130">
        <v>1</v>
      </c>
      <c r="K784" s="132">
        <f t="shared" si="72"/>
        <v>0</v>
      </c>
      <c r="M784" s="132">
        <v>1</v>
      </c>
      <c r="N784" s="132">
        <f t="shared" si="73"/>
        <v>0</v>
      </c>
      <c r="P784" s="132">
        <v>1</v>
      </c>
      <c r="Q784" s="132">
        <f t="shared" si="77"/>
        <v>0</v>
      </c>
      <c r="S784" s="132">
        <v>1</v>
      </c>
      <c r="T784" s="132">
        <f t="shared" si="74"/>
        <v>0</v>
      </c>
      <c r="V784" s="126">
        <f t="shared" si="75"/>
        <v>0</v>
      </c>
      <c r="W784" s="92">
        <f t="shared" si="76"/>
        <v>0</v>
      </c>
      <c r="Y784" s="210"/>
    </row>
    <row r="785" spans="1:25" ht="14.4" customHeight="1" thickBot="1" x14ac:dyDescent="0.3">
      <c r="A785" s="149"/>
      <c r="J785" s="130">
        <v>1</v>
      </c>
      <c r="K785" s="132">
        <f t="shared" si="72"/>
        <v>0</v>
      </c>
      <c r="M785" s="132">
        <v>1</v>
      </c>
      <c r="N785" s="132">
        <f t="shared" si="73"/>
        <v>0</v>
      </c>
      <c r="P785" s="132">
        <v>1</v>
      </c>
      <c r="Q785" s="132">
        <f t="shared" si="77"/>
        <v>0</v>
      </c>
      <c r="S785" s="132">
        <v>1</v>
      </c>
      <c r="T785" s="132">
        <f t="shared" si="74"/>
        <v>0</v>
      </c>
      <c r="V785" s="126">
        <f t="shared" si="75"/>
        <v>0</v>
      </c>
      <c r="W785" s="92">
        <f t="shared" si="76"/>
        <v>0</v>
      </c>
      <c r="Y785" s="210"/>
    </row>
    <row r="786" spans="1:25" ht="14.4" customHeight="1" thickBot="1" x14ac:dyDescent="0.3">
      <c r="A786" s="149"/>
      <c r="J786" s="130">
        <v>1</v>
      </c>
      <c r="K786" s="132">
        <f t="shared" si="72"/>
        <v>0</v>
      </c>
      <c r="M786" s="132">
        <v>1</v>
      </c>
      <c r="N786" s="132">
        <f t="shared" si="73"/>
        <v>0</v>
      </c>
      <c r="P786" s="132">
        <v>1</v>
      </c>
      <c r="Q786" s="132">
        <f t="shared" si="77"/>
        <v>0</v>
      </c>
      <c r="S786" s="132">
        <v>1</v>
      </c>
      <c r="T786" s="132">
        <f t="shared" si="74"/>
        <v>0</v>
      </c>
      <c r="V786" s="126">
        <f t="shared" si="75"/>
        <v>0</v>
      </c>
      <c r="W786" s="92">
        <f t="shared" si="76"/>
        <v>0</v>
      </c>
      <c r="Y786" s="210"/>
    </row>
    <row r="787" spans="1:25" ht="14.4" customHeight="1" thickBot="1" x14ac:dyDescent="0.3">
      <c r="A787" s="149"/>
      <c r="J787" s="130">
        <v>1</v>
      </c>
      <c r="K787" s="132">
        <f t="shared" si="72"/>
        <v>0</v>
      </c>
      <c r="M787" s="132">
        <v>1</v>
      </c>
      <c r="N787" s="132">
        <f t="shared" si="73"/>
        <v>0</v>
      </c>
      <c r="P787" s="132">
        <v>1</v>
      </c>
      <c r="Q787" s="132">
        <f t="shared" si="77"/>
        <v>0</v>
      </c>
      <c r="S787" s="132">
        <v>1</v>
      </c>
      <c r="T787" s="132">
        <f t="shared" si="74"/>
        <v>0</v>
      </c>
      <c r="V787" s="126">
        <f t="shared" si="75"/>
        <v>0</v>
      </c>
      <c r="W787" s="92">
        <f t="shared" si="76"/>
        <v>0</v>
      </c>
      <c r="Y787" s="210"/>
    </row>
    <row r="788" spans="1:25" ht="14.4" customHeight="1" thickBot="1" x14ac:dyDescent="0.3">
      <c r="A788" s="149"/>
      <c r="J788" s="130">
        <v>1</v>
      </c>
      <c r="K788" s="132">
        <f t="shared" si="72"/>
        <v>0</v>
      </c>
      <c r="M788" s="132">
        <v>1</v>
      </c>
      <c r="N788" s="132">
        <f t="shared" si="73"/>
        <v>0</v>
      </c>
      <c r="P788" s="132">
        <v>1</v>
      </c>
      <c r="Q788" s="132">
        <f t="shared" si="77"/>
        <v>0</v>
      </c>
      <c r="S788" s="132">
        <v>1</v>
      </c>
      <c r="T788" s="132">
        <f t="shared" si="74"/>
        <v>0</v>
      </c>
      <c r="V788" s="126">
        <f t="shared" si="75"/>
        <v>0</v>
      </c>
      <c r="W788" s="92">
        <f t="shared" si="76"/>
        <v>0</v>
      </c>
      <c r="Y788" s="210"/>
    </row>
    <row r="789" spans="1:25" ht="14.4" customHeight="1" thickBot="1" x14ac:dyDescent="0.3">
      <c r="A789" s="149"/>
      <c r="J789" s="130">
        <v>1</v>
      </c>
      <c r="K789" s="132">
        <f t="shared" si="72"/>
        <v>0</v>
      </c>
      <c r="M789" s="132">
        <v>1</v>
      </c>
      <c r="N789" s="132">
        <f t="shared" si="73"/>
        <v>0</v>
      </c>
      <c r="P789" s="132">
        <v>1</v>
      </c>
      <c r="Q789" s="132">
        <f t="shared" si="77"/>
        <v>0</v>
      </c>
      <c r="S789" s="132">
        <v>1</v>
      </c>
      <c r="T789" s="132">
        <f t="shared" si="74"/>
        <v>0</v>
      </c>
      <c r="V789" s="126">
        <f t="shared" si="75"/>
        <v>0</v>
      </c>
      <c r="W789" s="92">
        <f t="shared" si="76"/>
        <v>0</v>
      </c>
      <c r="Y789" s="210"/>
    </row>
    <row r="790" spans="1:25" ht="14.4" customHeight="1" thickBot="1" x14ac:dyDescent="0.3">
      <c r="A790" s="149"/>
      <c r="J790" s="130">
        <v>1</v>
      </c>
      <c r="K790" s="132">
        <f t="shared" si="72"/>
        <v>0</v>
      </c>
      <c r="M790" s="132">
        <v>1</v>
      </c>
      <c r="N790" s="132">
        <f t="shared" si="73"/>
        <v>0</v>
      </c>
      <c r="P790" s="132">
        <v>1</v>
      </c>
      <c r="Q790" s="132">
        <f t="shared" si="77"/>
        <v>0</v>
      </c>
      <c r="S790" s="132">
        <v>1</v>
      </c>
      <c r="T790" s="132">
        <f t="shared" si="74"/>
        <v>0</v>
      </c>
      <c r="V790" s="126">
        <f t="shared" si="75"/>
        <v>0</v>
      </c>
      <c r="W790" s="92">
        <f t="shared" si="76"/>
        <v>0</v>
      </c>
      <c r="Y790" s="210"/>
    </row>
    <row r="791" spans="1:25" ht="14.4" customHeight="1" thickBot="1" x14ac:dyDescent="0.3">
      <c r="A791" s="149"/>
      <c r="J791" s="130">
        <v>1</v>
      </c>
      <c r="K791" s="132">
        <f t="shared" si="72"/>
        <v>0</v>
      </c>
      <c r="M791" s="132">
        <v>1</v>
      </c>
      <c r="N791" s="132">
        <f t="shared" si="73"/>
        <v>0</v>
      </c>
      <c r="P791" s="132">
        <v>1</v>
      </c>
      <c r="Q791" s="132">
        <f t="shared" si="77"/>
        <v>0</v>
      </c>
      <c r="S791" s="132">
        <v>1</v>
      </c>
      <c r="T791" s="132">
        <f t="shared" si="74"/>
        <v>0</v>
      </c>
      <c r="V791" s="126">
        <f t="shared" si="75"/>
        <v>0</v>
      </c>
      <c r="W791" s="92">
        <f t="shared" si="76"/>
        <v>0</v>
      </c>
      <c r="Y791" s="210"/>
    </row>
    <row r="792" spans="1:25" ht="14.4" customHeight="1" thickBot="1" x14ac:dyDescent="0.3">
      <c r="A792" s="149"/>
      <c r="J792" s="130">
        <v>1</v>
      </c>
      <c r="K792" s="132">
        <f t="shared" si="72"/>
        <v>0</v>
      </c>
      <c r="M792" s="132">
        <v>1</v>
      </c>
      <c r="N792" s="132">
        <f t="shared" si="73"/>
        <v>0</v>
      </c>
      <c r="P792" s="132">
        <v>1</v>
      </c>
      <c r="Q792" s="132">
        <f t="shared" si="77"/>
        <v>0</v>
      </c>
      <c r="S792" s="132">
        <v>1</v>
      </c>
      <c r="T792" s="132">
        <f t="shared" si="74"/>
        <v>0</v>
      </c>
      <c r="V792" s="126">
        <f t="shared" si="75"/>
        <v>0</v>
      </c>
      <c r="W792" s="92">
        <f t="shared" si="76"/>
        <v>0</v>
      </c>
      <c r="Y792" s="210"/>
    </row>
    <row r="793" spans="1:25" ht="14.4" customHeight="1" thickBot="1" x14ac:dyDescent="0.3">
      <c r="A793" s="149"/>
      <c r="J793" s="130">
        <v>1</v>
      </c>
      <c r="K793" s="132">
        <f t="shared" si="72"/>
        <v>0</v>
      </c>
      <c r="M793" s="132">
        <v>1</v>
      </c>
      <c r="N793" s="132">
        <f t="shared" si="73"/>
        <v>0</v>
      </c>
      <c r="P793" s="132">
        <v>1</v>
      </c>
      <c r="Q793" s="132">
        <f t="shared" si="77"/>
        <v>0</v>
      </c>
      <c r="S793" s="132">
        <v>1</v>
      </c>
      <c r="T793" s="132">
        <f t="shared" si="74"/>
        <v>0</v>
      </c>
      <c r="V793" s="126">
        <f t="shared" si="75"/>
        <v>0</v>
      </c>
      <c r="W793" s="92">
        <f t="shared" si="76"/>
        <v>0</v>
      </c>
      <c r="Y793" s="210"/>
    </row>
    <row r="794" spans="1:25" ht="14.4" customHeight="1" thickBot="1" x14ac:dyDescent="0.3">
      <c r="A794" s="149"/>
      <c r="J794" s="130">
        <v>1</v>
      </c>
      <c r="K794" s="132">
        <f t="shared" si="72"/>
        <v>0</v>
      </c>
      <c r="M794" s="132">
        <v>1</v>
      </c>
      <c r="N794" s="132">
        <f t="shared" si="73"/>
        <v>0</v>
      </c>
      <c r="P794" s="132">
        <v>1</v>
      </c>
      <c r="Q794" s="132">
        <f t="shared" si="77"/>
        <v>0</v>
      </c>
      <c r="S794" s="132">
        <v>1</v>
      </c>
      <c r="T794" s="132">
        <f t="shared" si="74"/>
        <v>0</v>
      </c>
      <c r="V794" s="126">
        <f t="shared" si="75"/>
        <v>0</v>
      </c>
      <c r="W794" s="92">
        <f t="shared" si="76"/>
        <v>0</v>
      </c>
      <c r="Y794" s="210"/>
    </row>
    <row r="795" spans="1:25" ht="14.4" customHeight="1" thickBot="1" x14ac:dyDescent="0.3">
      <c r="A795" s="149"/>
      <c r="J795" s="130">
        <v>1</v>
      </c>
      <c r="K795" s="132">
        <f t="shared" si="72"/>
        <v>0</v>
      </c>
      <c r="M795" s="132">
        <v>1</v>
      </c>
      <c r="N795" s="132">
        <f t="shared" si="73"/>
        <v>0</v>
      </c>
      <c r="P795" s="132">
        <v>1</v>
      </c>
      <c r="Q795" s="132">
        <f t="shared" si="77"/>
        <v>0</v>
      </c>
      <c r="S795" s="132">
        <v>1</v>
      </c>
      <c r="T795" s="132">
        <f t="shared" si="74"/>
        <v>0</v>
      </c>
      <c r="V795" s="126">
        <f t="shared" si="75"/>
        <v>0</v>
      </c>
      <c r="W795" s="92">
        <f t="shared" si="76"/>
        <v>0</v>
      </c>
      <c r="Y795" s="210"/>
    </row>
    <row r="796" spans="1:25" ht="14.4" customHeight="1" thickBot="1" x14ac:dyDescent="0.3">
      <c r="A796" s="149"/>
      <c r="J796" s="130">
        <v>1</v>
      </c>
      <c r="K796" s="132">
        <f t="shared" si="72"/>
        <v>0</v>
      </c>
      <c r="M796" s="132">
        <v>1</v>
      </c>
      <c r="N796" s="132">
        <f t="shared" si="73"/>
        <v>0</v>
      </c>
      <c r="P796" s="132">
        <v>1</v>
      </c>
      <c r="Q796" s="132">
        <f t="shared" si="77"/>
        <v>0</v>
      </c>
      <c r="S796" s="132">
        <v>1</v>
      </c>
      <c r="T796" s="132">
        <f t="shared" si="74"/>
        <v>0</v>
      </c>
      <c r="V796" s="126">
        <f t="shared" si="75"/>
        <v>0</v>
      </c>
      <c r="W796" s="92">
        <f t="shared" si="76"/>
        <v>0</v>
      </c>
      <c r="Y796" s="210"/>
    </row>
    <row r="797" spans="1:25" ht="14.4" customHeight="1" thickBot="1" x14ac:dyDescent="0.3">
      <c r="A797" s="149"/>
      <c r="J797" s="130">
        <v>1</v>
      </c>
      <c r="K797" s="132">
        <f t="shared" si="72"/>
        <v>0</v>
      </c>
      <c r="M797" s="132">
        <v>1</v>
      </c>
      <c r="N797" s="132">
        <f t="shared" si="73"/>
        <v>0</v>
      </c>
      <c r="P797" s="132">
        <v>1</v>
      </c>
      <c r="Q797" s="132">
        <f t="shared" si="77"/>
        <v>0</v>
      </c>
      <c r="S797" s="132">
        <v>1</v>
      </c>
      <c r="T797" s="132">
        <f t="shared" si="74"/>
        <v>0</v>
      </c>
      <c r="V797" s="126">
        <f t="shared" si="75"/>
        <v>0</v>
      </c>
      <c r="W797" s="92">
        <f t="shared" si="76"/>
        <v>0</v>
      </c>
      <c r="Y797" s="210"/>
    </row>
    <row r="798" spans="1:25" ht="14.4" customHeight="1" thickBot="1" x14ac:dyDescent="0.3">
      <c r="A798" s="149"/>
      <c r="J798" s="130">
        <v>1</v>
      </c>
      <c r="K798" s="132">
        <f t="shared" si="72"/>
        <v>0</v>
      </c>
      <c r="M798" s="132">
        <v>1</v>
      </c>
      <c r="N798" s="132">
        <f t="shared" si="73"/>
        <v>0</v>
      </c>
      <c r="P798" s="132">
        <v>1</v>
      </c>
      <c r="Q798" s="132">
        <f t="shared" si="77"/>
        <v>0</v>
      </c>
      <c r="S798" s="132">
        <v>1</v>
      </c>
      <c r="T798" s="132">
        <f t="shared" si="74"/>
        <v>0</v>
      </c>
      <c r="V798" s="126">
        <f t="shared" si="75"/>
        <v>0</v>
      </c>
      <c r="W798" s="92">
        <f t="shared" si="76"/>
        <v>0</v>
      </c>
      <c r="Y798" s="210"/>
    </row>
    <row r="799" spans="1:25" ht="14.4" customHeight="1" thickBot="1" x14ac:dyDescent="0.3">
      <c r="A799" s="149"/>
      <c r="J799" s="130">
        <v>1</v>
      </c>
      <c r="K799" s="132">
        <f t="shared" si="72"/>
        <v>0</v>
      </c>
      <c r="M799" s="132">
        <v>1</v>
      </c>
      <c r="N799" s="132">
        <f t="shared" si="73"/>
        <v>0</v>
      </c>
      <c r="P799" s="132">
        <v>1</v>
      </c>
      <c r="Q799" s="132">
        <f t="shared" si="77"/>
        <v>0</v>
      </c>
      <c r="S799" s="132">
        <v>1</v>
      </c>
      <c r="T799" s="132">
        <f t="shared" si="74"/>
        <v>0</v>
      </c>
      <c r="V799" s="126">
        <f t="shared" si="75"/>
        <v>0</v>
      </c>
      <c r="W799" s="92">
        <f t="shared" si="76"/>
        <v>0</v>
      </c>
      <c r="Y799" s="210"/>
    </row>
    <row r="800" spans="1:25" ht="14.4" customHeight="1" thickBot="1" x14ac:dyDescent="0.3">
      <c r="A800" s="149"/>
      <c r="J800" s="130">
        <v>1</v>
      </c>
      <c r="K800" s="132">
        <f t="shared" si="72"/>
        <v>0</v>
      </c>
      <c r="M800" s="132">
        <v>1</v>
      </c>
      <c r="N800" s="132">
        <f t="shared" si="73"/>
        <v>0</v>
      </c>
      <c r="P800" s="132">
        <v>1</v>
      </c>
      <c r="Q800" s="132">
        <f t="shared" si="77"/>
        <v>0</v>
      </c>
      <c r="S800" s="132">
        <v>1</v>
      </c>
      <c r="T800" s="132">
        <f t="shared" si="74"/>
        <v>0</v>
      </c>
      <c r="V800" s="126">
        <f t="shared" si="75"/>
        <v>0</v>
      </c>
      <c r="W800" s="92">
        <f t="shared" si="76"/>
        <v>0</v>
      </c>
      <c r="Y800" s="210"/>
    </row>
    <row r="801" spans="1:25" ht="14.4" customHeight="1" thickBot="1" x14ac:dyDescent="0.3">
      <c r="A801" s="149"/>
      <c r="J801" s="130">
        <v>1</v>
      </c>
      <c r="K801" s="132">
        <f t="shared" si="72"/>
        <v>0</v>
      </c>
      <c r="M801" s="132">
        <v>1</v>
      </c>
      <c r="N801" s="132">
        <f t="shared" si="73"/>
        <v>0</v>
      </c>
      <c r="P801" s="132">
        <v>1</v>
      </c>
      <c r="Q801" s="132">
        <f t="shared" si="77"/>
        <v>0</v>
      </c>
      <c r="S801" s="132">
        <v>1</v>
      </c>
      <c r="T801" s="132">
        <f t="shared" si="74"/>
        <v>0</v>
      </c>
      <c r="V801" s="126">
        <f t="shared" si="75"/>
        <v>0</v>
      </c>
      <c r="W801" s="92">
        <f t="shared" si="76"/>
        <v>0</v>
      </c>
      <c r="Y801" s="210"/>
    </row>
    <row r="802" spans="1:25" ht="14.4" customHeight="1" thickBot="1" x14ac:dyDescent="0.3">
      <c r="A802" s="149"/>
      <c r="J802" s="130">
        <v>1</v>
      </c>
      <c r="K802" s="132">
        <f t="shared" si="72"/>
        <v>0</v>
      </c>
      <c r="M802" s="132">
        <v>1</v>
      </c>
      <c r="N802" s="132">
        <f t="shared" si="73"/>
        <v>0</v>
      </c>
      <c r="P802" s="132">
        <v>1</v>
      </c>
      <c r="Q802" s="132">
        <f t="shared" si="77"/>
        <v>0</v>
      </c>
      <c r="S802" s="132">
        <v>1</v>
      </c>
      <c r="T802" s="132">
        <f t="shared" si="74"/>
        <v>0</v>
      </c>
      <c r="V802" s="126">
        <f t="shared" si="75"/>
        <v>0</v>
      </c>
      <c r="W802" s="92">
        <f t="shared" si="76"/>
        <v>0</v>
      </c>
      <c r="Y802" s="210"/>
    </row>
    <row r="803" spans="1:25" ht="14.4" customHeight="1" thickBot="1" x14ac:dyDescent="0.3">
      <c r="A803" s="149"/>
      <c r="J803" s="130">
        <v>1</v>
      </c>
      <c r="K803" s="132">
        <f t="shared" si="72"/>
        <v>0</v>
      </c>
      <c r="M803" s="132">
        <v>1</v>
      </c>
      <c r="N803" s="132">
        <f t="shared" si="73"/>
        <v>0</v>
      </c>
      <c r="P803" s="132">
        <v>1</v>
      </c>
      <c r="Q803" s="132">
        <f t="shared" si="77"/>
        <v>0</v>
      </c>
      <c r="S803" s="132">
        <v>1</v>
      </c>
      <c r="T803" s="132">
        <f t="shared" si="74"/>
        <v>0</v>
      </c>
      <c r="V803" s="126">
        <f t="shared" si="75"/>
        <v>0</v>
      </c>
      <c r="W803" s="92">
        <f t="shared" si="76"/>
        <v>0</v>
      </c>
      <c r="Y803" s="210"/>
    </row>
    <row r="804" spans="1:25" ht="14.4" customHeight="1" thickBot="1" x14ac:dyDescent="0.3">
      <c r="A804" s="149"/>
      <c r="J804" s="130">
        <v>1</v>
      </c>
      <c r="K804" s="132">
        <f t="shared" si="72"/>
        <v>0</v>
      </c>
      <c r="M804" s="132">
        <v>1</v>
      </c>
      <c r="N804" s="132">
        <f t="shared" si="73"/>
        <v>0</v>
      </c>
      <c r="P804" s="132">
        <v>1</v>
      </c>
      <c r="Q804" s="132">
        <f t="shared" si="77"/>
        <v>0</v>
      </c>
      <c r="S804" s="132">
        <v>1</v>
      </c>
      <c r="T804" s="132">
        <f t="shared" si="74"/>
        <v>0</v>
      </c>
      <c r="V804" s="126">
        <f t="shared" si="75"/>
        <v>0</v>
      </c>
      <c r="W804" s="92">
        <f t="shared" si="76"/>
        <v>0</v>
      </c>
      <c r="Y804" s="210"/>
    </row>
    <row r="805" spans="1:25" ht="14.4" customHeight="1" thickBot="1" x14ac:dyDescent="0.3">
      <c r="A805" s="149"/>
      <c r="J805" s="130">
        <v>1</v>
      </c>
      <c r="K805" s="132">
        <f t="shared" si="72"/>
        <v>0</v>
      </c>
      <c r="M805" s="132">
        <v>1</v>
      </c>
      <c r="N805" s="132">
        <f t="shared" si="73"/>
        <v>0</v>
      </c>
      <c r="P805" s="132">
        <v>1</v>
      </c>
      <c r="Q805" s="132">
        <f t="shared" si="77"/>
        <v>0</v>
      </c>
      <c r="S805" s="132">
        <v>1</v>
      </c>
      <c r="T805" s="132">
        <f t="shared" si="74"/>
        <v>0</v>
      </c>
      <c r="V805" s="126">
        <f t="shared" si="75"/>
        <v>0</v>
      </c>
      <c r="W805" s="92">
        <f t="shared" si="76"/>
        <v>0</v>
      </c>
      <c r="Y805" s="210"/>
    </row>
    <row r="806" spans="1:25" ht="14.4" customHeight="1" thickBot="1" x14ac:dyDescent="0.3">
      <c r="A806" s="149"/>
      <c r="J806" s="130">
        <v>1</v>
      </c>
      <c r="K806" s="132">
        <f t="shared" si="72"/>
        <v>0</v>
      </c>
      <c r="M806" s="132">
        <v>1</v>
      </c>
      <c r="N806" s="132">
        <f t="shared" si="73"/>
        <v>0</v>
      </c>
      <c r="P806" s="132">
        <v>1</v>
      </c>
      <c r="Q806" s="132">
        <f t="shared" si="77"/>
        <v>0</v>
      </c>
      <c r="S806" s="132">
        <v>1</v>
      </c>
      <c r="T806" s="132">
        <f t="shared" si="74"/>
        <v>0</v>
      </c>
      <c r="V806" s="126">
        <f t="shared" si="75"/>
        <v>0</v>
      </c>
      <c r="W806" s="92">
        <f t="shared" si="76"/>
        <v>0</v>
      </c>
      <c r="Y806" s="210"/>
    </row>
    <row r="807" spans="1:25" ht="14.4" customHeight="1" thickBot="1" x14ac:dyDescent="0.3">
      <c r="A807" s="149"/>
      <c r="J807" s="130">
        <v>1</v>
      </c>
      <c r="K807" s="132">
        <f t="shared" si="72"/>
        <v>0</v>
      </c>
      <c r="M807" s="132">
        <v>1</v>
      </c>
      <c r="N807" s="132">
        <f t="shared" si="73"/>
        <v>0</v>
      </c>
      <c r="P807" s="132">
        <v>1</v>
      </c>
      <c r="Q807" s="132">
        <f t="shared" si="77"/>
        <v>0</v>
      </c>
      <c r="S807" s="132">
        <v>1</v>
      </c>
      <c r="T807" s="132">
        <f t="shared" si="74"/>
        <v>0</v>
      </c>
      <c r="V807" s="126">
        <f t="shared" si="75"/>
        <v>0</v>
      </c>
      <c r="W807" s="92">
        <f t="shared" si="76"/>
        <v>0</v>
      </c>
      <c r="Y807" s="210"/>
    </row>
    <row r="808" spans="1:25" ht="14.4" customHeight="1" thickBot="1" x14ac:dyDescent="0.3">
      <c r="A808" s="149"/>
      <c r="J808" s="130">
        <v>1</v>
      </c>
      <c r="K808" s="132">
        <f t="shared" si="72"/>
        <v>0</v>
      </c>
      <c r="M808" s="132">
        <v>1</v>
      </c>
      <c r="N808" s="132">
        <f t="shared" si="73"/>
        <v>0</v>
      </c>
      <c r="P808" s="132">
        <v>1</v>
      </c>
      <c r="Q808" s="132">
        <f t="shared" si="77"/>
        <v>0</v>
      </c>
      <c r="S808" s="132">
        <v>1</v>
      </c>
      <c r="T808" s="132">
        <f t="shared" si="74"/>
        <v>0</v>
      </c>
      <c r="V808" s="126">
        <f t="shared" si="75"/>
        <v>0</v>
      </c>
      <c r="W808" s="92">
        <f t="shared" si="76"/>
        <v>0</v>
      </c>
      <c r="Y808" s="210"/>
    </row>
    <row r="809" spans="1:25" ht="14.4" customHeight="1" thickBot="1" x14ac:dyDescent="0.3">
      <c r="A809" s="149"/>
      <c r="J809" s="130">
        <v>1</v>
      </c>
      <c r="K809" s="132">
        <f t="shared" si="72"/>
        <v>0</v>
      </c>
      <c r="M809" s="132">
        <v>1</v>
      </c>
      <c r="N809" s="132">
        <f t="shared" si="73"/>
        <v>0</v>
      </c>
      <c r="P809" s="132">
        <v>1</v>
      </c>
      <c r="Q809" s="132">
        <f t="shared" si="77"/>
        <v>0</v>
      </c>
      <c r="S809" s="132">
        <v>1</v>
      </c>
      <c r="T809" s="132">
        <f t="shared" si="74"/>
        <v>0</v>
      </c>
      <c r="V809" s="126">
        <f t="shared" si="75"/>
        <v>0</v>
      </c>
      <c r="W809" s="92">
        <f t="shared" si="76"/>
        <v>0</v>
      </c>
      <c r="Y809" s="210"/>
    </row>
    <row r="810" spans="1:25" ht="14.4" customHeight="1" thickBot="1" x14ac:dyDescent="0.3">
      <c r="A810" s="149"/>
      <c r="J810" s="130">
        <v>1</v>
      </c>
      <c r="K810" s="132">
        <f t="shared" si="72"/>
        <v>0</v>
      </c>
      <c r="M810" s="132">
        <v>1</v>
      </c>
      <c r="N810" s="132">
        <f t="shared" si="73"/>
        <v>0</v>
      </c>
      <c r="P810" s="132">
        <v>1</v>
      </c>
      <c r="Q810" s="132">
        <f t="shared" si="77"/>
        <v>0</v>
      </c>
      <c r="S810" s="132">
        <v>1</v>
      </c>
      <c r="T810" s="132">
        <f t="shared" si="74"/>
        <v>0</v>
      </c>
      <c r="V810" s="126">
        <f t="shared" si="75"/>
        <v>0</v>
      </c>
      <c r="W810" s="92">
        <f t="shared" si="76"/>
        <v>0</v>
      </c>
      <c r="Y810" s="210"/>
    </row>
    <row r="811" spans="1:25" ht="14.4" customHeight="1" thickBot="1" x14ac:dyDescent="0.3">
      <c r="A811" s="149"/>
      <c r="J811" s="130">
        <v>1</v>
      </c>
      <c r="K811" s="132">
        <f t="shared" si="72"/>
        <v>0</v>
      </c>
      <c r="M811" s="132">
        <v>1</v>
      </c>
      <c r="N811" s="132">
        <f t="shared" si="73"/>
        <v>0</v>
      </c>
      <c r="P811" s="132">
        <v>1</v>
      </c>
      <c r="Q811" s="132">
        <f t="shared" si="77"/>
        <v>0</v>
      </c>
      <c r="S811" s="132">
        <v>1</v>
      </c>
      <c r="T811" s="132">
        <f t="shared" si="74"/>
        <v>0</v>
      </c>
      <c r="V811" s="126">
        <f t="shared" si="75"/>
        <v>0</v>
      </c>
      <c r="W811" s="92">
        <f t="shared" si="76"/>
        <v>0</v>
      </c>
      <c r="Y811" s="210"/>
    </row>
    <row r="812" spans="1:25" ht="14.4" customHeight="1" thickBot="1" x14ac:dyDescent="0.3">
      <c r="A812" s="149"/>
      <c r="J812" s="130">
        <v>1</v>
      </c>
      <c r="K812" s="132">
        <f t="shared" si="72"/>
        <v>0</v>
      </c>
      <c r="M812" s="132">
        <v>1</v>
      </c>
      <c r="N812" s="132">
        <f t="shared" si="73"/>
        <v>0</v>
      </c>
      <c r="P812" s="132">
        <v>1</v>
      </c>
      <c r="Q812" s="132">
        <f t="shared" si="77"/>
        <v>0</v>
      </c>
      <c r="S812" s="132">
        <v>1</v>
      </c>
      <c r="T812" s="132">
        <f t="shared" si="74"/>
        <v>0</v>
      </c>
      <c r="V812" s="126">
        <f t="shared" si="75"/>
        <v>0</v>
      </c>
      <c r="W812" s="92">
        <f t="shared" si="76"/>
        <v>0</v>
      </c>
      <c r="Y812" s="210"/>
    </row>
    <row r="813" spans="1:25" ht="14.4" customHeight="1" thickBot="1" x14ac:dyDescent="0.3">
      <c r="A813" s="149"/>
      <c r="J813" s="130">
        <v>1</v>
      </c>
      <c r="K813" s="132">
        <f t="shared" si="72"/>
        <v>0</v>
      </c>
      <c r="M813" s="132">
        <v>1</v>
      </c>
      <c r="N813" s="132">
        <f t="shared" si="73"/>
        <v>0</v>
      </c>
      <c r="P813" s="132">
        <v>1</v>
      </c>
      <c r="Q813" s="132">
        <f t="shared" si="77"/>
        <v>0</v>
      </c>
      <c r="S813" s="132">
        <v>1</v>
      </c>
      <c r="T813" s="132">
        <f t="shared" si="74"/>
        <v>0</v>
      </c>
      <c r="V813" s="126">
        <f t="shared" si="75"/>
        <v>0</v>
      </c>
      <c r="W813" s="92">
        <f t="shared" si="76"/>
        <v>0</v>
      </c>
      <c r="Y813" s="210"/>
    </row>
    <row r="814" spans="1:25" ht="14.4" customHeight="1" thickBot="1" x14ac:dyDescent="0.3">
      <c r="A814" s="149"/>
      <c r="J814" s="130">
        <v>1</v>
      </c>
      <c r="K814" s="132">
        <f t="shared" si="72"/>
        <v>0</v>
      </c>
      <c r="M814" s="132">
        <v>1</v>
      </c>
      <c r="N814" s="132">
        <f t="shared" si="73"/>
        <v>0</v>
      </c>
      <c r="P814" s="132">
        <v>1</v>
      </c>
      <c r="Q814" s="132">
        <f t="shared" si="77"/>
        <v>0</v>
      </c>
      <c r="S814" s="132">
        <v>1</v>
      </c>
      <c r="T814" s="132">
        <f t="shared" si="74"/>
        <v>0</v>
      </c>
      <c r="V814" s="126">
        <f t="shared" si="75"/>
        <v>0</v>
      </c>
      <c r="W814" s="92">
        <f t="shared" si="76"/>
        <v>0</v>
      </c>
      <c r="Y814" s="210"/>
    </row>
    <row r="815" spans="1:25" ht="14.4" customHeight="1" thickBot="1" x14ac:dyDescent="0.3">
      <c r="A815" s="149"/>
      <c r="J815" s="130">
        <v>1</v>
      </c>
      <c r="K815" s="132">
        <f t="shared" si="72"/>
        <v>0</v>
      </c>
      <c r="M815" s="132">
        <v>1</v>
      </c>
      <c r="N815" s="132">
        <f t="shared" si="73"/>
        <v>0</v>
      </c>
      <c r="P815" s="132">
        <v>1</v>
      </c>
      <c r="Q815" s="132">
        <f t="shared" si="77"/>
        <v>0</v>
      </c>
      <c r="S815" s="132">
        <v>1</v>
      </c>
      <c r="T815" s="132">
        <f t="shared" si="74"/>
        <v>0</v>
      </c>
      <c r="V815" s="126">
        <f t="shared" si="75"/>
        <v>0</v>
      </c>
      <c r="W815" s="92">
        <f t="shared" si="76"/>
        <v>0</v>
      </c>
      <c r="Y815" s="210"/>
    </row>
    <row r="816" spans="1:25" ht="14.4" customHeight="1" thickBot="1" x14ac:dyDescent="0.3">
      <c r="A816" s="149"/>
      <c r="J816" s="130">
        <v>1</v>
      </c>
      <c r="K816" s="132">
        <f t="shared" si="72"/>
        <v>0</v>
      </c>
      <c r="M816" s="132">
        <v>1</v>
      </c>
      <c r="N816" s="132">
        <f t="shared" si="73"/>
        <v>0</v>
      </c>
      <c r="P816" s="132">
        <v>1</v>
      </c>
      <c r="Q816" s="132">
        <f t="shared" si="77"/>
        <v>0</v>
      </c>
      <c r="S816" s="132">
        <v>1</v>
      </c>
      <c r="T816" s="132">
        <f t="shared" si="74"/>
        <v>0</v>
      </c>
      <c r="V816" s="126">
        <f t="shared" si="75"/>
        <v>0</v>
      </c>
      <c r="W816" s="92">
        <f t="shared" si="76"/>
        <v>0</v>
      </c>
      <c r="Y816" s="210"/>
    </row>
    <row r="817" spans="1:25" ht="14.4" customHeight="1" thickBot="1" x14ac:dyDescent="0.3">
      <c r="A817" s="149"/>
      <c r="J817" s="130">
        <v>1</v>
      </c>
      <c r="K817" s="132">
        <f t="shared" si="72"/>
        <v>0</v>
      </c>
      <c r="M817" s="132">
        <v>1</v>
      </c>
      <c r="N817" s="132">
        <f t="shared" si="73"/>
        <v>0</v>
      </c>
      <c r="P817" s="132">
        <v>1</v>
      </c>
      <c r="Q817" s="132">
        <f t="shared" si="77"/>
        <v>0</v>
      </c>
      <c r="S817" s="132">
        <v>1</v>
      </c>
      <c r="T817" s="132">
        <f t="shared" si="74"/>
        <v>0</v>
      </c>
      <c r="V817" s="126">
        <f t="shared" si="75"/>
        <v>0</v>
      </c>
      <c r="W817" s="92">
        <f t="shared" si="76"/>
        <v>0</v>
      </c>
      <c r="Y817" s="210"/>
    </row>
    <row r="818" spans="1:25" ht="14.4" customHeight="1" thickBot="1" x14ac:dyDescent="0.3">
      <c r="A818" s="149"/>
      <c r="J818" s="130">
        <v>1</v>
      </c>
      <c r="K818" s="132">
        <f t="shared" si="72"/>
        <v>0</v>
      </c>
      <c r="M818" s="132">
        <v>1</v>
      </c>
      <c r="N818" s="132">
        <f t="shared" si="73"/>
        <v>0</v>
      </c>
      <c r="P818" s="132">
        <v>1</v>
      </c>
      <c r="Q818" s="132">
        <f t="shared" si="77"/>
        <v>0</v>
      </c>
      <c r="S818" s="132">
        <v>1</v>
      </c>
      <c r="T818" s="132">
        <f t="shared" si="74"/>
        <v>0</v>
      </c>
      <c r="V818" s="126">
        <f t="shared" si="75"/>
        <v>0</v>
      </c>
      <c r="W818" s="92">
        <f t="shared" si="76"/>
        <v>0</v>
      </c>
      <c r="Y818" s="210"/>
    </row>
    <row r="819" spans="1:25" ht="14.4" customHeight="1" thickBot="1" x14ac:dyDescent="0.3">
      <c r="A819" s="149"/>
      <c r="J819" s="130">
        <v>1</v>
      </c>
      <c r="K819" s="132">
        <f t="shared" si="72"/>
        <v>0</v>
      </c>
      <c r="M819" s="132">
        <v>1</v>
      </c>
      <c r="N819" s="132">
        <f t="shared" si="73"/>
        <v>0</v>
      </c>
      <c r="P819" s="132">
        <v>1</v>
      </c>
      <c r="Q819" s="132">
        <f t="shared" si="77"/>
        <v>0</v>
      </c>
      <c r="S819" s="132">
        <v>1</v>
      </c>
      <c r="T819" s="132">
        <f t="shared" si="74"/>
        <v>0</v>
      </c>
      <c r="V819" s="126">
        <f t="shared" si="75"/>
        <v>0</v>
      </c>
      <c r="W819" s="92">
        <f t="shared" si="76"/>
        <v>0</v>
      </c>
      <c r="Y819" s="210"/>
    </row>
    <row r="820" spans="1:25" ht="14.4" customHeight="1" thickBot="1" x14ac:dyDescent="0.3">
      <c r="A820" s="149"/>
      <c r="J820" s="130">
        <v>1</v>
      </c>
      <c r="K820" s="132">
        <f t="shared" si="72"/>
        <v>0</v>
      </c>
      <c r="M820" s="132">
        <v>1</v>
      </c>
      <c r="N820" s="132">
        <f t="shared" si="73"/>
        <v>0</v>
      </c>
      <c r="P820" s="132">
        <v>1</v>
      </c>
      <c r="Q820" s="132">
        <f t="shared" si="77"/>
        <v>0</v>
      </c>
      <c r="S820" s="132">
        <v>1</v>
      </c>
      <c r="T820" s="132">
        <f t="shared" si="74"/>
        <v>0</v>
      </c>
      <c r="V820" s="126">
        <f t="shared" si="75"/>
        <v>0</v>
      </c>
      <c r="W820" s="92">
        <f t="shared" si="76"/>
        <v>0</v>
      </c>
      <c r="Y820" s="210"/>
    </row>
    <row r="821" spans="1:25" ht="14.4" customHeight="1" thickBot="1" x14ac:dyDescent="0.3">
      <c r="A821" s="149"/>
      <c r="J821" s="130">
        <v>1</v>
      </c>
      <c r="K821" s="132">
        <f t="shared" si="72"/>
        <v>0</v>
      </c>
      <c r="M821" s="132">
        <v>1</v>
      </c>
      <c r="N821" s="132">
        <f t="shared" si="73"/>
        <v>0</v>
      </c>
      <c r="P821" s="132">
        <v>1</v>
      </c>
      <c r="Q821" s="132">
        <f t="shared" si="77"/>
        <v>0</v>
      </c>
      <c r="S821" s="132">
        <v>1</v>
      </c>
      <c r="T821" s="132">
        <f t="shared" si="74"/>
        <v>0</v>
      </c>
      <c r="V821" s="126">
        <f t="shared" si="75"/>
        <v>0</v>
      </c>
      <c r="W821" s="92">
        <f t="shared" si="76"/>
        <v>0</v>
      </c>
      <c r="Y821" s="210"/>
    </row>
    <row r="822" spans="1:25" ht="14.4" customHeight="1" thickBot="1" x14ac:dyDescent="0.3">
      <c r="A822" s="149"/>
      <c r="J822" s="130">
        <v>1</v>
      </c>
      <c r="K822" s="132">
        <f t="shared" si="72"/>
        <v>0</v>
      </c>
      <c r="M822" s="132">
        <v>1</v>
      </c>
      <c r="N822" s="132">
        <f t="shared" si="73"/>
        <v>0</v>
      </c>
      <c r="P822" s="132">
        <v>1</v>
      </c>
      <c r="Q822" s="132">
        <f t="shared" si="77"/>
        <v>0</v>
      </c>
      <c r="S822" s="132">
        <v>1</v>
      </c>
      <c r="T822" s="132">
        <f t="shared" si="74"/>
        <v>0</v>
      </c>
      <c r="V822" s="126">
        <f t="shared" si="75"/>
        <v>0</v>
      </c>
      <c r="W822" s="92">
        <f t="shared" si="76"/>
        <v>0</v>
      </c>
      <c r="Y822" s="210"/>
    </row>
    <row r="823" spans="1:25" ht="14.4" customHeight="1" thickBot="1" x14ac:dyDescent="0.3">
      <c r="A823" s="149"/>
      <c r="J823" s="130">
        <v>1</v>
      </c>
      <c r="K823" s="132">
        <f t="shared" si="72"/>
        <v>0</v>
      </c>
      <c r="M823" s="132">
        <v>1</v>
      </c>
      <c r="N823" s="132">
        <f t="shared" si="73"/>
        <v>0</v>
      </c>
      <c r="P823" s="132">
        <v>1</v>
      </c>
      <c r="Q823" s="132">
        <f t="shared" si="77"/>
        <v>0</v>
      </c>
      <c r="S823" s="132">
        <v>1</v>
      </c>
      <c r="T823" s="132">
        <f t="shared" si="74"/>
        <v>0</v>
      </c>
      <c r="V823" s="126">
        <f t="shared" si="75"/>
        <v>0</v>
      </c>
      <c r="W823" s="92">
        <f t="shared" si="76"/>
        <v>0</v>
      </c>
      <c r="Y823" s="210"/>
    </row>
    <row r="824" spans="1:25" ht="14.4" customHeight="1" thickBot="1" x14ac:dyDescent="0.3">
      <c r="A824" s="149"/>
      <c r="J824" s="130">
        <v>1</v>
      </c>
      <c r="K824" s="132">
        <f t="shared" si="72"/>
        <v>0</v>
      </c>
      <c r="M824" s="132">
        <v>1</v>
      </c>
      <c r="N824" s="132">
        <f t="shared" si="73"/>
        <v>0</v>
      </c>
      <c r="P824" s="132">
        <v>1</v>
      </c>
      <c r="Q824" s="132">
        <f t="shared" si="77"/>
        <v>0</v>
      </c>
      <c r="S824" s="132">
        <v>1</v>
      </c>
      <c r="T824" s="132">
        <f t="shared" si="74"/>
        <v>0</v>
      </c>
      <c r="V824" s="126">
        <f t="shared" si="75"/>
        <v>0</v>
      </c>
      <c r="W824" s="92">
        <f t="shared" si="76"/>
        <v>0</v>
      </c>
      <c r="Y824" s="210"/>
    </row>
    <row r="825" spans="1:25" ht="14.4" customHeight="1" thickBot="1" x14ac:dyDescent="0.3">
      <c r="A825" s="149"/>
      <c r="J825" s="130">
        <v>1</v>
      </c>
      <c r="K825" s="132">
        <f t="shared" si="72"/>
        <v>0</v>
      </c>
      <c r="M825" s="132">
        <v>1</v>
      </c>
      <c r="N825" s="132">
        <f t="shared" si="73"/>
        <v>0</v>
      </c>
      <c r="P825" s="132">
        <v>1</v>
      </c>
      <c r="Q825" s="132">
        <f t="shared" si="77"/>
        <v>0</v>
      </c>
      <c r="S825" s="132">
        <v>1</v>
      </c>
      <c r="T825" s="132">
        <f t="shared" si="74"/>
        <v>0</v>
      </c>
      <c r="V825" s="126">
        <f t="shared" si="75"/>
        <v>0</v>
      </c>
      <c r="W825" s="92">
        <f t="shared" si="76"/>
        <v>0</v>
      </c>
      <c r="Y825" s="210"/>
    </row>
    <row r="826" spans="1:25" ht="14.4" customHeight="1" thickBot="1" x14ac:dyDescent="0.3">
      <c r="A826" s="149"/>
      <c r="J826" s="130">
        <v>1</v>
      </c>
      <c r="K826" s="132">
        <f t="shared" si="72"/>
        <v>0</v>
      </c>
      <c r="M826" s="132">
        <v>1</v>
      </c>
      <c r="N826" s="132">
        <f t="shared" si="73"/>
        <v>0</v>
      </c>
      <c r="P826" s="132">
        <v>1</v>
      </c>
      <c r="Q826" s="132">
        <f t="shared" si="77"/>
        <v>0</v>
      </c>
      <c r="S826" s="132">
        <v>1</v>
      </c>
      <c r="T826" s="132">
        <f t="shared" si="74"/>
        <v>0</v>
      </c>
      <c r="V826" s="126">
        <f t="shared" si="75"/>
        <v>0</v>
      </c>
      <c r="W826" s="92">
        <f t="shared" si="76"/>
        <v>0</v>
      </c>
      <c r="Y826" s="210"/>
    </row>
    <row r="827" spans="1:25" ht="14.4" customHeight="1" thickBot="1" x14ac:dyDescent="0.3">
      <c r="A827" s="149"/>
      <c r="J827" s="130">
        <v>1</v>
      </c>
      <c r="K827" s="132">
        <f t="shared" si="72"/>
        <v>0</v>
      </c>
      <c r="M827" s="132">
        <v>1</v>
      </c>
      <c r="N827" s="132">
        <f t="shared" si="73"/>
        <v>0</v>
      </c>
      <c r="P827" s="132">
        <v>1</v>
      </c>
      <c r="Q827" s="132">
        <f t="shared" si="77"/>
        <v>0</v>
      </c>
      <c r="S827" s="132">
        <v>1</v>
      </c>
      <c r="T827" s="132">
        <f t="shared" si="74"/>
        <v>0</v>
      </c>
      <c r="V827" s="126">
        <f t="shared" si="75"/>
        <v>0</v>
      </c>
      <c r="W827" s="92">
        <f t="shared" si="76"/>
        <v>0</v>
      </c>
      <c r="Y827" s="210"/>
    </row>
    <row r="828" spans="1:25" ht="14.4" customHeight="1" thickBot="1" x14ac:dyDescent="0.3">
      <c r="A828" s="149"/>
      <c r="J828" s="130">
        <v>1</v>
      </c>
      <c r="K828" s="132">
        <f t="shared" si="72"/>
        <v>0</v>
      </c>
      <c r="M828" s="132">
        <v>1</v>
      </c>
      <c r="N828" s="132">
        <f t="shared" si="73"/>
        <v>0</v>
      </c>
      <c r="P828" s="132">
        <v>1</v>
      </c>
      <c r="Q828" s="132">
        <f t="shared" si="77"/>
        <v>0</v>
      </c>
      <c r="S828" s="132">
        <v>1</v>
      </c>
      <c r="T828" s="132">
        <f t="shared" si="74"/>
        <v>0</v>
      </c>
      <c r="V828" s="126">
        <f t="shared" si="75"/>
        <v>0</v>
      </c>
      <c r="W828" s="92">
        <f t="shared" si="76"/>
        <v>0</v>
      </c>
      <c r="Y828" s="210"/>
    </row>
    <row r="829" spans="1:25" ht="14.4" customHeight="1" thickBot="1" x14ac:dyDescent="0.3">
      <c r="A829" s="149"/>
      <c r="J829" s="130">
        <v>1</v>
      </c>
      <c r="K829" s="132">
        <f t="shared" si="72"/>
        <v>0</v>
      </c>
      <c r="M829" s="132">
        <v>1</v>
      </c>
      <c r="N829" s="132">
        <f t="shared" si="73"/>
        <v>0</v>
      </c>
      <c r="P829" s="132">
        <v>1</v>
      </c>
      <c r="Q829" s="132">
        <f t="shared" si="77"/>
        <v>0</v>
      </c>
      <c r="S829" s="132">
        <v>1</v>
      </c>
      <c r="T829" s="132">
        <f t="shared" si="74"/>
        <v>0</v>
      </c>
      <c r="V829" s="126">
        <f t="shared" si="75"/>
        <v>0</v>
      </c>
      <c r="W829" s="92">
        <f t="shared" si="76"/>
        <v>0</v>
      </c>
      <c r="Y829" s="210"/>
    </row>
    <row r="830" spans="1:25" ht="14.4" customHeight="1" thickBot="1" x14ac:dyDescent="0.3">
      <c r="A830" s="149"/>
      <c r="J830" s="130">
        <v>1</v>
      </c>
      <c r="K830" s="132">
        <f t="shared" si="72"/>
        <v>0</v>
      </c>
      <c r="M830" s="132">
        <v>1</v>
      </c>
      <c r="N830" s="132">
        <f t="shared" si="73"/>
        <v>0</v>
      </c>
      <c r="P830" s="132">
        <v>1</v>
      </c>
      <c r="Q830" s="132">
        <f t="shared" si="77"/>
        <v>0</v>
      </c>
      <c r="S830" s="132">
        <v>1</v>
      </c>
      <c r="T830" s="132">
        <f t="shared" si="74"/>
        <v>0</v>
      </c>
      <c r="V830" s="126">
        <f t="shared" si="75"/>
        <v>0</v>
      </c>
      <c r="W830" s="92">
        <f t="shared" si="76"/>
        <v>0</v>
      </c>
      <c r="Y830" s="210"/>
    </row>
    <row r="831" spans="1:25" ht="14.4" customHeight="1" thickBot="1" x14ac:dyDescent="0.3">
      <c r="A831" s="149"/>
      <c r="J831" s="130">
        <v>1</v>
      </c>
      <c r="K831" s="132">
        <f t="shared" si="72"/>
        <v>0</v>
      </c>
      <c r="M831" s="132">
        <v>1</v>
      </c>
      <c r="N831" s="132">
        <f t="shared" si="73"/>
        <v>0</v>
      </c>
      <c r="P831" s="132">
        <v>1</v>
      </c>
      <c r="Q831" s="132">
        <f t="shared" si="77"/>
        <v>0</v>
      </c>
      <c r="S831" s="132">
        <v>1</v>
      </c>
      <c r="T831" s="132">
        <f t="shared" si="74"/>
        <v>0</v>
      </c>
      <c r="V831" s="126">
        <f t="shared" si="75"/>
        <v>0</v>
      </c>
      <c r="W831" s="92">
        <f t="shared" si="76"/>
        <v>0</v>
      </c>
      <c r="Y831" s="210"/>
    </row>
    <row r="832" spans="1:25" ht="14.4" customHeight="1" thickBot="1" x14ac:dyDescent="0.3">
      <c r="A832" s="149"/>
      <c r="J832" s="130">
        <v>1</v>
      </c>
      <c r="K832" s="132">
        <f t="shared" si="72"/>
        <v>0</v>
      </c>
      <c r="M832" s="132">
        <v>1</v>
      </c>
      <c r="N832" s="132">
        <f t="shared" si="73"/>
        <v>0</v>
      </c>
      <c r="P832" s="132">
        <v>1</v>
      </c>
      <c r="Q832" s="132">
        <f t="shared" si="77"/>
        <v>0</v>
      </c>
      <c r="S832" s="132">
        <v>1</v>
      </c>
      <c r="T832" s="132">
        <f t="shared" si="74"/>
        <v>0</v>
      </c>
      <c r="V832" s="126">
        <f t="shared" si="75"/>
        <v>0</v>
      </c>
      <c r="W832" s="92">
        <f t="shared" si="76"/>
        <v>0</v>
      </c>
      <c r="Y832" s="210"/>
    </row>
    <row r="833" spans="1:25" ht="14.4" customHeight="1" thickBot="1" x14ac:dyDescent="0.3">
      <c r="A833" s="149"/>
      <c r="J833" s="130">
        <v>1</v>
      </c>
      <c r="K833" s="132">
        <f t="shared" si="72"/>
        <v>0</v>
      </c>
      <c r="M833" s="132">
        <v>1</v>
      </c>
      <c r="N833" s="132">
        <f t="shared" si="73"/>
        <v>0</v>
      </c>
      <c r="P833" s="132">
        <v>1</v>
      </c>
      <c r="Q833" s="132">
        <f t="shared" si="77"/>
        <v>0</v>
      </c>
      <c r="S833" s="132">
        <v>1</v>
      </c>
      <c r="T833" s="132">
        <f t="shared" si="74"/>
        <v>0</v>
      </c>
      <c r="V833" s="126">
        <f t="shared" si="75"/>
        <v>0</v>
      </c>
      <c r="W833" s="92">
        <f t="shared" si="76"/>
        <v>0</v>
      </c>
      <c r="Y833" s="210"/>
    </row>
    <row r="834" spans="1:25" ht="14.4" customHeight="1" thickBot="1" x14ac:dyDescent="0.3">
      <c r="A834" s="149"/>
      <c r="J834" s="130">
        <v>1</v>
      </c>
      <c r="K834" s="132">
        <f t="shared" ref="K834:K897" si="78">I834/J834</f>
        <v>0</v>
      </c>
      <c r="M834" s="132">
        <v>1</v>
      </c>
      <c r="N834" s="132">
        <f t="shared" ref="N834:N897" si="79">L834/M834</f>
        <v>0</v>
      </c>
      <c r="P834" s="132">
        <v>1</v>
      </c>
      <c r="Q834" s="132">
        <f t="shared" si="77"/>
        <v>0</v>
      </c>
      <c r="S834" s="132">
        <v>1</v>
      </c>
      <c r="T834" s="132">
        <f t="shared" ref="T834:T897" si="80">R834/S834</f>
        <v>0</v>
      </c>
      <c r="V834" s="126">
        <f t="shared" ref="V834:V897" si="81">D834+E834-G834-I834/J834-L834/M834-O834/P834-R834/S834</f>
        <v>0</v>
      </c>
      <c r="W834" s="92">
        <f t="shared" ref="W834:W897" si="82">G834+I834/J834+L834/M834+O834/P834+R834/S834</f>
        <v>0</v>
      </c>
      <c r="Y834" s="210"/>
    </row>
    <row r="835" spans="1:25" ht="14.4" customHeight="1" thickBot="1" x14ac:dyDescent="0.3">
      <c r="A835" s="149"/>
      <c r="J835" s="130">
        <v>1</v>
      </c>
      <c r="K835" s="132">
        <f t="shared" si="78"/>
        <v>0</v>
      </c>
      <c r="M835" s="132">
        <v>1</v>
      </c>
      <c r="N835" s="132">
        <f t="shared" si="79"/>
        <v>0</v>
      </c>
      <c r="P835" s="132">
        <v>1</v>
      </c>
      <c r="Q835" s="132">
        <f t="shared" ref="Q835:Q898" si="83">O835/P835</f>
        <v>0</v>
      </c>
      <c r="S835" s="132">
        <v>1</v>
      </c>
      <c r="T835" s="132">
        <f t="shared" si="80"/>
        <v>0</v>
      </c>
      <c r="V835" s="126">
        <f t="shared" si="81"/>
        <v>0</v>
      </c>
      <c r="W835" s="92">
        <f t="shared" si="82"/>
        <v>0</v>
      </c>
      <c r="Y835" s="210"/>
    </row>
    <row r="836" spans="1:25" ht="14.4" customHeight="1" thickBot="1" x14ac:dyDescent="0.3">
      <c r="A836" s="149"/>
      <c r="J836" s="130">
        <v>1</v>
      </c>
      <c r="K836" s="132">
        <f t="shared" si="78"/>
        <v>0</v>
      </c>
      <c r="M836" s="132">
        <v>1</v>
      </c>
      <c r="N836" s="132">
        <f t="shared" si="79"/>
        <v>0</v>
      </c>
      <c r="P836" s="132">
        <v>1</v>
      </c>
      <c r="Q836" s="132">
        <f t="shared" si="83"/>
        <v>0</v>
      </c>
      <c r="S836" s="132">
        <v>1</v>
      </c>
      <c r="T836" s="132">
        <f t="shared" si="80"/>
        <v>0</v>
      </c>
      <c r="V836" s="126">
        <f t="shared" si="81"/>
        <v>0</v>
      </c>
      <c r="W836" s="92">
        <f t="shared" si="82"/>
        <v>0</v>
      </c>
      <c r="Y836" s="210"/>
    </row>
    <row r="837" spans="1:25" ht="14.4" customHeight="1" thickBot="1" x14ac:dyDescent="0.3">
      <c r="A837" s="149"/>
      <c r="J837" s="130">
        <v>1</v>
      </c>
      <c r="K837" s="132">
        <f t="shared" si="78"/>
        <v>0</v>
      </c>
      <c r="M837" s="132">
        <v>1</v>
      </c>
      <c r="N837" s="132">
        <f t="shared" si="79"/>
        <v>0</v>
      </c>
      <c r="P837" s="132">
        <v>1</v>
      </c>
      <c r="Q837" s="132">
        <f t="shared" si="83"/>
        <v>0</v>
      </c>
      <c r="S837" s="132">
        <v>1</v>
      </c>
      <c r="T837" s="132">
        <f t="shared" si="80"/>
        <v>0</v>
      </c>
      <c r="V837" s="126">
        <f t="shared" si="81"/>
        <v>0</v>
      </c>
      <c r="W837" s="92">
        <f t="shared" si="82"/>
        <v>0</v>
      </c>
      <c r="Y837" s="210"/>
    </row>
    <row r="838" spans="1:25" ht="14.4" customHeight="1" thickBot="1" x14ac:dyDescent="0.3">
      <c r="A838" s="149"/>
      <c r="J838" s="130">
        <v>1</v>
      </c>
      <c r="K838" s="132">
        <f t="shared" si="78"/>
        <v>0</v>
      </c>
      <c r="M838" s="132">
        <v>1</v>
      </c>
      <c r="N838" s="132">
        <f t="shared" si="79"/>
        <v>0</v>
      </c>
      <c r="P838" s="132">
        <v>1</v>
      </c>
      <c r="Q838" s="132">
        <f t="shared" si="83"/>
        <v>0</v>
      </c>
      <c r="S838" s="132">
        <v>1</v>
      </c>
      <c r="T838" s="132">
        <f t="shared" si="80"/>
        <v>0</v>
      </c>
      <c r="V838" s="126">
        <f t="shared" si="81"/>
        <v>0</v>
      </c>
      <c r="W838" s="92">
        <f t="shared" si="82"/>
        <v>0</v>
      </c>
      <c r="Y838" s="210"/>
    </row>
    <row r="839" spans="1:25" ht="14.4" customHeight="1" thickBot="1" x14ac:dyDescent="0.3">
      <c r="A839" s="149"/>
      <c r="J839" s="130">
        <v>1</v>
      </c>
      <c r="K839" s="132">
        <f t="shared" si="78"/>
        <v>0</v>
      </c>
      <c r="M839" s="132">
        <v>1</v>
      </c>
      <c r="N839" s="132">
        <f t="shared" si="79"/>
        <v>0</v>
      </c>
      <c r="P839" s="132">
        <v>1</v>
      </c>
      <c r="Q839" s="132">
        <f t="shared" si="83"/>
        <v>0</v>
      </c>
      <c r="S839" s="132">
        <v>1</v>
      </c>
      <c r="T839" s="132">
        <f t="shared" si="80"/>
        <v>0</v>
      </c>
      <c r="V839" s="126">
        <f t="shared" si="81"/>
        <v>0</v>
      </c>
      <c r="W839" s="92">
        <f t="shared" si="82"/>
        <v>0</v>
      </c>
      <c r="Y839" s="210"/>
    </row>
    <row r="840" spans="1:25" ht="14.4" customHeight="1" thickBot="1" x14ac:dyDescent="0.3">
      <c r="A840" s="149"/>
      <c r="J840" s="130">
        <v>1</v>
      </c>
      <c r="K840" s="132">
        <f t="shared" si="78"/>
        <v>0</v>
      </c>
      <c r="M840" s="132">
        <v>1</v>
      </c>
      <c r="N840" s="132">
        <f t="shared" si="79"/>
        <v>0</v>
      </c>
      <c r="P840" s="132">
        <v>1</v>
      </c>
      <c r="Q840" s="132">
        <f t="shared" si="83"/>
        <v>0</v>
      </c>
      <c r="S840" s="132">
        <v>1</v>
      </c>
      <c r="T840" s="132">
        <f t="shared" si="80"/>
        <v>0</v>
      </c>
      <c r="V840" s="126">
        <f t="shared" si="81"/>
        <v>0</v>
      </c>
      <c r="W840" s="92">
        <f t="shared" si="82"/>
        <v>0</v>
      </c>
      <c r="Y840" s="210"/>
    </row>
    <row r="841" spans="1:25" ht="14.4" customHeight="1" thickBot="1" x14ac:dyDescent="0.3">
      <c r="A841" s="149"/>
      <c r="J841" s="130">
        <v>1</v>
      </c>
      <c r="K841" s="132">
        <f t="shared" si="78"/>
        <v>0</v>
      </c>
      <c r="M841" s="132">
        <v>1</v>
      </c>
      <c r="N841" s="132">
        <f t="shared" si="79"/>
        <v>0</v>
      </c>
      <c r="P841" s="132">
        <v>1</v>
      </c>
      <c r="Q841" s="132">
        <f t="shared" si="83"/>
        <v>0</v>
      </c>
      <c r="S841" s="132">
        <v>1</v>
      </c>
      <c r="T841" s="132">
        <f t="shared" si="80"/>
        <v>0</v>
      </c>
      <c r="V841" s="126">
        <f t="shared" si="81"/>
        <v>0</v>
      </c>
      <c r="W841" s="92">
        <f t="shared" si="82"/>
        <v>0</v>
      </c>
      <c r="Y841" s="210"/>
    </row>
    <row r="842" spans="1:25" ht="14.4" customHeight="1" thickBot="1" x14ac:dyDescent="0.3">
      <c r="A842" s="149"/>
      <c r="J842" s="130">
        <v>1</v>
      </c>
      <c r="K842" s="132">
        <f t="shared" si="78"/>
        <v>0</v>
      </c>
      <c r="M842" s="132">
        <v>1</v>
      </c>
      <c r="N842" s="132">
        <f t="shared" si="79"/>
        <v>0</v>
      </c>
      <c r="P842" s="132">
        <v>1</v>
      </c>
      <c r="Q842" s="132">
        <f t="shared" si="83"/>
        <v>0</v>
      </c>
      <c r="S842" s="132">
        <v>1</v>
      </c>
      <c r="T842" s="132">
        <f t="shared" si="80"/>
        <v>0</v>
      </c>
      <c r="V842" s="126">
        <f t="shared" si="81"/>
        <v>0</v>
      </c>
      <c r="W842" s="92">
        <f t="shared" si="82"/>
        <v>0</v>
      </c>
      <c r="Y842" s="210"/>
    </row>
    <row r="843" spans="1:25" ht="14.4" customHeight="1" thickBot="1" x14ac:dyDescent="0.3">
      <c r="A843" s="149"/>
      <c r="J843" s="130">
        <v>1</v>
      </c>
      <c r="K843" s="132">
        <f t="shared" si="78"/>
        <v>0</v>
      </c>
      <c r="M843" s="132">
        <v>1</v>
      </c>
      <c r="N843" s="132">
        <f t="shared" si="79"/>
        <v>0</v>
      </c>
      <c r="P843" s="132">
        <v>1</v>
      </c>
      <c r="Q843" s="132">
        <f t="shared" si="83"/>
        <v>0</v>
      </c>
      <c r="S843" s="132">
        <v>1</v>
      </c>
      <c r="T843" s="132">
        <f t="shared" si="80"/>
        <v>0</v>
      </c>
      <c r="V843" s="126">
        <f t="shared" si="81"/>
        <v>0</v>
      </c>
      <c r="W843" s="92">
        <f t="shared" si="82"/>
        <v>0</v>
      </c>
      <c r="Y843" s="210"/>
    </row>
    <row r="844" spans="1:25" ht="14.4" customHeight="1" thickBot="1" x14ac:dyDescent="0.3">
      <c r="A844" s="149"/>
      <c r="J844" s="130">
        <v>1</v>
      </c>
      <c r="K844" s="132">
        <f t="shared" si="78"/>
        <v>0</v>
      </c>
      <c r="M844" s="132">
        <v>1</v>
      </c>
      <c r="N844" s="132">
        <f t="shared" si="79"/>
        <v>0</v>
      </c>
      <c r="P844" s="132">
        <v>1</v>
      </c>
      <c r="Q844" s="132">
        <f t="shared" si="83"/>
        <v>0</v>
      </c>
      <c r="S844" s="132">
        <v>1</v>
      </c>
      <c r="T844" s="132">
        <f t="shared" si="80"/>
        <v>0</v>
      </c>
      <c r="V844" s="126">
        <f t="shared" si="81"/>
        <v>0</v>
      </c>
      <c r="W844" s="92">
        <f t="shared" si="82"/>
        <v>0</v>
      </c>
      <c r="Y844" s="210"/>
    </row>
    <row r="845" spans="1:25" ht="14.4" customHeight="1" thickBot="1" x14ac:dyDescent="0.3">
      <c r="A845" s="149"/>
      <c r="J845" s="130">
        <v>1</v>
      </c>
      <c r="K845" s="132">
        <f t="shared" si="78"/>
        <v>0</v>
      </c>
      <c r="M845" s="132">
        <v>1</v>
      </c>
      <c r="N845" s="132">
        <f t="shared" si="79"/>
        <v>0</v>
      </c>
      <c r="P845" s="132">
        <v>1</v>
      </c>
      <c r="Q845" s="132">
        <f t="shared" si="83"/>
        <v>0</v>
      </c>
      <c r="S845" s="132">
        <v>1</v>
      </c>
      <c r="T845" s="132">
        <f t="shared" si="80"/>
        <v>0</v>
      </c>
      <c r="V845" s="126">
        <f t="shared" si="81"/>
        <v>0</v>
      </c>
      <c r="W845" s="92">
        <f t="shared" si="82"/>
        <v>0</v>
      </c>
      <c r="Y845" s="210"/>
    </row>
    <row r="846" spans="1:25" ht="14.4" customHeight="1" thickBot="1" x14ac:dyDescent="0.3">
      <c r="A846" s="149"/>
      <c r="J846" s="130">
        <v>1</v>
      </c>
      <c r="K846" s="132">
        <f t="shared" si="78"/>
        <v>0</v>
      </c>
      <c r="M846" s="132">
        <v>1</v>
      </c>
      <c r="N846" s="132">
        <f t="shared" si="79"/>
        <v>0</v>
      </c>
      <c r="P846" s="132">
        <v>1</v>
      </c>
      <c r="Q846" s="132">
        <f t="shared" si="83"/>
        <v>0</v>
      </c>
      <c r="S846" s="132">
        <v>1</v>
      </c>
      <c r="T846" s="132">
        <f t="shared" si="80"/>
        <v>0</v>
      </c>
      <c r="V846" s="126">
        <f t="shared" si="81"/>
        <v>0</v>
      </c>
      <c r="W846" s="92">
        <f t="shared" si="82"/>
        <v>0</v>
      </c>
      <c r="Y846" s="210"/>
    </row>
    <row r="847" spans="1:25" ht="14.4" customHeight="1" thickBot="1" x14ac:dyDescent="0.3">
      <c r="A847" s="149"/>
      <c r="J847" s="130">
        <v>1</v>
      </c>
      <c r="K847" s="132">
        <f t="shared" si="78"/>
        <v>0</v>
      </c>
      <c r="M847" s="132">
        <v>1</v>
      </c>
      <c r="N847" s="132">
        <f t="shared" si="79"/>
        <v>0</v>
      </c>
      <c r="P847" s="132">
        <v>1</v>
      </c>
      <c r="Q847" s="132">
        <f t="shared" si="83"/>
        <v>0</v>
      </c>
      <c r="S847" s="132">
        <v>1</v>
      </c>
      <c r="T847" s="132">
        <f t="shared" si="80"/>
        <v>0</v>
      </c>
      <c r="V847" s="126">
        <f t="shared" si="81"/>
        <v>0</v>
      </c>
      <c r="W847" s="92">
        <f t="shared" si="82"/>
        <v>0</v>
      </c>
      <c r="Y847" s="210"/>
    </row>
    <row r="848" spans="1:25" ht="14.4" customHeight="1" thickBot="1" x14ac:dyDescent="0.3">
      <c r="A848" s="149"/>
      <c r="J848" s="130">
        <v>1</v>
      </c>
      <c r="K848" s="132">
        <f t="shared" si="78"/>
        <v>0</v>
      </c>
      <c r="M848" s="132">
        <v>1</v>
      </c>
      <c r="N848" s="132">
        <f t="shared" si="79"/>
        <v>0</v>
      </c>
      <c r="P848" s="132">
        <v>1</v>
      </c>
      <c r="Q848" s="132">
        <f t="shared" si="83"/>
        <v>0</v>
      </c>
      <c r="S848" s="132">
        <v>1</v>
      </c>
      <c r="T848" s="132">
        <f t="shared" si="80"/>
        <v>0</v>
      </c>
      <c r="V848" s="126">
        <f t="shared" si="81"/>
        <v>0</v>
      </c>
      <c r="W848" s="92">
        <f t="shared" si="82"/>
        <v>0</v>
      </c>
      <c r="Y848" s="210"/>
    </row>
    <row r="849" spans="1:25" ht="14.4" customHeight="1" thickBot="1" x14ac:dyDescent="0.3">
      <c r="A849" s="149"/>
      <c r="J849" s="130">
        <v>1</v>
      </c>
      <c r="K849" s="132">
        <f t="shared" si="78"/>
        <v>0</v>
      </c>
      <c r="M849" s="132">
        <v>1</v>
      </c>
      <c r="N849" s="132">
        <f t="shared" si="79"/>
        <v>0</v>
      </c>
      <c r="P849" s="132">
        <v>1</v>
      </c>
      <c r="Q849" s="132">
        <f t="shared" si="83"/>
        <v>0</v>
      </c>
      <c r="S849" s="132">
        <v>1</v>
      </c>
      <c r="T849" s="132">
        <f t="shared" si="80"/>
        <v>0</v>
      </c>
      <c r="V849" s="126">
        <f t="shared" si="81"/>
        <v>0</v>
      </c>
      <c r="W849" s="92">
        <f t="shared" si="82"/>
        <v>0</v>
      </c>
      <c r="Y849" s="210"/>
    </row>
    <row r="850" spans="1:25" ht="14.4" customHeight="1" thickBot="1" x14ac:dyDescent="0.3">
      <c r="A850" s="149"/>
      <c r="J850" s="130">
        <v>1</v>
      </c>
      <c r="K850" s="132">
        <f t="shared" si="78"/>
        <v>0</v>
      </c>
      <c r="M850" s="132">
        <v>1</v>
      </c>
      <c r="N850" s="132">
        <f t="shared" si="79"/>
        <v>0</v>
      </c>
      <c r="P850" s="132">
        <v>1</v>
      </c>
      <c r="Q850" s="132">
        <f t="shared" si="83"/>
        <v>0</v>
      </c>
      <c r="S850" s="132">
        <v>1</v>
      </c>
      <c r="T850" s="132">
        <f t="shared" si="80"/>
        <v>0</v>
      </c>
      <c r="V850" s="126">
        <f t="shared" si="81"/>
        <v>0</v>
      </c>
      <c r="W850" s="92">
        <f t="shared" si="82"/>
        <v>0</v>
      </c>
      <c r="Y850" s="210"/>
    </row>
    <row r="851" spans="1:25" ht="14.4" customHeight="1" thickBot="1" x14ac:dyDescent="0.3">
      <c r="A851" s="149"/>
      <c r="J851" s="130">
        <v>1</v>
      </c>
      <c r="K851" s="132">
        <f t="shared" si="78"/>
        <v>0</v>
      </c>
      <c r="M851" s="132">
        <v>1</v>
      </c>
      <c r="N851" s="132">
        <f t="shared" si="79"/>
        <v>0</v>
      </c>
      <c r="P851" s="132">
        <v>1</v>
      </c>
      <c r="Q851" s="132">
        <f t="shared" si="83"/>
        <v>0</v>
      </c>
      <c r="S851" s="132">
        <v>1</v>
      </c>
      <c r="T851" s="132">
        <f t="shared" si="80"/>
        <v>0</v>
      </c>
      <c r="V851" s="126">
        <f t="shared" si="81"/>
        <v>0</v>
      </c>
      <c r="W851" s="92">
        <f t="shared" si="82"/>
        <v>0</v>
      </c>
      <c r="Y851" s="210"/>
    </row>
    <row r="852" spans="1:25" ht="14.4" customHeight="1" thickBot="1" x14ac:dyDescent="0.3">
      <c r="A852" s="149"/>
      <c r="J852" s="130">
        <v>1</v>
      </c>
      <c r="K852" s="132">
        <f t="shared" si="78"/>
        <v>0</v>
      </c>
      <c r="M852" s="132">
        <v>1</v>
      </c>
      <c r="N852" s="132">
        <f t="shared" si="79"/>
        <v>0</v>
      </c>
      <c r="P852" s="132">
        <v>1</v>
      </c>
      <c r="Q852" s="132">
        <f t="shared" si="83"/>
        <v>0</v>
      </c>
      <c r="S852" s="132">
        <v>1</v>
      </c>
      <c r="T852" s="132">
        <f t="shared" si="80"/>
        <v>0</v>
      </c>
      <c r="V852" s="126">
        <f t="shared" si="81"/>
        <v>0</v>
      </c>
      <c r="W852" s="92">
        <f t="shared" si="82"/>
        <v>0</v>
      </c>
      <c r="Y852" s="210"/>
    </row>
    <row r="853" spans="1:25" ht="14.4" customHeight="1" thickBot="1" x14ac:dyDescent="0.3">
      <c r="A853" s="149"/>
      <c r="J853" s="130">
        <v>1</v>
      </c>
      <c r="K853" s="132">
        <f t="shared" si="78"/>
        <v>0</v>
      </c>
      <c r="M853" s="132">
        <v>1</v>
      </c>
      <c r="N853" s="132">
        <f t="shared" si="79"/>
        <v>0</v>
      </c>
      <c r="P853" s="132">
        <v>1</v>
      </c>
      <c r="Q853" s="132">
        <f t="shared" si="83"/>
        <v>0</v>
      </c>
      <c r="S853" s="132">
        <v>1</v>
      </c>
      <c r="T853" s="132">
        <f t="shared" si="80"/>
        <v>0</v>
      </c>
      <c r="V853" s="126">
        <f t="shared" si="81"/>
        <v>0</v>
      </c>
      <c r="W853" s="92">
        <f t="shared" si="82"/>
        <v>0</v>
      </c>
      <c r="Y853" s="210"/>
    </row>
    <row r="854" spans="1:25" ht="14.4" customHeight="1" thickBot="1" x14ac:dyDescent="0.3">
      <c r="A854" s="149"/>
      <c r="J854" s="130">
        <v>1</v>
      </c>
      <c r="K854" s="132">
        <f t="shared" si="78"/>
        <v>0</v>
      </c>
      <c r="M854" s="132">
        <v>1</v>
      </c>
      <c r="N854" s="132">
        <f t="shared" si="79"/>
        <v>0</v>
      </c>
      <c r="P854" s="132">
        <v>1</v>
      </c>
      <c r="Q854" s="132">
        <f t="shared" si="83"/>
        <v>0</v>
      </c>
      <c r="S854" s="132">
        <v>1</v>
      </c>
      <c r="T854" s="132">
        <f t="shared" si="80"/>
        <v>0</v>
      </c>
      <c r="V854" s="126">
        <f t="shared" si="81"/>
        <v>0</v>
      </c>
      <c r="W854" s="92">
        <f t="shared" si="82"/>
        <v>0</v>
      </c>
      <c r="Y854" s="210"/>
    </row>
    <row r="855" spans="1:25" ht="14.4" customHeight="1" thickBot="1" x14ac:dyDescent="0.3">
      <c r="A855" s="149"/>
      <c r="J855" s="130">
        <v>1</v>
      </c>
      <c r="K855" s="132">
        <f t="shared" si="78"/>
        <v>0</v>
      </c>
      <c r="M855" s="132">
        <v>1</v>
      </c>
      <c r="N855" s="132">
        <f t="shared" si="79"/>
        <v>0</v>
      </c>
      <c r="P855" s="132">
        <v>1</v>
      </c>
      <c r="Q855" s="132">
        <f t="shared" si="83"/>
        <v>0</v>
      </c>
      <c r="S855" s="132">
        <v>1</v>
      </c>
      <c r="T855" s="132">
        <f t="shared" si="80"/>
        <v>0</v>
      </c>
      <c r="V855" s="126">
        <f t="shared" si="81"/>
        <v>0</v>
      </c>
      <c r="W855" s="92">
        <f t="shared" si="82"/>
        <v>0</v>
      </c>
      <c r="Y855" s="210"/>
    </row>
    <row r="856" spans="1:25" ht="14.4" customHeight="1" thickBot="1" x14ac:dyDescent="0.3">
      <c r="A856" s="149"/>
      <c r="J856" s="130">
        <v>1</v>
      </c>
      <c r="K856" s="132">
        <f t="shared" si="78"/>
        <v>0</v>
      </c>
      <c r="M856" s="132">
        <v>1</v>
      </c>
      <c r="N856" s="132">
        <f t="shared" si="79"/>
        <v>0</v>
      </c>
      <c r="P856" s="132">
        <v>1</v>
      </c>
      <c r="Q856" s="132">
        <f t="shared" si="83"/>
        <v>0</v>
      </c>
      <c r="S856" s="132">
        <v>1</v>
      </c>
      <c r="T856" s="132">
        <f t="shared" si="80"/>
        <v>0</v>
      </c>
      <c r="V856" s="126">
        <f t="shared" si="81"/>
        <v>0</v>
      </c>
      <c r="W856" s="92">
        <f t="shared" si="82"/>
        <v>0</v>
      </c>
      <c r="Y856" s="210"/>
    </row>
    <row r="857" spans="1:25" ht="14.4" customHeight="1" thickBot="1" x14ac:dyDescent="0.3">
      <c r="A857" s="149"/>
      <c r="J857" s="130">
        <v>1</v>
      </c>
      <c r="K857" s="132">
        <f t="shared" si="78"/>
        <v>0</v>
      </c>
      <c r="M857" s="132">
        <v>1</v>
      </c>
      <c r="N857" s="132">
        <f t="shared" si="79"/>
        <v>0</v>
      </c>
      <c r="P857" s="132">
        <v>1</v>
      </c>
      <c r="Q857" s="132">
        <f t="shared" si="83"/>
        <v>0</v>
      </c>
      <c r="S857" s="132">
        <v>1</v>
      </c>
      <c r="T857" s="132">
        <f t="shared" si="80"/>
        <v>0</v>
      </c>
      <c r="V857" s="126">
        <f t="shared" si="81"/>
        <v>0</v>
      </c>
      <c r="W857" s="92">
        <f t="shared" si="82"/>
        <v>0</v>
      </c>
      <c r="Y857" s="210"/>
    </row>
    <row r="858" spans="1:25" ht="14.4" customHeight="1" thickBot="1" x14ac:dyDescent="0.3">
      <c r="A858" s="149"/>
      <c r="J858" s="130">
        <v>1</v>
      </c>
      <c r="K858" s="132">
        <f t="shared" si="78"/>
        <v>0</v>
      </c>
      <c r="M858" s="132">
        <v>1</v>
      </c>
      <c r="N858" s="132">
        <f t="shared" si="79"/>
        <v>0</v>
      </c>
      <c r="P858" s="132">
        <v>1</v>
      </c>
      <c r="Q858" s="132">
        <f t="shared" si="83"/>
        <v>0</v>
      </c>
      <c r="S858" s="132">
        <v>1</v>
      </c>
      <c r="T858" s="132">
        <f t="shared" si="80"/>
        <v>0</v>
      </c>
      <c r="V858" s="126">
        <f t="shared" si="81"/>
        <v>0</v>
      </c>
      <c r="W858" s="92">
        <f t="shared" si="82"/>
        <v>0</v>
      </c>
      <c r="Y858" s="210"/>
    </row>
    <row r="859" spans="1:25" ht="14.4" customHeight="1" thickBot="1" x14ac:dyDescent="0.3">
      <c r="A859" s="149"/>
      <c r="J859" s="130">
        <v>1</v>
      </c>
      <c r="K859" s="132">
        <f t="shared" si="78"/>
        <v>0</v>
      </c>
      <c r="M859" s="132">
        <v>1</v>
      </c>
      <c r="N859" s="132">
        <f t="shared" si="79"/>
        <v>0</v>
      </c>
      <c r="P859" s="132">
        <v>1</v>
      </c>
      <c r="Q859" s="132">
        <f t="shared" si="83"/>
        <v>0</v>
      </c>
      <c r="S859" s="132">
        <v>1</v>
      </c>
      <c r="T859" s="132">
        <f t="shared" si="80"/>
        <v>0</v>
      </c>
      <c r="V859" s="126">
        <f t="shared" si="81"/>
        <v>0</v>
      </c>
      <c r="W859" s="92">
        <f t="shared" si="82"/>
        <v>0</v>
      </c>
      <c r="Y859" s="210"/>
    </row>
    <row r="860" spans="1:25" ht="14.4" customHeight="1" thickBot="1" x14ac:dyDescent="0.3">
      <c r="A860" s="149"/>
      <c r="J860" s="130">
        <v>1</v>
      </c>
      <c r="K860" s="132">
        <f t="shared" si="78"/>
        <v>0</v>
      </c>
      <c r="M860" s="132">
        <v>1</v>
      </c>
      <c r="N860" s="132">
        <f t="shared" si="79"/>
        <v>0</v>
      </c>
      <c r="P860" s="132">
        <v>1</v>
      </c>
      <c r="Q860" s="132">
        <f t="shared" si="83"/>
        <v>0</v>
      </c>
      <c r="S860" s="132">
        <v>1</v>
      </c>
      <c r="T860" s="132">
        <f t="shared" si="80"/>
        <v>0</v>
      </c>
      <c r="V860" s="126">
        <f t="shared" si="81"/>
        <v>0</v>
      </c>
      <c r="W860" s="92">
        <f t="shared" si="82"/>
        <v>0</v>
      </c>
      <c r="Y860" s="210"/>
    </row>
    <row r="861" spans="1:25" ht="14.4" customHeight="1" thickBot="1" x14ac:dyDescent="0.3">
      <c r="A861" s="149"/>
      <c r="J861" s="130">
        <v>1</v>
      </c>
      <c r="K861" s="132">
        <f t="shared" si="78"/>
        <v>0</v>
      </c>
      <c r="M861" s="132">
        <v>1</v>
      </c>
      <c r="N861" s="132">
        <f t="shared" si="79"/>
        <v>0</v>
      </c>
      <c r="P861" s="132">
        <v>1</v>
      </c>
      <c r="Q861" s="132">
        <f t="shared" si="83"/>
        <v>0</v>
      </c>
      <c r="S861" s="132">
        <v>1</v>
      </c>
      <c r="T861" s="132">
        <f t="shared" si="80"/>
        <v>0</v>
      </c>
      <c r="V861" s="126">
        <f t="shared" si="81"/>
        <v>0</v>
      </c>
      <c r="W861" s="92">
        <f t="shared" si="82"/>
        <v>0</v>
      </c>
      <c r="Y861" s="210"/>
    </row>
    <row r="862" spans="1:25" ht="14.4" customHeight="1" thickBot="1" x14ac:dyDescent="0.3">
      <c r="A862" s="149"/>
      <c r="J862" s="130">
        <v>1</v>
      </c>
      <c r="K862" s="132">
        <f t="shared" si="78"/>
        <v>0</v>
      </c>
      <c r="M862" s="132">
        <v>1</v>
      </c>
      <c r="N862" s="132">
        <f t="shared" si="79"/>
        <v>0</v>
      </c>
      <c r="P862" s="132">
        <v>1</v>
      </c>
      <c r="Q862" s="132">
        <f t="shared" si="83"/>
        <v>0</v>
      </c>
      <c r="S862" s="132">
        <v>1</v>
      </c>
      <c r="T862" s="132">
        <f t="shared" si="80"/>
        <v>0</v>
      </c>
      <c r="V862" s="126">
        <f t="shared" si="81"/>
        <v>0</v>
      </c>
      <c r="W862" s="92">
        <f t="shared" si="82"/>
        <v>0</v>
      </c>
      <c r="Y862" s="210"/>
    </row>
    <row r="863" spans="1:25" ht="14.4" customHeight="1" thickBot="1" x14ac:dyDescent="0.3">
      <c r="A863" s="149"/>
      <c r="J863" s="130">
        <v>1</v>
      </c>
      <c r="K863" s="132">
        <f t="shared" si="78"/>
        <v>0</v>
      </c>
      <c r="M863" s="132">
        <v>1</v>
      </c>
      <c r="N863" s="132">
        <f t="shared" si="79"/>
        <v>0</v>
      </c>
      <c r="P863" s="132">
        <v>1</v>
      </c>
      <c r="Q863" s="132">
        <f t="shared" si="83"/>
        <v>0</v>
      </c>
      <c r="S863" s="132">
        <v>1</v>
      </c>
      <c r="T863" s="132">
        <f t="shared" si="80"/>
        <v>0</v>
      </c>
      <c r="V863" s="126">
        <f t="shared" si="81"/>
        <v>0</v>
      </c>
      <c r="W863" s="92">
        <f t="shared" si="82"/>
        <v>0</v>
      </c>
      <c r="Y863" s="210"/>
    </row>
    <row r="864" spans="1:25" ht="14.4" customHeight="1" thickBot="1" x14ac:dyDescent="0.3">
      <c r="A864" s="149"/>
      <c r="J864" s="130">
        <v>1</v>
      </c>
      <c r="K864" s="132">
        <f t="shared" si="78"/>
        <v>0</v>
      </c>
      <c r="M864" s="132">
        <v>1</v>
      </c>
      <c r="N864" s="132">
        <f t="shared" si="79"/>
        <v>0</v>
      </c>
      <c r="P864" s="132">
        <v>1</v>
      </c>
      <c r="Q864" s="132">
        <f t="shared" si="83"/>
        <v>0</v>
      </c>
      <c r="S864" s="132">
        <v>1</v>
      </c>
      <c r="T864" s="132">
        <f t="shared" si="80"/>
        <v>0</v>
      </c>
      <c r="V864" s="126">
        <f t="shared" si="81"/>
        <v>0</v>
      </c>
      <c r="W864" s="92">
        <f t="shared" si="82"/>
        <v>0</v>
      </c>
      <c r="Y864" s="210"/>
    </row>
    <row r="865" spans="1:25" ht="14.4" customHeight="1" thickBot="1" x14ac:dyDescent="0.3">
      <c r="A865" s="149"/>
      <c r="J865" s="130">
        <v>1</v>
      </c>
      <c r="K865" s="132">
        <f t="shared" si="78"/>
        <v>0</v>
      </c>
      <c r="M865" s="132">
        <v>1</v>
      </c>
      <c r="N865" s="132">
        <f t="shared" si="79"/>
        <v>0</v>
      </c>
      <c r="P865" s="132">
        <v>1</v>
      </c>
      <c r="Q865" s="132">
        <f t="shared" si="83"/>
        <v>0</v>
      </c>
      <c r="S865" s="132">
        <v>1</v>
      </c>
      <c r="T865" s="132">
        <f t="shared" si="80"/>
        <v>0</v>
      </c>
      <c r="V865" s="126">
        <f t="shared" si="81"/>
        <v>0</v>
      </c>
      <c r="W865" s="92">
        <f t="shared" si="82"/>
        <v>0</v>
      </c>
      <c r="Y865" s="210"/>
    </row>
    <row r="866" spans="1:25" ht="14.4" customHeight="1" thickBot="1" x14ac:dyDescent="0.3">
      <c r="A866" s="149"/>
      <c r="J866" s="130">
        <v>1</v>
      </c>
      <c r="K866" s="132">
        <f t="shared" si="78"/>
        <v>0</v>
      </c>
      <c r="M866" s="132">
        <v>1</v>
      </c>
      <c r="N866" s="132">
        <f t="shared" si="79"/>
        <v>0</v>
      </c>
      <c r="P866" s="132">
        <v>1</v>
      </c>
      <c r="Q866" s="132">
        <f t="shared" si="83"/>
        <v>0</v>
      </c>
      <c r="S866" s="132">
        <v>1</v>
      </c>
      <c r="T866" s="132">
        <f t="shared" si="80"/>
        <v>0</v>
      </c>
      <c r="V866" s="126">
        <f t="shared" si="81"/>
        <v>0</v>
      </c>
      <c r="W866" s="92">
        <f t="shared" si="82"/>
        <v>0</v>
      </c>
      <c r="Y866" s="210"/>
    </row>
    <row r="867" spans="1:25" ht="14.4" customHeight="1" thickBot="1" x14ac:dyDescent="0.3">
      <c r="A867" s="149"/>
      <c r="J867" s="130">
        <v>1</v>
      </c>
      <c r="K867" s="132">
        <f t="shared" si="78"/>
        <v>0</v>
      </c>
      <c r="M867" s="132">
        <v>1</v>
      </c>
      <c r="N867" s="132">
        <f t="shared" si="79"/>
        <v>0</v>
      </c>
      <c r="P867" s="132">
        <v>1</v>
      </c>
      <c r="Q867" s="132">
        <f t="shared" si="83"/>
        <v>0</v>
      </c>
      <c r="S867" s="132">
        <v>1</v>
      </c>
      <c r="T867" s="132">
        <f t="shared" si="80"/>
        <v>0</v>
      </c>
      <c r="V867" s="126">
        <f t="shared" si="81"/>
        <v>0</v>
      </c>
      <c r="W867" s="92">
        <f t="shared" si="82"/>
        <v>0</v>
      </c>
      <c r="Y867" s="210"/>
    </row>
    <row r="868" spans="1:25" ht="14.4" customHeight="1" thickBot="1" x14ac:dyDescent="0.3">
      <c r="A868" s="149"/>
      <c r="J868" s="130">
        <v>1</v>
      </c>
      <c r="K868" s="132">
        <f t="shared" si="78"/>
        <v>0</v>
      </c>
      <c r="M868" s="132">
        <v>1</v>
      </c>
      <c r="N868" s="132">
        <f t="shared" si="79"/>
        <v>0</v>
      </c>
      <c r="P868" s="132">
        <v>1</v>
      </c>
      <c r="Q868" s="132">
        <f t="shared" si="83"/>
        <v>0</v>
      </c>
      <c r="S868" s="132">
        <v>1</v>
      </c>
      <c r="T868" s="132">
        <f t="shared" si="80"/>
        <v>0</v>
      </c>
      <c r="V868" s="126">
        <f t="shared" si="81"/>
        <v>0</v>
      </c>
      <c r="W868" s="92">
        <f t="shared" si="82"/>
        <v>0</v>
      </c>
      <c r="Y868" s="210"/>
    </row>
    <row r="869" spans="1:25" ht="14.4" customHeight="1" thickBot="1" x14ac:dyDescent="0.3">
      <c r="A869" s="149"/>
      <c r="J869" s="130">
        <v>1</v>
      </c>
      <c r="K869" s="132">
        <f t="shared" si="78"/>
        <v>0</v>
      </c>
      <c r="M869" s="132">
        <v>1</v>
      </c>
      <c r="N869" s="132">
        <f t="shared" si="79"/>
        <v>0</v>
      </c>
      <c r="P869" s="132">
        <v>1</v>
      </c>
      <c r="Q869" s="132">
        <f t="shared" si="83"/>
        <v>0</v>
      </c>
      <c r="S869" s="132">
        <v>1</v>
      </c>
      <c r="T869" s="132">
        <f t="shared" si="80"/>
        <v>0</v>
      </c>
      <c r="V869" s="126">
        <f t="shared" si="81"/>
        <v>0</v>
      </c>
      <c r="W869" s="92">
        <f t="shared" si="82"/>
        <v>0</v>
      </c>
      <c r="Y869" s="210"/>
    </row>
    <row r="870" spans="1:25" ht="14.4" customHeight="1" thickBot="1" x14ac:dyDescent="0.3">
      <c r="A870" s="149"/>
      <c r="J870" s="130">
        <v>1</v>
      </c>
      <c r="K870" s="132">
        <f t="shared" si="78"/>
        <v>0</v>
      </c>
      <c r="M870" s="132">
        <v>1</v>
      </c>
      <c r="N870" s="132">
        <f t="shared" si="79"/>
        <v>0</v>
      </c>
      <c r="P870" s="132">
        <v>1</v>
      </c>
      <c r="Q870" s="132">
        <f t="shared" si="83"/>
        <v>0</v>
      </c>
      <c r="S870" s="132">
        <v>1</v>
      </c>
      <c r="T870" s="132">
        <f t="shared" si="80"/>
        <v>0</v>
      </c>
      <c r="V870" s="126">
        <f t="shared" si="81"/>
        <v>0</v>
      </c>
      <c r="W870" s="92">
        <f t="shared" si="82"/>
        <v>0</v>
      </c>
      <c r="Y870" s="210"/>
    </row>
    <row r="871" spans="1:25" ht="14.4" customHeight="1" thickBot="1" x14ac:dyDescent="0.3">
      <c r="A871" s="149"/>
      <c r="J871" s="130">
        <v>1</v>
      </c>
      <c r="K871" s="132">
        <f t="shared" si="78"/>
        <v>0</v>
      </c>
      <c r="M871" s="132">
        <v>1</v>
      </c>
      <c r="N871" s="132">
        <f t="shared" si="79"/>
        <v>0</v>
      </c>
      <c r="P871" s="132">
        <v>1</v>
      </c>
      <c r="Q871" s="132">
        <f t="shared" si="83"/>
        <v>0</v>
      </c>
      <c r="S871" s="132">
        <v>1</v>
      </c>
      <c r="T871" s="132">
        <f t="shared" si="80"/>
        <v>0</v>
      </c>
      <c r="V871" s="126">
        <f t="shared" si="81"/>
        <v>0</v>
      </c>
      <c r="W871" s="92">
        <f t="shared" si="82"/>
        <v>0</v>
      </c>
      <c r="Y871" s="210"/>
    </row>
    <row r="872" spans="1:25" ht="14.4" customHeight="1" thickBot="1" x14ac:dyDescent="0.3">
      <c r="A872" s="149"/>
      <c r="J872" s="130">
        <v>1</v>
      </c>
      <c r="K872" s="132">
        <f t="shared" si="78"/>
        <v>0</v>
      </c>
      <c r="M872" s="132">
        <v>1</v>
      </c>
      <c r="N872" s="132">
        <f t="shared" si="79"/>
        <v>0</v>
      </c>
      <c r="P872" s="132">
        <v>1</v>
      </c>
      <c r="Q872" s="132">
        <f t="shared" si="83"/>
        <v>0</v>
      </c>
      <c r="S872" s="132">
        <v>1</v>
      </c>
      <c r="T872" s="132">
        <f t="shared" si="80"/>
        <v>0</v>
      </c>
      <c r="V872" s="126">
        <f t="shared" si="81"/>
        <v>0</v>
      </c>
      <c r="W872" s="92">
        <f t="shared" si="82"/>
        <v>0</v>
      </c>
      <c r="Y872" s="210"/>
    </row>
    <row r="873" spans="1:25" ht="14.4" customHeight="1" thickBot="1" x14ac:dyDescent="0.3">
      <c r="A873" s="149"/>
      <c r="J873" s="130">
        <v>1</v>
      </c>
      <c r="K873" s="132">
        <f t="shared" si="78"/>
        <v>0</v>
      </c>
      <c r="M873" s="132">
        <v>1</v>
      </c>
      <c r="N873" s="132">
        <f t="shared" si="79"/>
        <v>0</v>
      </c>
      <c r="P873" s="132">
        <v>1</v>
      </c>
      <c r="Q873" s="132">
        <f t="shared" si="83"/>
        <v>0</v>
      </c>
      <c r="S873" s="132">
        <v>1</v>
      </c>
      <c r="T873" s="132">
        <f t="shared" si="80"/>
        <v>0</v>
      </c>
      <c r="V873" s="126">
        <f t="shared" si="81"/>
        <v>0</v>
      </c>
      <c r="W873" s="92">
        <f t="shared" si="82"/>
        <v>0</v>
      </c>
      <c r="Y873" s="210"/>
    </row>
    <row r="874" spans="1:25" ht="14.4" customHeight="1" thickBot="1" x14ac:dyDescent="0.3">
      <c r="A874" s="149"/>
      <c r="J874" s="130">
        <v>1</v>
      </c>
      <c r="K874" s="132">
        <f t="shared" si="78"/>
        <v>0</v>
      </c>
      <c r="M874" s="132">
        <v>1</v>
      </c>
      <c r="N874" s="132">
        <f t="shared" si="79"/>
        <v>0</v>
      </c>
      <c r="P874" s="132">
        <v>1</v>
      </c>
      <c r="Q874" s="132">
        <f t="shared" si="83"/>
        <v>0</v>
      </c>
      <c r="S874" s="132">
        <v>1</v>
      </c>
      <c r="T874" s="132">
        <f t="shared" si="80"/>
        <v>0</v>
      </c>
      <c r="V874" s="126">
        <f t="shared" si="81"/>
        <v>0</v>
      </c>
      <c r="W874" s="92">
        <f t="shared" si="82"/>
        <v>0</v>
      </c>
      <c r="Y874" s="210"/>
    </row>
    <row r="875" spans="1:25" ht="14.4" customHeight="1" thickBot="1" x14ac:dyDescent="0.3">
      <c r="A875" s="149"/>
      <c r="J875" s="130">
        <v>1</v>
      </c>
      <c r="K875" s="132">
        <f t="shared" si="78"/>
        <v>0</v>
      </c>
      <c r="M875" s="132">
        <v>1</v>
      </c>
      <c r="N875" s="132">
        <f t="shared" si="79"/>
        <v>0</v>
      </c>
      <c r="P875" s="132">
        <v>1</v>
      </c>
      <c r="Q875" s="132">
        <f t="shared" si="83"/>
        <v>0</v>
      </c>
      <c r="S875" s="132">
        <v>1</v>
      </c>
      <c r="T875" s="132">
        <f t="shared" si="80"/>
        <v>0</v>
      </c>
      <c r="V875" s="126">
        <f t="shared" si="81"/>
        <v>0</v>
      </c>
      <c r="W875" s="92">
        <f t="shared" si="82"/>
        <v>0</v>
      </c>
      <c r="Y875" s="210"/>
    </row>
    <row r="876" spans="1:25" ht="14.4" customHeight="1" thickBot="1" x14ac:dyDescent="0.3">
      <c r="A876" s="149"/>
      <c r="J876" s="130">
        <v>1</v>
      </c>
      <c r="K876" s="132">
        <f t="shared" si="78"/>
        <v>0</v>
      </c>
      <c r="M876" s="132">
        <v>1</v>
      </c>
      <c r="N876" s="132">
        <f t="shared" si="79"/>
        <v>0</v>
      </c>
      <c r="P876" s="132">
        <v>1</v>
      </c>
      <c r="Q876" s="132">
        <f t="shared" si="83"/>
        <v>0</v>
      </c>
      <c r="S876" s="132">
        <v>1</v>
      </c>
      <c r="T876" s="132">
        <f t="shared" si="80"/>
        <v>0</v>
      </c>
      <c r="V876" s="126">
        <f t="shared" si="81"/>
        <v>0</v>
      </c>
      <c r="W876" s="92">
        <f t="shared" si="82"/>
        <v>0</v>
      </c>
      <c r="Y876" s="210"/>
    </row>
    <row r="877" spans="1:25" ht="14.4" customHeight="1" thickBot="1" x14ac:dyDescent="0.3">
      <c r="A877" s="149"/>
      <c r="J877" s="130">
        <v>1</v>
      </c>
      <c r="K877" s="132">
        <f t="shared" si="78"/>
        <v>0</v>
      </c>
      <c r="M877" s="132">
        <v>1</v>
      </c>
      <c r="N877" s="132">
        <f t="shared" si="79"/>
        <v>0</v>
      </c>
      <c r="P877" s="132">
        <v>1</v>
      </c>
      <c r="Q877" s="132">
        <f t="shared" si="83"/>
        <v>0</v>
      </c>
      <c r="S877" s="132">
        <v>1</v>
      </c>
      <c r="T877" s="132">
        <f t="shared" si="80"/>
        <v>0</v>
      </c>
      <c r="V877" s="126">
        <f t="shared" si="81"/>
        <v>0</v>
      </c>
      <c r="W877" s="92">
        <f t="shared" si="82"/>
        <v>0</v>
      </c>
      <c r="Y877" s="210"/>
    </row>
    <row r="878" spans="1:25" ht="14.4" customHeight="1" thickBot="1" x14ac:dyDescent="0.3">
      <c r="A878" s="149"/>
      <c r="J878" s="130">
        <v>1</v>
      </c>
      <c r="K878" s="132">
        <f t="shared" si="78"/>
        <v>0</v>
      </c>
      <c r="M878" s="132">
        <v>1</v>
      </c>
      <c r="N878" s="132">
        <f t="shared" si="79"/>
        <v>0</v>
      </c>
      <c r="P878" s="132">
        <v>1</v>
      </c>
      <c r="Q878" s="132">
        <f t="shared" si="83"/>
        <v>0</v>
      </c>
      <c r="S878" s="132">
        <v>1</v>
      </c>
      <c r="T878" s="132">
        <f t="shared" si="80"/>
        <v>0</v>
      </c>
      <c r="V878" s="126">
        <f t="shared" si="81"/>
        <v>0</v>
      </c>
      <c r="W878" s="92">
        <f t="shared" si="82"/>
        <v>0</v>
      </c>
      <c r="Y878" s="210"/>
    </row>
    <row r="879" spans="1:25" ht="14.4" customHeight="1" thickBot="1" x14ac:dyDescent="0.3">
      <c r="A879" s="149"/>
      <c r="J879" s="130">
        <v>1</v>
      </c>
      <c r="K879" s="132">
        <f t="shared" si="78"/>
        <v>0</v>
      </c>
      <c r="M879" s="132">
        <v>1</v>
      </c>
      <c r="N879" s="132">
        <f t="shared" si="79"/>
        <v>0</v>
      </c>
      <c r="P879" s="132">
        <v>1</v>
      </c>
      <c r="Q879" s="132">
        <f t="shared" si="83"/>
        <v>0</v>
      </c>
      <c r="S879" s="132">
        <v>1</v>
      </c>
      <c r="T879" s="132">
        <f t="shared" si="80"/>
        <v>0</v>
      </c>
      <c r="V879" s="126">
        <f t="shared" si="81"/>
        <v>0</v>
      </c>
      <c r="W879" s="92">
        <f t="shared" si="82"/>
        <v>0</v>
      </c>
      <c r="Y879" s="210"/>
    </row>
    <row r="880" spans="1:25" ht="14.4" customHeight="1" thickBot="1" x14ac:dyDescent="0.3">
      <c r="A880" s="149"/>
      <c r="J880" s="130">
        <v>1</v>
      </c>
      <c r="K880" s="132">
        <f t="shared" si="78"/>
        <v>0</v>
      </c>
      <c r="M880" s="132">
        <v>1</v>
      </c>
      <c r="N880" s="132">
        <f t="shared" si="79"/>
        <v>0</v>
      </c>
      <c r="P880" s="132">
        <v>1</v>
      </c>
      <c r="Q880" s="132">
        <f t="shared" si="83"/>
        <v>0</v>
      </c>
      <c r="S880" s="132">
        <v>1</v>
      </c>
      <c r="T880" s="132">
        <f t="shared" si="80"/>
        <v>0</v>
      </c>
      <c r="V880" s="126">
        <f t="shared" si="81"/>
        <v>0</v>
      </c>
      <c r="W880" s="92">
        <f t="shared" si="82"/>
        <v>0</v>
      </c>
      <c r="Y880" s="210"/>
    </row>
    <row r="881" spans="1:25" ht="14.4" customHeight="1" thickBot="1" x14ac:dyDescent="0.3">
      <c r="A881" s="149"/>
      <c r="J881" s="130">
        <v>1</v>
      </c>
      <c r="K881" s="132">
        <f t="shared" si="78"/>
        <v>0</v>
      </c>
      <c r="M881" s="132">
        <v>1</v>
      </c>
      <c r="N881" s="132">
        <f t="shared" si="79"/>
        <v>0</v>
      </c>
      <c r="P881" s="132">
        <v>1</v>
      </c>
      <c r="Q881" s="132">
        <f t="shared" si="83"/>
        <v>0</v>
      </c>
      <c r="S881" s="132">
        <v>1</v>
      </c>
      <c r="T881" s="132">
        <f t="shared" si="80"/>
        <v>0</v>
      </c>
      <c r="V881" s="126">
        <f t="shared" si="81"/>
        <v>0</v>
      </c>
      <c r="W881" s="92">
        <f t="shared" si="82"/>
        <v>0</v>
      </c>
      <c r="Y881" s="210"/>
    </row>
    <row r="882" spans="1:25" ht="14.4" customHeight="1" thickBot="1" x14ac:dyDescent="0.3">
      <c r="A882" s="149"/>
      <c r="J882" s="130">
        <v>1</v>
      </c>
      <c r="K882" s="132">
        <f t="shared" si="78"/>
        <v>0</v>
      </c>
      <c r="M882" s="132">
        <v>1</v>
      </c>
      <c r="N882" s="132">
        <f t="shared" si="79"/>
        <v>0</v>
      </c>
      <c r="P882" s="132">
        <v>1</v>
      </c>
      <c r="Q882" s="132">
        <f t="shared" si="83"/>
        <v>0</v>
      </c>
      <c r="S882" s="132">
        <v>1</v>
      </c>
      <c r="T882" s="132">
        <f t="shared" si="80"/>
        <v>0</v>
      </c>
      <c r="V882" s="126">
        <f t="shared" si="81"/>
        <v>0</v>
      </c>
      <c r="W882" s="92">
        <f t="shared" si="82"/>
        <v>0</v>
      </c>
      <c r="Y882" s="210"/>
    </row>
    <row r="883" spans="1:25" ht="14.4" customHeight="1" thickBot="1" x14ac:dyDescent="0.3">
      <c r="A883" s="149"/>
      <c r="J883" s="130">
        <v>1</v>
      </c>
      <c r="K883" s="132">
        <f t="shared" si="78"/>
        <v>0</v>
      </c>
      <c r="M883" s="132">
        <v>1</v>
      </c>
      <c r="N883" s="132">
        <f t="shared" si="79"/>
        <v>0</v>
      </c>
      <c r="P883" s="132">
        <v>1</v>
      </c>
      <c r="Q883" s="132">
        <f t="shared" si="83"/>
        <v>0</v>
      </c>
      <c r="S883" s="132">
        <v>1</v>
      </c>
      <c r="T883" s="132">
        <f t="shared" si="80"/>
        <v>0</v>
      </c>
      <c r="V883" s="126">
        <f t="shared" si="81"/>
        <v>0</v>
      </c>
      <c r="W883" s="92">
        <f t="shared" si="82"/>
        <v>0</v>
      </c>
      <c r="Y883" s="210"/>
    </row>
    <row r="884" spans="1:25" ht="14.4" customHeight="1" thickBot="1" x14ac:dyDescent="0.3">
      <c r="A884" s="149"/>
      <c r="J884" s="130">
        <v>1</v>
      </c>
      <c r="K884" s="132">
        <f t="shared" si="78"/>
        <v>0</v>
      </c>
      <c r="M884" s="132">
        <v>1</v>
      </c>
      <c r="N884" s="132">
        <f t="shared" si="79"/>
        <v>0</v>
      </c>
      <c r="P884" s="132">
        <v>1</v>
      </c>
      <c r="Q884" s="132">
        <f t="shared" si="83"/>
        <v>0</v>
      </c>
      <c r="S884" s="132">
        <v>1</v>
      </c>
      <c r="T884" s="132">
        <f t="shared" si="80"/>
        <v>0</v>
      </c>
      <c r="V884" s="126">
        <f t="shared" si="81"/>
        <v>0</v>
      </c>
      <c r="W884" s="92">
        <f t="shared" si="82"/>
        <v>0</v>
      </c>
      <c r="Y884" s="210"/>
    </row>
    <row r="885" spans="1:25" ht="14.4" customHeight="1" thickBot="1" x14ac:dyDescent="0.3">
      <c r="A885" s="149"/>
      <c r="J885" s="130">
        <v>1</v>
      </c>
      <c r="K885" s="132">
        <f t="shared" si="78"/>
        <v>0</v>
      </c>
      <c r="M885" s="132">
        <v>1</v>
      </c>
      <c r="N885" s="132">
        <f t="shared" si="79"/>
        <v>0</v>
      </c>
      <c r="P885" s="132">
        <v>1</v>
      </c>
      <c r="Q885" s="132">
        <f t="shared" si="83"/>
        <v>0</v>
      </c>
      <c r="S885" s="132">
        <v>1</v>
      </c>
      <c r="T885" s="132">
        <f t="shared" si="80"/>
        <v>0</v>
      </c>
      <c r="V885" s="126">
        <f t="shared" si="81"/>
        <v>0</v>
      </c>
      <c r="W885" s="92">
        <f t="shared" si="82"/>
        <v>0</v>
      </c>
      <c r="Y885" s="210"/>
    </row>
    <row r="886" spans="1:25" ht="14.4" customHeight="1" thickBot="1" x14ac:dyDescent="0.3">
      <c r="A886" s="149"/>
      <c r="J886" s="130">
        <v>1</v>
      </c>
      <c r="K886" s="132">
        <f t="shared" si="78"/>
        <v>0</v>
      </c>
      <c r="M886" s="132">
        <v>1</v>
      </c>
      <c r="N886" s="132">
        <f t="shared" si="79"/>
        <v>0</v>
      </c>
      <c r="P886" s="132">
        <v>1</v>
      </c>
      <c r="Q886" s="132">
        <f t="shared" si="83"/>
        <v>0</v>
      </c>
      <c r="S886" s="132">
        <v>1</v>
      </c>
      <c r="T886" s="132">
        <f t="shared" si="80"/>
        <v>0</v>
      </c>
      <c r="V886" s="126">
        <f t="shared" si="81"/>
        <v>0</v>
      </c>
      <c r="W886" s="92">
        <f t="shared" si="82"/>
        <v>0</v>
      </c>
      <c r="Y886" s="210"/>
    </row>
    <row r="887" spans="1:25" ht="14.4" customHeight="1" thickBot="1" x14ac:dyDescent="0.3">
      <c r="A887" s="149"/>
      <c r="J887" s="130">
        <v>1</v>
      </c>
      <c r="K887" s="132">
        <f t="shared" si="78"/>
        <v>0</v>
      </c>
      <c r="M887" s="132">
        <v>1</v>
      </c>
      <c r="N887" s="132">
        <f t="shared" si="79"/>
        <v>0</v>
      </c>
      <c r="P887" s="132">
        <v>1</v>
      </c>
      <c r="Q887" s="132">
        <f t="shared" si="83"/>
        <v>0</v>
      </c>
      <c r="S887" s="132">
        <v>1</v>
      </c>
      <c r="T887" s="132">
        <f t="shared" si="80"/>
        <v>0</v>
      </c>
      <c r="V887" s="126">
        <f t="shared" si="81"/>
        <v>0</v>
      </c>
      <c r="W887" s="92">
        <f t="shared" si="82"/>
        <v>0</v>
      </c>
      <c r="Y887" s="210"/>
    </row>
    <row r="888" spans="1:25" ht="14.4" customHeight="1" thickBot="1" x14ac:dyDescent="0.3">
      <c r="A888" s="149"/>
      <c r="J888" s="130">
        <v>1</v>
      </c>
      <c r="K888" s="132">
        <f t="shared" si="78"/>
        <v>0</v>
      </c>
      <c r="M888" s="132">
        <v>1</v>
      </c>
      <c r="N888" s="132">
        <f t="shared" si="79"/>
        <v>0</v>
      </c>
      <c r="P888" s="132">
        <v>1</v>
      </c>
      <c r="Q888" s="132">
        <f t="shared" si="83"/>
        <v>0</v>
      </c>
      <c r="S888" s="132">
        <v>1</v>
      </c>
      <c r="T888" s="132">
        <f t="shared" si="80"/>
        <v>0</v>
      </c>
      <c r="V888" s="126">
        <f t="shared" si="81"/>
        <v>0</v>
      </c>
      <c r="W888" s="92">
        <f t="shared" si="82"/>
        <v>0</v>
      </c>
      <c r="Y888" s="210"/>
    </row>
    <row r="889" spans="1:25" ht="14.4" customHeight="1" thickBot="1" x14ac:dyDescent="0.3">
      <c r="A889" s="149"/>
      <c r="J889" s="130">
        <v>1</v>
      </c>
      <c r="K889" s="132">
        <f t="shared" si="78"/>
        <v>0</v>
      </c>
      <c r="M889" s="132">
        <v>1</v>
      </c>
      <c r="N889" s="132">
        <f t="shared" si="79"/>
        <v>0</v>
      </c>
      <c r="P889" s="132">
        <v>1</v>
      </c>
      <c r="Q889" s="132">
        <f t="shared" si="83"/>
        <v>0</v>
      </c>
      <c r="S889" s="132">
        <v>1</v>
      </c>
      <c r="T889" s="132">
        <f t="shared" si="80"/>
        <v>0</v>
      </c>
      <c r="V889" s="126">
        <f t="shared" si="81"/>
        <v>0</v>
      </c>
      <c r="W889" s="92">
        <f t="shared" si="82"/>
        <v>0</v>
      </c>
      <c r="Y889" s="210"/>
    </row>
    <row r="890" spans="1:25" ht="14.4" customHeight="1" thickBot="1" x14ac:dyDescent="0.3">
      <c r="A890" s="149"/>
      <c r="J890" s="130">
        <v>1</v>
      </c>
      <c r="K890" s="132">
        <f t="shared" si="78"/>
        <v>0</v>
      </c>
      <c r="M890" s="132">
        <v>1</v>
      </c>
      <c r="N890" s="132">
        <f t="shared" si="79"/>
        <v>0</v>
      </c>
      <c r="P890" s="132">
        <v>1</v>
      </c>
      <c r="Q890" s="132">
        <f t="shared" si="83"/>
        <v>0</v>
      </c>
      <c r="S890" s="132">
        <v>1</v>
      </c>
      <c r="T890" s="132">
        <f t="shared" si="80"/>
        <v>0</v>
      </c>
      <c r="V890" s="126">
        <f t="shared" si="81"/>
        <v>0</v>
      </c>
      <c r="W890" s="92">
        <f t="shared" si="82"/>
        <v>0</v>
      </c>
      <c r="Y890" s="210"/>
    </row>
    <row r="891" spans="1:25" ht="14.4" customHeight="1" thickBot="1" x14ac:dyDescent="0.3">
      <c r="A891" s="149"/>
      <c r="J891" s="130">
        <v>1</v>
      </c>
      <c r="K891" s="132">
        <f t="shared" si="78"/>
        <v>0</v>
      </c>
      <c r="M891" s="132">
        <v>1</v>
      </c>
      <c r="N891" s="132">
        <f t="shared" si="79"/>
        <v>0</v>
      </c>
      <c r="P891" s="132">
        <v>1</v>
      </c>
      <c r="Q891" s="132">
        <f t="shared" si="83"/>
        <v>0</v>
      </c>
      <c r="S891" s="132">
        <v>1</v>
      </c>
      <c r="T891" s="132">
        <f t="shared" si="80"/>
        <v>0</v>
      </c>
      <c r="V891" s="126">
        <f t="shared" si="81"/>
        <v>0</v>
      </c>
      <c r="W891" s="92">
        <f t="shared" si="82"/>
        <v>0</v>
      </c>
      <c r="Y891" s="210"/>
    </row>
    <row r="892" spans="1:25" ht="14.4" customHeight="1" thickBot="1" x14ac:dyDescent="0.3">
      <c r="A892" s="149"/>
      <c r="J892" s="130">
        <v>1</v>
      </c>
      <c r="K892" s="132">
        <f t="shared" si="78"/>
        <v>0</v>
      </c>
      <c r="M892" s="132">
        <v>1</v>
      </c>
      <c r="N892" s="132">
        <f t="shared" si="79"/>
        <v>0</v>
      </c>
      <c r="P892" s="132">
        <v>1</v>
      </c>
      <c r="Q892" s="132">
        <f t="shared" si="83"/>
        <v>0</v>
      </c>
      <c r="S892" s="132">
        <v>1</v>
      </c>
      <c r="T892" s="132">
        <f t="shared" si="80"/>
        <v>0</v>
      </c>
      <c r="V892" s="126">
        <f t="shared" si="81"/>
        <v>0</v>
      </c>
      <c r="W892" s="92">
        <f t="shared" si="82"/>
        <v>0</v>
      </c>
      <c r="Y892" s="210"/>
    </row>
    <row r="893" spans="1:25" ht="14.4" customHeight="1" thickBot="1" x14ac:dyDescent="0.3">
      <c r="A893" s="149"/>
      <c r="J893" s="130">
        <v>1</v>
      </c>
      <c r="K893" s="132">
        <f t="shared" si="78"/>
        <v>0</v>
      </c>
      <c r="M893" s="132">
        <v>1</v>
      </c>
      <c r="N893" s="132">
        <f t="shared" si="79"/>
        <v>0</v>
      </c>
      <c r="P893" s="132">
        <v>1</v>
      </c>
      <c r="Q893" s="132">
        <f t="shared" si="83"/>
        <v>0</v>
      </c>
      <c r="S893" s="132">
        <v>1</v>
      </c>
      <c r="T893" s="132">
        <f t="shared" si="80"/>
        <v>0</v>
      </c>
      <c r="V893" s="126">
        <f t="shared" si="81"/>
        <v>0</v>
      </c>
      <c r="W893" s="92">
        <f t="shared" si="82"/>
        <v>0</v>
      </c>
      <c r="Y893" s="210"/>
    </row>
    <row r="894" spans="1:25" ht="14.4" customHeight="1" thickBot="1" x14ac:dyDescent="0.3">
      <c r="A894" s="149"/>
      <c r="J894" s="130">
        <v>1</v>
      </c>
      <c r="K894" s="132">
        <f t="shared" si="78"/>
        <v>0</v>
      </c>
      <c r="M894" s="132">
        <v>1</v>
      </c>
      <c r="N894" s="132">
        <f t="shared" si="79"/>
        <v>0</v>
      </c>
      <c r="P894" s="132">
        <v>1</v>
      </c>
      <c r="Q894" s="132">
        <f t="shared" si="83"/>
        <v>0</v>
      </c>
      <c r="S894" s="132">
        <v>1</v>
      </c>
      <c r="T894" s="132">
        <f t="shared" si="80"/>
        <v>0</v>
      </c>
      <c r="V894" s="126">
        <f t="shared" si="81"/>
        <v>0</v>
      </c>
      <c r="W894" s="92">
        <f t="shared" si="82"/>
        <v>0</v>
      </c>
      <c r="Y894" s="210"/>
    </row>
    <row r="895" spans="1:25" ht="14.4" customHeight="1" thickBot="1" x14ac:dyDescent="0.3">
      <c r="A895" s="149"/>
      <c r="J895" s="130">
        <v>1</v>
      </c>
      <c r="K895" s="132">
        <f t="shared" si="78"/>
        <v>0</v>
      </c>
      <c r="M895" s="132">
        <v>1</v>
      </c>
      <c r="N895" s="132">
        <f t="shared" si="79"/>
        <v>0</v>
      </c>
      <c r="P895" s="132">
        <v>1</v>
      </c>
      <c r="Q895" s="132">
        <f t="shared" si="83"/>
        <v>0</v>
      </c>
      <c r="S895" s="132">
        <v>1</v>
      </c>
      <c r="T895" s="132">
        <f t="shared" si="80"/>
        <v>0</v>
      </c>
      <c r="V895" s="126">
        <f t="shared" si="81"/>
        <v>0</v>
      </c>
      <c r="W895" s="92">
        <f t="shared" si="82"/>
        <v>0</v>
      </c>
      <c r="Y895" s="210"/>
    </row>
    <row r="896" spans="1:25" ht="14.4" customHeight="1" thickBot="1" x14ac:dyDescent="0.3">
      <c r="A896" s="149"/>
      <c r="J896" s="130">
        <v>1</v>
      </c>
      <c r="K896" s="132">
        <f t="shared" si="78"/>
        <v>0</v>
      </c>
      <c r="M896" s="132">
        <v>1</v>
      </c>
      <c r="N896" s="132">
        <f t="shared" si="79"/>
        <v>0</v>
      </c>
      <c r="P896" s="132">
        <v>1</v>
      </c>
      <c r="Q896" s="132">
        <f t="shared" si="83"/>
        <v>0</v>
      </c>
      <c r="S896" s="132">
        <v>1</v>
      </c>
      <c r="T896" s="132">
        <f t="shared" si="80"/>
        <v>0</v>
      </c>
      <c r="V896" s="126">
        <f t="shared" si="81"/>
        <v>0</v>
      </c>
      <c r="W896" s="92">
        <f t="shared" si="82"/>
        <v>0</v>
      </c>
      <c r="Y896" s="210"/>
    </row>
    <row r="897" spans="1:25" ht="14.4" customHeight="1" thickBot="1" x14ac:dyDescent="0.3">
      <c r="A897" s="149"/>
      <c r="J897" s="130">
        <v>1</v>
      </c>
      <c r="K897" s="132">
        <f t="shared" si="78"/>
        <v>0</v>
      </c>
      <c r="M897" s="132">
        <v>1</v>
      </c>
      <c r="N897" s="132">
        <f t="shared" si="79"/>
        <v>0</v>
      </c>
      <c r="P897" s="132">
        <v>1</v>
      </c>
      <c r="Q897" s="132">
        <f t="shared" si="83"/>
        <v>0</v>
      </c>
      <c r="S897" s="132">
        <v>1</v>
      </c>
      <c r="T897" s="132">
        <f t="shared" si="80"/>
        <v>0</v>
      </c>
      <c r="V897" s="126">
        <f t="shared" si="81"/>
        <v>0</v>
      </c>
      <c r="W897" s="92">
        <f t="shared" si="82"/>
        <v>0</v>
      </c>
      <c r="Y897" s="210"/>
    </row>
    <row r="898" spans="1:25" ht="14.4" customHeight="1" thickBot="1" x14ac:dyDescent="0.3">
      <c r="A898" s="149"/>
      <c r="J898" s="130">
        <v>1</v>
      </c>
      <c r="K898" s="132">
        <f t="shared" ref="K898:K961" si="84">I898/J898</f>
        <v>0</v>
      </c>
      <c r="M898" s="132">
        <v>1</v>
      </c>
      <c r="N898" s="132">
        <f t="shared" ref="N898:N961" si="85">L898/M898</f>
        <v>0</v>
      </c>
      <c r="P898" s="132">
        <v>1</v>
      </c>
      <c r="Q898" s="132">
        <f t="shared" si="83"/>
        <v>0</v>
      </c>
      <c r="S898" s="132">
        <v>1</v>
      </c>
      <c r="T898" s="132">
        <f t="shared" ref="T898:T961" si="86">R898/S898</f>
        <v>0</v>
      </c>
      <c r="V898" s="126">
        <f t="shared" ref="V898:V961" si="87">D898+E898-G898-I898/J898-L898/M898-O898/P898-R898/S898</f>
        <v>0</v>
      </c>
      <c r="W898" s="92">
        <f t="shared" ref="W898:W961" si="88">G898+I898/J898+L898/M898+O898/P898+R898/S898</f>
        <v>0</v>
      </c>
      <c r="Y898" s="210"/>
    </row>
    <row r="899" spans="1:25" ht="14.4" customHeight="1" thickBot="1" x14ac:dyDescent="0.3">
      <c r="A899" s="149"/>
      <c r="J899" s="130">
        <v>1</v>
      </c>
      <c r="K899" s="132">
        <f t="shared" si="84"/>
        <v>0</v>
      </c>
      <c r="M899" s="132">
        <v>1</v>
      </c>
      <c r="N899" s="132">
        <f t="shared" si="85"/>
        <v>0</v>
      </c>
      <c r="P899" s="132">
        <v>1</v>
      </c>
      <c r="Q899" s="132">
        <f t="shared" ref="Q899:Q962" si="89">O899/P899</f>
        <v>0</v>
      </c>
      <c r="S899" s="132">
        <v>1</v>
      </c>
      <c r="T899" s="132">
        <f t="shared" si="86"/>
        <v>0</v>
      </c>
      <c r="V899" s="126">
        <f t="shared" si="87"/>
        <v>0</v>
      </c>
      <c r="W899" s="92">
        <f t="shared" si="88"/>
        <v>0</v>
      </c>
      <c r="Y899" s="210"/>
    </row>
    <row r="900" spans="1:25" ht="14.4" customHeight="1" thickBot="1" x14ac:dyDescent="0.3">
      <c r="A900" s="149"/>
      <c r="J900" s="130">
        <v>1</v>
      </c>
      <c r="K900" s="132">
        <f t="shared" si="84"/>
        <v>0</v>
      </c>
      <c r="M900" s="132">
        <v>1</v>
      </c>
      <c r="N900" s="132">
        <f t="shared" si="85"/>
        <v>0</v>
      </c>
      <c r="P900" s="132">
        <v>1</v>
      </c>
      <c r="Q900" s="132">
        <f t="shared" si="89"/>
        <v>0</v>
      </c>
      <c r="S900" s="132">
        <v>1</v>
      </c>
      <c r="T900" s="132">
        <f t="shared" si="86"/>
        <v>0</v>
      </c>
      <c r="V900" s="126">
        <f t="shared" si="87"/>
        <v>0</v>
      </c>
      <c r="W900" s="92">
        <f t="shared" si="88"/>
        <v>0</v>
      </c>
      <c r="Y900" s="210"/>
    </row>
    <row r="901" spans="1:25" ht="14.4" customHeight="1" thickBot="1" x14ac:dyDescent="0.3">
      <c r="A901" s="149"/>
      <c r="J901" s="130">
        <v>1</v>
      </c>
      <c r="K901" s="132">
        <f t="shared" si="84"/>
        <v>0</v>
      </c>
      <c r="M901" s="132">
        <v>1</v>
      </c>
      <c r="N901" s="132">
        <f t="shared" si="85"/>
        <v>0</v>
      </c>
      <c r="P901" s="132">
        <v>1</v>
      </c>
      <c r="Q901" s="132">
        <f t="shared" si="89"/>
        <v>0</v>
      </c>
      <c r="S901" s="132">
        <v>1</v>
      </c>
      <c r="T901" s="132">
        <f t="shared" si="86"/>
        <v>0</v>
      </c>
      <c r="V901" s="126">
        <f t="shared" si="87"/>
        <v>0</v>
      </c>
      <c r="W901" s="92">
        <f t="shared" si="88"/>
        <v>0</v>
      </c>
      <c r="Y901" s="210"/>
    </row>
    <row r="902" spans="1:25" ht="14.4" customHeight="1" thickBot="1" x14ac:dyDescent="0.3">
      <c r="A902" s="149"/>
      <c r="J902" s="130">
        <v>1</v>
      </c>
      <c r="K902" s="132">
        <f t="shared" si="84"/>
        <v>0</v>
      </c>
      <c r="M902" s="132">
        <v>1</v>
      </c>
      <c r="N902" s="132">
        <f t="shared" si="85"/>
        <v>0</v>
      </c>
      <c r="P902" s="132">
        <v>1</v>
      </c>
      <c r="Q902" s="132">
        <f t="shared" si="89"/>
        <v>0</v>
      </c>
      <c r="S902" s="132">
        <v>1</v>
      </c>
      <c r="T902" s="132">
        <f t="shared" si="86"/>
        <v>0</v>
      </c>
      <c r="V902" s="126">
        <f t="shared" si="87"/>
        <v>0</v>
      </c>
      <c r="W902" s="92">
        <f t="shared" si="88"/>
        <v>0</v>
      </c>
      <c r="Y902" s="210"/>
    </row>
    <row r="903" spans="1:25" ht="14.4" customHeight="1" thickBot="1" x14ac:dyDescent="0.3">
      <c r="A903" s="149"/>
      <c r="J903" s="130">
        <v>1</v>
      </c>
      <c r="K903" s="132">
        <f t="shared" si="84"/>
        <v>0</v>
      </c>
      <c r="M903" s="132">
        <v>1</v>
      </c>
      <c r="N903" s="132">
        <f t="shared" si="85"/>
        <v>0</v>
      </c>
      <c r="P903" s="132">
        <v>1</v>
      </c>
      <c r="Q903" s="132">
        <f t="shared" si="89"/>
        <v>0</v>
      </c>
      <c r="S903" s="132">
        <v>1</v>
      </c>
      <c r="T903" s="132">
        <f t="shared" si="86"/>
        <v>0</v>
      </c>
      <c r="V903" s="126">
        <f t="shared" si="87"/>
        <v>0</v>
      </c>
      <c r="W903" s="92">
        <f t="shared" si="88"/>
        <v>0</v>
      </c>
      <c r="Y903" s="210"/>
    </row>
    <row r="904" spans="1:25" ht="14.4" customHeight="1" thickBot="1" x14ac:dyDescent="0.3">
      <c r="A904" s="149"/>
      <c r="J904" s="130">
        <v>1</v>
      </c>
      <c r="K904" s="132">
        <f t="shared" si="84"/>
        <v>0</v>
      </c>
      <c r="M904" s="132">
        <v>1</v>
      </c>
      <c r="N904" s="132">
        <f t="shared" si="85"/>
        <v>0</v>
      </c>
      <c r="P904" s="132">
        <v>1</v>
      </c>
      <c r="Q904" s="132">
        <f t="shared" si="89"/>
        <v>0</v>
      </c>
      <c r="S904" s="132">
        <v>1</v>
      </c>
      <c r="T904" s="132">
        <f t="shared" si="86"/>
        <v>0</v>
      </c>
      <c r="V904" s="126">
        <f t="shared" si="87"/>
        <v>0</v>
      </c>
      <c r="W904" s="92">
        <f t="shared" si="88"/>
        <v>0</v>
      </c>
      <c r="Y904" s="210"/>
    </row>
    <row r="905" spans="1:25" ht="14.4" customHeight="1" thickBot="1" x14ac:dyDescent="0.3">
      <c r="A905" s="149"/>
      <c r="J905" s="130">
        <v>1</v>
      </c>
      <c r="K905" s="132">
        <f t="shared" si="84"/>
        <v>0</v>
      </c>
      <c r="M905" s="132">
        <v>1</v>
      </c>
      <c r="N905" s="132">
        <f t="shared" si="85"/>
        <v>0</v>
      </c>
      <c r="P905" s="132">
        <v>1</v>
      </c>
      <c r="Q905" s="132">
        <f t="shared" si="89"/>
        <v>0</v>
      </c>
      <c r="S905" s="132">
        <v>1</v>
      </c>
      <c r="T905" s="132">
        <f t="shared" si="86"/>
        <v>0</v>
      </c>
      <c r="V905" s="126">
        <f t="shared" si="87"/>
        <v>0</v>
      </c>
      <c r="W905" s="92">
        <f t="shared" si="88"/>
        <v>0</v>
      </c>
      <c r="Y905" s="210"/>
    </row>
    <row r="906" spans="1:25" ht="14.4" customHeight="1" thickBot="1" x14ac:dyDescent="0.3">
      <c r="A906" s="149"/>
      <c r="J906" s="130">
        <v>1</v>
      </c>
      <c r="K906" s="132">
        <f t="shared" si="84"/>
        <v>0</v>
      </c>
      <c r="M906" s="132">
        <v>1</v>
      </c>
      <c r="N906" s="132">
        <f t="shared" si="85"/>
        <v>0</v>
      </c>
      <c r="P906" s="132">
        <v>1</v>
      </c>
      <c r="Q906" s="132">
        <f t="shared" si="89"/>
        <v>0</v>
      </c>
      <c r="S906" s="132">
        <v>1</v>
      </c>
      <c r="T906" s="132">
        <f t="shared" si="86"/>
        <v>0</v>
      </c>
      <c r="V906" s="126">
        <f t="shared" si="87"/>
        <v>0</v>
      </c>
      <c r="W906" s="92">
        <f t="shared" si="88"/>
        <v>0</v>
      </c>
      <c r="Y906" s="210"/>
    </row>
    <row r="907" spans="1:25" ht="14.4" customHeight="1" thickBot="1" x14ac:dyDescent="0.3">
      <c r="A907" s="149"/>
      <c r="J907" s="130">
        <v>1</v>
      </c>
      <c r="K907" s="132">
        <f t="shared" si="84"/>
        <v>0</v>
      </c>
      <c r="M907" s="132">
        <v>1</v>
      </c>
      <c r="N907" s="132">
        <f t="shared" si="85"/>
        <v>0</v>
      </c>
      <c r="P907" s="132">
        <v>1</v>
      </c>
      <c r="Q907" s="132">
        <f t="shared" si="89"/>
        <v>0</v>
      </c>
      <c r="S907" s="132">
        <v>1</v>
      </c>
      <c r="T907" s="132">
        <f t="shared" si="86"/>
        <v>0</v>
      </c>
      <c r="V907" s="126">
        <f t="shared" si="87"/>
        <v>0</v>
      </c>
      <c r="W907" s="92">
        <f t="shared" si="88"/>
        <v>0</v>
      </c>
      <c r="Y907" s="210"/>
    </row>
    <row r="908" spans="1:25" ht="14.4" customHeight="1" thickBot="1" x14ac:dyDescent="0.3">
      <c r="A908" s="149"/>
      <c r="J908" s="130">
        <v>1</v>
      </c>
      <c r="K908" s="132">
        <f t="shared" si="84"/>
        <v>0</v>
      </c>
      <c r="M908" s="132">
        <v>1</v>
      </c>
      <c r="N908" s="132">
        <f t="shared" si="85"/>
        <v>0</v>
      </c>
      <c r="P908" s="132">
        <v>1</v>
      </c>
      <c r="Q908" s="132">
        <f t="shared" si="89"/>
        <v>0</v>
      </c>
      <c r="S908" s="132">
        <v>1</v>
      </c>
      <c r="T908" s="132">
        <f t="shared" si="86"/>
        <v>0</v>
      </c>
      <c r="V908" s="126">
        <f t="shared" si="87"/>
        <v>0</v>
      </c>
      <c r="W908" s="92">
        <f t="shared" si="88"/>
        <v>0</v>
      </c>
      <c r="Y908" s="210"/>
    </row>
    <row r="909" spans="1:25" ht="14.4" customHeight="1" thickBot="1" x14ac:dyDescent="0.3">
      <c r="A909" s="149"/>
      <c r="J909" s="130">
        <v>1</v>
      </c>
      <c r="K909" s="132">
        <f t="shared" si="84"/>
        <v>0</v>
      </c>
      <c r="M909" s="132">
        <v>1</v>
      </c>
      <c r="N909" s="132">
        <f t="shared" si="85"/>
        <v>0</v>
      </c>
      <c r="P909" s="132">
        <v>1</v>
      </c>
      <c r="Q909" s="132">
        <f t="shared" si="89"/>
        <v>0</v>
      </c>
      <c r="S909" s="132">
        <v>1</v>
      </c>
      <c r="T909" s="132">
        <f t="shared" si="86"/>
        <v>0</v>
      </c>
      <c r="V909" s="126">
        <f t="shared" si="87"/>
        <v>0</v>
      </c>
      <c r="W909" s="92">
        <f t="shared" si="88"/>
        <v>0</v>
      </c>
      <c r="Y909" s="210"/>
    </row>
    <row r="910" spans="1:25" ht="14.4" customHeight="1" thickBot="1" x14ac:dyDescent="0.3">
      <c r="A910" s="149"/>
      <c r="J910" s="130">
        <v>1</v>
      </c>
      <c r="K910" s="132">
        <f t="shared" si="84"/>
        <v>0</v>
      </c>
      <c r="M910" s="132">
        <v>1</v>
      </c>
      <c r="N910" s="132">
        <f t="shared" si="85"/>
        <v>0</v>
      </c>
      <c r="P910" s="132">
        <v>1</v>
      </c>
      <c r="Q910" s="132">
        <f t="shared" si="89"/>
        <v>0</v>
      </c>
      <c r="S910" s="132">
        <v>1</v>
      </c>
      <c r="T910" s="132">
        <f t="shared" si="86"/>
        <v>0</v>
      </c>
      <c r="V910" s="126">
        <f t="shared" si="87"/>
        <v>0</v>
      </c>
      <c r="W910" s="92">
        <f t="shared" si="88"/>
        <v>0</v>
      </c>
      <c r="Y910" s="210"/>
    </row>
    <row r="911" spans="1:25" ht="14.4" customHeight="1" thickBot="1" x14ac:dyDescent="0.3">
      <c r="A911" s="149"/>
      <c r="J911" s="130">
        <v>1</v>
      </c>
      <c r="K911" s="132">
        <f t="shared" si="84"/>
        <v>0</v>
      </c>
      <c r="M911" s="132">
        <v>1</v>
      </c>
      <c r="N911" s="132">
        <f t="shared" si="85"/>
        <v>0</v>
      </c>
      <c r="P911" s="132">
        <v>1</v>
      </c>
      <c r="Q911" s="132">
        <f t="shared" si="89"/>
        <v>0</v>
      </c>
      <c r="S911" s="132">
        <v>1</v>
      </c>
      <c r="T911" s="132">
        <f t="shared" si="86"/>
        <v>0</v>
      </c>
      <c r="V911" s="126">
        <f t="shared" si="87"/>
        <v>0</v>
      </c>
      <c r="W911" s="92">
        <f t="shared" si="88"/>
        <v>0</v>
      </c>
      <c r="Y911" s="210"/>
    </row>
    <row r="912" spans="1:25" ht="14.4" customHeight="1" thickBot="1" x14ac:dyDescent="0.3">
      <c r="A912" s="149"/>
      <c r="J912" s="130">
        <v>1</v>
      </c>
      <c r="K912" s="132">
        <f t="shared" si="84"/>
        <v>0</v>
      </c>
      <c r="M912" s="132">
        <v>1</v>
      </c>
      <c r="N912" s="132">
        <f t="shared" si="85"/>
        <v>0</v>
      </c>
      <c r="P912" s="132">
        <v>1</v>
      </c>
      <c r="Q912" s="132">
        <f t="shared" si="89"/>
        <v>0</v>
      </c>
      <c r="S912" s="132">
        <v>1</v>
      </c>
      <c r="T912" s="132">
        <f t="shared" si="86"/>
        <v>0</v>
      </c>
      <c r="V912" s="126">
        <f t="shared" si="87"/>
        <v>0</v>
      </c>
      <c r="W912" s="92">
        <f t="shared" si="88"/>
        <v>0</v>
      </c>
      <c r="Y912" s="210"/>
    </row>
    <row r="913" spans="1:25" ht="14.4" customHeight="1" thickBot="1" x14ac:dyDescent="0.3">
      <c r="A913" s="149"/>
      <c r="J913" s="130">
        <v>1</v>
      </c>
      <c r="K913" s="132">
        <f t="shared" si="84"/>
        <v>0</v>
      </c>
      <c r="M913" s="132">
        <v>1</v>
      </c>
      <c r="N913" s="132">
        <f t="shared" si="85"/>
        <v>0</v>
      </c>
      <c r="P913" s="132">
        <v>1</v>
      </c>
      <c r="Q913" s="132">
        <f t="shared" si="89"/>
        <v>0</v>
      </c>
      <c r="S913" s="132">
        <v>1</v>
      </c>
      <c r="T913" s="132">
        <f t="shared" si="86"/>
        <v>0</v>
      </c>
      <c r="V913" s="126">
        <f t="shared" si="87"/>
        <v>0</v>
      </c>
      <c r="W913" s="92">
        <f t="shared" si="88"/>
        <v>0</v>
      </c>
      <c r="Y913" s="210"/>
    </row>
    <row r="914" spans="1:25" ht="14.4" customHeight="1" thickBot="1" x14ac:dyDescent="0.3">
      <c r="A914" s="149"/>
      <c r="J914" s="130">
        <v>1</v>
      </c>
      <c r="K914" s="132">
        <f t="shared" si="84"/>
        <v>0</v>
      </c>
      <c r="M914" s="132">
        <v>1</v>
      </c>
      <c r="N914" s="132">
        <f t="shared" si="85"/>
        <v>0</v>
      </c>
      <c r="P914" s="132">
        <v>1</v>
      </c>
      <c r="Q914" s="132">
        <f t="shared" si="89"/>
        <v>0</v>
      </c>
      <c r="S914" s="132">
        <v>1</v>
      </c>
      <c r="T914" s="132">
        <f t="shared" si="86"/>
        <v>0</v>
      </c>
      <c r="V914" s="126">
        <f t="shared" si="87"/>
        <v>0</v>
      </c>
      <c r="W914" s="92">
        <f t="shared" si="88"/>
        <v>0</v>
      </c>
      <c r="Y914" s="210"/>
    </row>
    <row r="915" spans="1:25" ht="14.4" customHeight="1" thickBot="1" x14ac:dyDescent="0.3">
      <c r="A915" s="149"/>
      <c r="J915" s="130">
        <v>1</v>
      </c>
      <c r="K915" s="132">
        <f t="shared" si="84"/>
        <v>0</v>
      </c>
      <c r="M915" s="132">
        <v>1</v>
      </c>
      <c r="N915" s="132">
        <f t="shared" si="85"/>
        <v>0</v>
      </c>
      <c r="P915" s="132">
        <v>1</v>
      </c>
      <c r="Q915" s="132">
        <f t="shared" si="89"/>
        <v>0</v>
      </c>
      <c r="S915" s="132">
        <v>1</v>
      </c>
      <c r="T915" s="132">
        <f t="shared" si="86"/>
        <v>0</v>
      </c>
      <c r="V915" s="126">
        <f t="shared" si="87"/>
        <v>0</v>
      </c>
      <c r="W915" s="92">
        <f t="shared" si="88"/>
        <v>0</v>
      </c>
      <c r="Y915" s="210"/>
    </row>
    <row r="916" spans="1:25" ht="14.4" customHeight="1" thickBot="1" x14ac:dyDescent="0.3">
      <c r="A916" s="149"/>
      <c r="J916" s="130">
        <v>1</v>
      </c>
      <c r="K916" s="132">
        <f t="shared" si="84"/>
        <v>0</v>
      </c>
      <c r="M916" s="132">
        <v>1</v>
      </c>
      <c r="N916" s="132">
        <f t="shared" si="85"/>
        <v>0</v>
      </c>
      <c r="P916" s="132">
        <v>1</v>
      </c>
      <c r="Q916" s="132">
        <f t="shared" si="89"/>
        <v>0</v>
      </c>
      <c r="S916" s="132">
        <v>1</v>
      </c>
      <c r="T916" s="132">
        <f t="shared" si="86"/>
        <v>0</v>
      </c>
      <c r="V916" s="126">
        <f t="shared" si="87"/>
        <v>0</v>
      </c>
      <c r="W916" s="92">
        <f t="shared" si="88"/>
        <v>0</v>
      </c>
      <c r="Y916" s="210"/>
    </row>
    <row r="917" spans="1:25" ht="14.4" customHeight="1" thickBot="1" x14ac:dyDescent="0.3">
      <c r="A917" s="149"/>
      <c r="J917" s="130">
        <v>1</v>
      </c>
      <c r="K917" s="132">
        <f t="shared" si="84"/>
        <v>0</v>
      </c>
      <c r="M917" s="132">
        <v>1</v>
      </c>
      <c r="N917" s="132">
        <f t="shared" si="85"/>
        <v>0</v>
      </c>
      <c r="P917" s="132">
        <v>1</v>
      </c>
      <c r="Q917" s="132">
        <f t="shared" si="89"/>
        <v>0</v>
      </c>
      <c r="S917" s="132">
        <v>1</v>
      </c>
      <c r="T917" s="132">
        <f t="shared" si="86"/>
        <v>0</v>
      </c>
      <c r="V917" s="126">
        <f t="shared" si="87"/>
        <v>0</v>
      </c>
      <c r="W917" s="92">
        <f t="shared" si="88"/>
        <v>0</v>
      </c>
      <c r="Y917" s="210"/>
    </row>
    <row r="918" spans="1:25" ht="14.4" customHeight="1" thickBot="1" x14ac:dyDescent="0.3">
      <c r="A918" s="149"/>
      <c r="J918" s="130">
        <v>1</v>
      </c>
      <c r="K918" s="132">
        <f t="shared" si="84"/>
        <v>0</v>
      </c>
      <c r="M918" s="132">
        <v>1</v>
      </c>
      <c r="N918" s="132">
        <f t="shared" si="85"/>
        <v>0</v>
      </c>
      <c r="P918" s="132">
        <v>1</v>
      </c>
      <c r="Q918" s="132">
        <f t="shared" si="89"/>
        <v>0</v>
      </c>
      <c r="S918" s="132">
        <v>1</v>
      </c>
      <c r="T918" s="132">
        <f t="shared" si="86"/>
        <v>0</v>
      </c>
      <c r="V918" s="126">
        <f t="shared" si="87"/>
        <v>0</v>
      </c>
      <c r="W918" s="92">
        <f t="shared" si="88"/>
        <v>0</v>
      </c>
      <c r="Y918" s="210"/>
    </row>
    <row r="919" spans="1:25" ht="14.4" customHeight="1" thickBot="1" x14ac:dyDescent="0.3">
      <c r="A919" s="149"/>
      <c r="J919" s="130">
        <v>1</v>
      </c>
      <c r="K919" s="132">
        <f t="shared" si="84"/>
        <v>0</v>
      </c>
      <c r="M919" s="132">
        <v>1</v>
      </c>
      <c r="N919" s="132">
        <f t="shared" si="85"/>
        <v>0</v>
      </c>
      <c r="P919" s="132">
        <v>1</v>
      </c>
      <c r="Q919" s="132">
        <f t="shared" si="89"/>
        <v>0</v>
      </c>
      <c r="S919" s="132">
        <v>1</v>
      </c>
      <c r="T919" s="132">
        <f t="shared" si="86"/>
        <v>0</v>
      </c>
      <c r="V919" s="126">
        <f t="shared" si="87"/>
        <v>0</v>
      </c>
      <c r="W919" s="92">
        <f t="shared" si="88"/>
        <v>0</v>
      </c>
      <c r="Y919" s="210"/>
    </row>
    <row r="920" spans="1:25" ht="14.4" customHeight="1" thickBot="1" x14ac:dyDescent="0.3">
      <c r="A920" s="149"/>
      <c r="J920" s="130">
        <v>1</v>
      </c>
      <c r="K920" s="132">
        <f t="shared" si="84"/>
        <v>0</v>
      </c>
      <c r="M920" s="132">
        <v>1</v>
      </c>
      <c r="N920" s="132">
        <f t="shared" si="85"/>
        <v>0</v>
      </c>
      <c r="P920" s="132">
        <v>1</v>
      </c>
      <c r="Q920" s="132">
        <f t="shared" si="89"/>
        <v>0</v>
      </c>
      <c r="S920" s="132">
        <v>1</v>
      </c>
      <c r="T920" s="132">
        <f t="shared" si="86"/>
        <v>0</v>
      </c>
      <c r="V920" s="126">
        <f t="shared" si="87"/>
        <v>0</v>
      </c>
      <c r="W920" s="92">
        <f t="shared" si="88"/>
        <v>0</v>
      </c>
      <c r="Y920" s="210"/>
    </row>
    <row r="921" spans="1:25" ht="14.4" customHeight="1" thickBot="1" x14ac:dyDescent="0.3">
      <c r="A921" s="149"/>
      <c r="J921" s="130">
        <v>1</v>
      </c>
      <c r="K921" s="132">
        <f t="shared" si="84"/>
        <v>0</v>
      </c>
      <c r="M921" s="132">
        <v>1</v>
      </c>
      <c r="N921" s="132">
        <f t="shared" si="85"/>
        <v>0</v>
      </c>
      <c r="P921" s="132">
        <v>1</v>
      </c>
      <c r="Q921" s="132">
        <f t="shared" si="89"/>
        <v>0</v>
      </c>
      <c r="S921" s="132">
        <v>1</v>
      </c>
      <c r="T921" s="132">
        <f t="shared" si="86"/>
        <v>0</v>
      </c>
      <c r="V921" s="126">
        <f t="shared" si="87"/>
        <v>0</v>
      </c>
      <c r="W921" s="92">
        <f t="shared" si="88"/>
        <v>0</v>
      </c>
      <c r="Y921" s="210"/>
    </row>
    <row r="922" spans="1:25" ht="14.4" customHeight="1" thickBot="1" x14ac:dyDescent="0.3">
      <c r="A922" s="149"/>
      <c r="J922" s="130">
        <v>1</v>
      </c>
      <c r="K922" s="132">
        <f t="shared" si="84"/>
        <v>0</v>
      </c>
      <c r="M922" s="132">
        <v>1</v>
      </c>
      <c r="N922" s="132">
        <f t="shared" si="85"/>
        <v>0</v>
      </c>
      <c r="P922" s="132">
        <v>1</v>
      </c>
      <c r="Q922" s="132">
        <f t="shared" si="89"/>
        <v>0</v>
      </c>
      <c r="S922" s="132">
        <v>1</v>
      </c>
      <c r="T922" s="132">
        <f t="shared" si="86"/>
        <v>0</v>
      </c>
      <c r="V922" s="126">
        <f t="shared" si="87"/>
        <v>0</v>
      </c>
      <c r="W922" s="92">
        <f t="shared" si="88"/>
        <v>0</v>
      </c>
      <c r="Y922" s="210"/>
    </row>
    <row r="923" spans="1:25" ht="14.4" customHeight="1" thickBot="1" x14ac:dyDescent="0.3">
      <c r="A923" s="149"/>
      <c r="J923" s="130">
        <v>1</v>
      </c>
      <c r="K923" s="132">
        <f t="shared" si="84"/>
        <v>0</v>
      </c>
      <c r="M923" s="132">
        <v>1</v>
      </c>
      <c r="N923" s="132">
        <f t="shared" si="85"/>
        <v>0</v>
      </c>
      <c r="P923" s="132">
        <v>1</v>
      </c>
      <c r="Q923" s="132">
        <f t="shared" si="89"/>
        <v>0</v>
      </c>
      <c r="S923" s="132">
        <v>1</v>
      </c>
      <c r="T923" s="132">
        <f t="shared" si="86"/>
        <v>0</v>
      </c>
      <c r="V923" s="126">
        <f t="shared" si="87"/>
        <v>0</v>
      </c>
      <c r="W923" s="92">
        <f t="shared" si="88"/>
        <v>0</v>
      </c>
      <c r="Y923" s="210"/>
    </row>
    <row r="924" spans="1:25" ht="14.4" customHeight="1" thickBot="1" x14ac:dyDescent="0.3">
      <c r="A924" s="149"/>
      <c r="J924" s="130">
        <v>1</v>
      </c>
      <c r="K924" s="132">
        <f t="shared" si="84"/>
        <v>0</v>
      </c>
      <c r="M924" s="132">
        <v>1</v>
      </c>
      <c r="N924" s="132">
        <f t="shared" si="85"/>
        <v>0</v>
      </c>
      <c r="P924" s="132">
        <v>1</v>
      </c>
      <c r="Q924" s="132">
        <f t="shared" si="89"/>
        <v>0</v>
      </c>
      <c r="S924" s="132">
        <v>1</v>
      </c>
      <c r="T924" s="132">
        <f t="shared" si="86"/>
        <v>0</v>
      </c>
      <c r="V924" s="126">
        <f t="shared" si="87"/>
        <v>0</v>
      </c>
      <c r="W924" s="92">
        <f t="shared" si="88"/>
        <v>0</v>
      </c>
      <c r="Y924" s="210"/>
    </row>
    <row r="925" spans="1:25" ht="14.4" customHeight="1" thickBot="1" x14ac:dyDescent="0.3">
      <c r="A925" s="149"/>
      <c r="J925" s="130">
        <v>1</v>
      </c>
      <c r="K925" s="132">
        <f t="shared" si="84"/>
        <v>0</v>
      </c>
      <c r="M925" s="132">
        <v>1</v>
      </c>
      <c r="N925" s="132">
        <f t="shared" si="85"/>
        <v>0</v>
      </c>
      <c r="P925" s="132">
        <v>1</v>
      </c>
      <c r="Q925" s="132">
        <f t="shared" si="89"/>
        <v>0</v>
      </c>
      <c r="S925" s="132">
        <v>1</v>
      </c>
      <c r="T925" s="132">
        <f t="shared" si="86"/>
        <v>0</v>
      </c>
      <c r="V925" s="126">
        <f t="shared" si="87"/>
        <v>0</v>
      </c>
      <c r="W925" s="92">
        <f t="shared" si="88"/>
        <v>0</v>
      </c>
      <c r="Y925" s="210"/>
    </row>
    <row r="926" spans="1:25" ht="14.4" customHeight="1" thickBot="1" x14ac:dyDescent="0.3">
      <c r="A926" s="149"/>
      <c r="J926" s="130">
        <v>1</v>
      </c>
      <c r="K926" s="132">
        <f t="shared" si="84"/>
        <v>0</v>
      </c>
      <c r="M926" s="132">
        <v>1</v>
      </c>
      <c r="N926" s="132">
        <f t="shared" si="85"/>
        <v>0</v>
      </c>
      <c r="P926" s="132">
        <v>1</v>
      </c>
      <c r="Q926" s="132">
        <f t="shared" si="89"/>
        <v>0</v>
      </c>
      <c r="S926" s="132">
        <v>1</v>
      </c>
      <c r="T926" s="132">
        <f t="shared" si="86"/>
        <v>0</v>
      </c>
      <c r="V926" s="126">
        <f t="shared" si="87"/>
        <v>0</v>
      </c>
      <c r="W926" s="92">
        <f t="shared" si="88"/>
        <v>0</v>
      </c>
      <c r="Y926" s="210"/>
    </row>
    <row r="927" spans="1:25" ht="14.4" customHeight="1" thickBot="1" x14ac:dyDescent="0.3">
      <c r="A927" s="149"/>
      <c r="J927" s="130">
        <v>1</v>
      </c>
      <c r="K927" s="132">
        <f t="shared" si="84"/>
        <v>0</v>
      </c>
      <c r="M927" s="132">
        <v>1</v>
      </c>
      <c r="N927" s="132">
        <f t="shared" si="85"/>
        <v>0</v>
      </c>
      <c r="P927" s="132">
        <v>1</v>
      </c>
      <c r="Q927" s="132">
        <f t="shared" si="89"/>
        <v>0</v>
      </c>
      <c r="S927" s="132">
        <v>1</v>
      </c>
      <c r="T927" s="132">
        <f t="shared" si="86"/>
        <v>0</v>
      </c>
      <c r="V927" s="126">
        <f t="shared" si="87"/>
        <v>0</v>
      </c>
      <c r="W927" s="92">
        <f t="shared" si="88"/>
        <v>0</v>
      </c>
      <c r="Y927" s="210"/>
    </row>
    <row r="928" spans="1:25" ht="14.4" customHeight="1" thickBot="1" x14ac:dyDescent="0.3">
      <c r="A928" s="149"/>
      <c r="J928" s="130">
        <v>1</v>
      </c>
      <c r="K928" s="132">
        <f t="shared" si="84"/>
        <v>0</v>
      </c>
      <c r="M928" s="132">
        <v>1</v>
      </c>
      <c r="N928" s="132">
        <f t="shared" si="85"/>
        <v>0</v>
      </c>
      <c r="P928" s="132">
        <v>1</v>
      </c>
      <c r="Q928" s="132">
        <f t="shared" si="89"/>
        <v>0</v>
      </c>
      <c r="S928" s="132">
        <v>1</v>
      </c>
      <c r="T928" s="132">
        <f t="shared" si="86"/>
        <v>0</v>
      </c>
      <c r="V928" s="126">
        <f t="shared" si="87"/>
        <v>0</v>
      </c>
      <c r="W928" s="92">
        <f t="shared" si="88"/>
        <v>0</v>
      </c>
      <c r="Y928" s="210"/>
    </row>
    <row r="929" spans="1:25" ht="14.4" customHeight="1" thickBot="1" x14ac:dyDescent="0.3">
      <c r="A929" s="149"/>
      <c r="J929" s="130">
        <v>1</v>
      </c>
      <c r="K929" s="132">
        <f t="shared" si="84"/>
        <v>0</v>
      </c>
      <c r="M929" s="132">
        <v>1</v>
      </c>
      <c r="N929" s="132">
        <f t="shared" si="85"/>
        <v>0</v>
      </c>
      <c r="P929" s="132">
        <v>1</v>
      </c>
      <c r="Q929" s="132">
        <f t="shared" si="89"/>
        <v>0</v>
      </c>
      <c r="S929" s="132">
        <v>1</v>
      </c>
      <c r="T929" s="132">
        <f t="shared" si="86"/>
        <v>0</v>
      </c>
      <c r="V929" s="126">
        <f t="shared" si="87"/>
        <v>0</v>
      </c>
      <c r="W929" s="92">
        <f t="shared" si="88"/>
        <v>0</v>
      </c>
      <c r="Y929" s="210"/>
    </row>
    <row r="930" spans="1:25" ht="14.4" customHeight="1" thickBot="1" x14ac:dyDescent="0.3">
      <c r="A930" s="149"/>
      <c r="J930" s="130">
        <v>1</v>
      </c>
      <c r="K930" s="132">
        <f t="shared" si="84"/>
        <v>0</v>
      </c>
      <c r="M930" s="132">
        <v>1</v>
      </c>
      <c r="N930" s="132">
        <f t="shared" si="85"/>
        <v>0</v>
      </c>
      <c r="P930" s="132">
        <v>1</v>
      </c>
      <c r="Q930" s="132">
        <f t="shared" si="89"/>
        <v>0</v>
      </c>
      <c r="S930" s="132">
        <v>1</v>
      </c>
      <c r="T930" s="132">
        <f t="shared" si="86"/>
        <v>0</v>
      </c>
      <c r="V930" s="126">
        <f t="shared" si="87"/>
        <v>0</v>
      </c>
      <c r="W930" s="92">
        <f t="shared" si="88"/>
        <v>0</v>
      </c>
      <c r="Y930" s="210"/>
    </row>
    <row r="931" spans="1:25" ht="14.4" customHeight="1" thickBot="1" x14ac:dyDescent="0.3">
      <c r="A931" s="149"/>
      <c r="J931" s="130">
        <v>1</v>
      </c>
      <c r="K931" s="132">
        <f t="shared" si="84"/>
        <v>0</v>
      </c>
      <c r="M931" s="132">
        <v>1</v>
      </c>
      <c r="N931" s="132">
        <f t="shared" si="85"/>
        <v>0</v>
      </c>
      <c r="P931" s="132">
        <v>1</v>
      </c>
      <c r="Q931" s="132">
        <f t="shared" si="89"/>
        <v>0</v>
      </c>
      <c r="S931" s="132">
        <v>1</v>
      </c>
      <c r="T931" s="132">
        <f t="shared" si="86"/>
        <v>0</v>
      </c>
      <c r="V931" s="126">
        <f t="shared" si="87"/>
        <v>0</v>
      </c>
      <c r="W931" s="92">
        <f t="shared" si="88"/>
        <v>0</v>
      </c>
      <c r="Y931" s="210"/>
    </row>
    <row r="932" spans="1:25" ht="14.4" customHeight="1" thickBot="1" x14ac:dyDescent="0.3">
      <c r="A932" s="149"/>
      <c r="J932" s="130">
        <v>1</v>
      </c>
      <c r="K932" s="132">
        <f t="shared" si="84"/>
        <v>0</v>
      </c>
      <c r="M932" s="132">
        <v>1</v>
      </c>
      <c r="N932" s="132">
        <f t="shared" si="85"/>
        <v>0</v>
      </c>
      <c r="P932" s="132">
        <v>1</v>
      </c>
      <c r="Q932" s="132">
        <f t="shared" si="89"/>
        <v>0</v>
      </c>
      <c r="S932" s="132">
        <v>1</v>
      </c>
      <c r="T932" s="132">
        <f t="shared" si="86"/>
        <v>0</v>
      </c>
      <c r="V932" s="126">
        <f t="shared" si="87"/>
        <v>0</v>
      </c>
      <c r="W932" s="92">
        <f t="shared" si="88"/>
        <v>0</v>
      </c>
      <c r="Y932" s="210"/>
    </row>
    <row r="933" spans="1:25" ht="14.4" customHeight="1" thickBot="1" x14ac:dyDescent="0.3">
      <c r="A933" s="149"/>
      <c r="J933" s="130">
        <v>1</v>
      </c>
      <c r="K933" s="132">
        <f t="shared" si="84"/>
        <v>0</v>
      </c>
      <c r="M933" s="132">
        <v>1</v>
      </c>
      <c r="N933" s="132">
        <f t="shared" si="85"/>
        <v>0</v>
      </c>
      <c r="P933" s="132">
        <v>1</v>
      </c>
      <c r="Q933" s="132">
        <f t="shared" si="89"/>
        <v>0</v>
      </c>
      <c r="S933" s="132">
        <v>1</v>
      </c>
      <c r="T933" s="132">
        <f t="shared" si="86"/>
        <v>0</v>
      </c>
      <c r="V933" s="126">
        <f t="shared" si="87"/>
        <v>0</v>
      </c>
      <c r="W933" s="92">
        <f t="shared" si="88"/>
        <v>0</v>
      </c>
      <c r="Y933" s="210"/>
    </row>
    <row r="934" spans="1:25" ht="14.4" customHeight="1" thickBot="1" x14ac:dyDescent="0.3">
      <c r="A934" s="149"/>
      <c r="J934" s="130">
        <v>1</v>
      </c>
      <c r="K934" s="132">
        <f t="shared" si="84"/>
        <v>0</v>
      </c>
      <c r="M934" s="132">
        <v>1</v>
      </c>
      <c r="N934" s="132">
        <f t="shared" si="85"/>
        <v>0</v>
      </c>
      <c r="P934" s="132">
        <v>1</v>
      </c>
      <c r="Q934" s="132">
        <f t="shared" si="89"/>
        <v>0</v>
      </c>
      <c r="S934" s="132">
        <v>1</v>
      </c>
      <c r="T934" s="132">
        <f t="shared" si="86"/>
        <v>0</v>
      </c>
      <c r="V934" s="126">
        <f t="shared" si="87"/>
        <v>0</v>
      </c>
      <c r="W934" s="92">
        <f t="shared" si="88"/>
        <v>0</v>
      </c>
      <c r="Y934" s="210"/>
    </row>
    <row r="935" spans="1:25" ht="14.4" customHeight="1" thickBot="1" x14ac:dyDescent="0.3">
      <c r="A935" s="149"/>
      <c r="J935" s="130">
        <v>1</v>
      </c>
      <c r="K935" s="132">
        <f t="shared" si="84"/>
        <v>0</v>
      </c>
      <c r="M935" s="132">
        <v>1</v>
      </c>
      <c r="N935" s="132">
        <f t="shared" si="85"/>
        <v>0</v>
      </c>
      <c r="P935" s="132">
        <v>1</v>
      </c>
      <c r="Q935" s="132">
        <f t="shared" si="89"/>
        <v>0</v>
      </c>
      <c r="S935" s="132">
        <v>1</v>
      </c>
      <c r="T935" s="132">
        <f t="shared" si="86"/>
        <v>0</v>
      </c>
      <c r="V935" s="126">
        <f t="shared" si="87"/>
        <v>0</v>
      </c>
      <c r="W935" s="92">
        <f t="shared" si="88"/>
        <v>0</v>
      </c>
      <c r="Y935" s="210"/>
    </row>
    <row r="936" spans="1:25" ht="14.4" customHeight="1" thickBot="1" x14ac:dyDescent="0.3">
      <c r="A936" s="149"/>
      <c r="J936" s="130">
        <v>1</v>
      </c>
      <c r="K936" s="132">
        <f t="shared" si="84"/>
        <v>0</v>
      </c>
      <c r="M936" s="132">
        <v>1</v>
      </c>
      <c r="N936" s="132">
        <f t="shared" si="85"/>
        <v>0</v>
      </c>
      <c r="P936" s="132">
        <v>1</v>
      </c>
      <c r="Q936" s="132">
        <f t="shared" si="89"/>
        <v>0</v>
      </c>
      <c r="S936" s="132">
        <v>1</v>
      </c>
      <c r="T936" s="132">
        <f t="shared" si="86"/>
        <v>0</v>
      </c>
      <c r="V936" s="126">
        <f t="shared" si="87"/>
        <v>0</v>
      </c>
      <c r="W936" s="92">
        <f t="shared" si="88"/>
        <v>0</v>
      </c>
      <c r="Y936" s="210"/>
    </row>
    <row r="937" spans="1:25" ht="14.4" customHeight="1" thickBot="1" x14ac:dyDescent="0.3">
      <c r="A937" s="149"/>
      <c r="J937" s="130">
        <v>1</v>
      </c>
      <c r="K937" s="132">
        <f t="shared" si="84"/>
        <v>0</v>
      </c>
      <c r="M937" s="132">
        <v>1</v>
      </c>
      <c r="N937" s="132">
        <f t="shared" si="85"/>
        <v>0</v>
      </c>
      <c r="P937" s="132">
        <v>1</v>
      </c>
      <c r="Q937" s="132">
        <f t="shared" si="89"/>
        <v>0</v>
      </c>
      <c r="S937" s="132">
        <v>1</v>
      </c>
      <c r="T937" s="132">
        <f t="shared" si="86"/>
        <v>0</v>
      </c>
      <c r="V937" s="126">
        <f t="shared" si="87"/>
        <v>0</v>
      </c>
      <c r="W937" s="92">
        <f t="shared" si="88"/>
        <v>0</v>
      </c>
      <c r="Y937" s="210"/>
    </row>
    <row r="938" spans="1:25" ht="14.4" customHeight="1" thickBot="1" x14ac:dyDescent="0.3">
      <c r="A938" s="149"/>
      <c r="J938" s="130">
        <v>1</v>
      </c>
      <c r="K938" s="132">
        <f t="shared" si="84"/>
        <v>0</v>
      </c>
      <c r="M938" s="132">
        <v>1</v>
      </c>
      <c r="N938" s="132">
        <f t="shared" si="85"/>
        <v>0</v>
      </c>
      <c r="P938" s="132">
        <v>1</v>
      </c>
      <c r="Q938" s="132">
        <f t="shared" si="89"/>
        <v>0</v>
      </c>
      <c r="S938" s="132">
        <v>1</v>
      </c>
      <c r="T938" s="132">
        <f t="shared" si="86"/>
        <v>0</v>
      </c>
      <c r="V938" s="126">
        <f t="shared" si="87"/>
        <v>0</v>
      </c>
      <c r="W938" s="92">
        <f t="shared" si="88"/>
        <v>0</v>
      </c>
      <c r="Y938" s="210"/>
    </row>
    <row r="939" spans="1:25" ht="14.4" customHeight="1" thickBot="1" x14ac:dyDescent="0.3">
      <c r="A939" s="149"/>
      <c r="J939" s="130">
        <v>1</v>
      </c>
      <c r="K939" s="132">
        <f t="shared" si="84"/>
        <v>0</v>
      </c>
      <c r="M939" s="132">
        <v>1</v>
      </c>
      <c r="N939" s="132">
        <f t="shared" si="85"/>
        <v>0</v>
      </c>
      <c r="P939" s="132">
        <v>1</v>
      </c>
      <c r="Q939" s="132">
        <f t="shared" si="89"/>
        <v>0</v>
      </c>
      <c r="S939" s="132">
        <v>1</v>
      </c>
      <c r="T939" s="132">
        <f t="shared" si="86"/>
        <v>0</v>
      </c>
      <c r="V939" s="126">
        <f t="shared" si="87"/>
        <v>0</v>
      </c>
      <c r="W939" s="92">
        <f t="shared" si="88"/>
        <v>0</v>
      </c>
      <c r="Y939" s="210"/>
    </row>
    <row r="940" spans="1:25" ht="14.4" customHeight="1" thickBot="1" x14ac:dyDescent="0.3">
      <c r="A940" s="149"/>
      <c r="J940" s="130">
        <v>1</v>
      </c>
      <c r="K940" s="132">
        <f t="shared" si="84"/>
        <v>0</v>
      </c>
      <c r="M940" s="132">
        <v>1</v>
      </c>
      <c r="N940" s="132">
        <f t="shared" si="85"/>
        <v>0</v>
      </c>
      <c r="P940" s="132">
        <v>1</v>
      </c>
      <c r="Q940" s="132">
        <f t="shared" si="89"/>
        <v>0</v>
      </c>
      <c r="S940" s="132">
        <v>1</v>
      </c>
      <c r="T940" s="132">
        <f t="shared" si="86"/>
        <v>0</v>
      </c>
      <c r="V940" s="126">
        <f t="shared" si="87"/>
        <v>0</v>
      </c>
      <c r="W940" s="92">
        <f t="shared" si="88"/>
        <v>0</v>
      </c>
      <c r="Y940" s="210"/>
    </row>
    <row r="941" spans="1:25" ht="14.4" customHeight="1" thickBot="1" x14ac:dyDescent="0.3">
      <c r="A941" s="149"/>
      <c r="J941" s="130">
        <v>1</v>
      </c>
      <c r="K941" s="132">
        <f t="shared" si="84"/>
        <v>0</v>
      </c>
      <c r="M941" s="132">
        <v>1</v>
      </c>
      <c r="N941" s="132">
        <f t="shared" si="85"/>
        <v>0</v>
      </c>
      <c r="P941" s="132">
        <v>1</v>
      </c>
      <c r="Q941" s="132">
        <f t="shared" si="89"/>
        <v>0</v>
      </c>
      <c r="S941" s="132">
        <v>1</v>
      </c>
      <c r="T941" s="132">
        <f t="shared" si="86"/>
        <v>0</v>
      </c>
      <c r="V941" s="126">
        <f t="shared" si="87"/>
        <v>0</v>
      </c>
      <c r="W941" s="92">
        <f t="shared" si="88"/>
        <v>0</v>
      </c>
      <c r="Y941" s="210"/>
    </row>
    <row r="942" spans="1:25" ht="14.4" customHeight="1" thickBot="1" x14ac:dyDescent="0.3">
      <c r="A942" s="149"/>
      <c r="J942" s="130">
        <v>1</v>
      </c>
      <c r="K942" s="132">
        <f t="shared" si="84"/>
        <v>0</v>
      </c>
      <c r="M942" s="132">
        <v>1</v>
      </c>
      <c r="N942" s="132">
        <f t="shared" si="85"/>
        <v>0</v>
      </c>
      <c r="P942" s="132">
        <v>1</v>
      </c>
      <c r="Q942" s="132">
        <f t="shared" si="89"/>
        <v>0</v>
      </c>
      <c r="S942" s="132">
        <v>1</v>
      </c>
      <c r="T942" s="132">
        <f t="shared" si="86"/>
        <v>0</v>
      </c>
      <c r="V942" s="126">
        <f t="shared" si="87"/>
        <v>0</v>
      </c>
      <c r="W942" s="92">
        <f t="shared" si="88"/>
        <v>0</v>
      </c>
      <c r="Y942" s="210"/>
    </row>
    <row r="943" spans="1:25" ht="14.4" customHeight="1" thickBot="1" x14ac:dyDescent="0.3">
      <c r="A943" s="149"/>
      <c r="J943" s="130">
        <v>1</v>
      </c>
      <c r="K943" s="132">
        <f t="shared" si="84"/>
        <v>0</v>
      </c>
      <c r="M943" s="132">
        <v>1</v>
      </c>
      <c r="N943" s="132">
        <f t="shared" si="85"/>
        <v>0</v>
      </c>
      <c r="P943" s="132">
        <v>1</v>
      </c>
      <c r="Q943" s="132">
        <f t="shared" si="89"/>
        <v>0</v>
      </c>
      <c r="S943" s="132">
        <v>1</v>
      </c>
      <c r="T943" s="132">
        <f t="shared" si="86"/>
        <v>0</v>
      </c>
      <c r="V943" s="126">
        <f t="shared" si="87"/>
        <v>0</v>
      </c>
      <c r="W943" s="92">
        <f t="shared" si="88"/>
        <v>0</v>
      </c>
      <c r="Y943" s="210"/>
    </row>
    <row r="944" spans="1:25" ht="14.4" customHeight="1" thickBot="1" x14ac:dyDescent="0.3">
      <c r="A944" s="149"/>
      <c r="J944" s="130">
        <v>1</v>
      </c>
      <c r="K944" s="132">
        <f t="shared" si="84"/>
        <v>0</v>
      </c>
      <c r="M944" s="132">
        <v>1</v>
      </c>
      <c r="N944" s="132">
        <f t="shared" si="85"/>
        <v>0</v>
      </c>
      <c r="P944" s="132">
        <v>1</v>
      </c>
      <c r="Q944" s="132">
        <f t="shared" si="89"/>
        <v>0</v>
      </c>
      <c r="S944" s="132">
        <v>1</v>
      </c>
      <c r="T944" s="132">
        <f t="shared" si="86"/>
        <v>0</v>
      </c>
      <c r="V944" s="126">
        <f t="shared" si="87"/>
        <v>0</v>
      </c>
      <c r="W944" s="92">
        <f t="shared" si="88"/>
        <v>0</v>
      </c>
      <c r="Y944" s="210"/>
    </row>
    <row r="945" spans="1:25" ht="14.4" customHeight="1" thickBot="1" x14ac:dyDescent="0.3">
      <c r="A945" s="149"/>
      <c r="J945" s="130">
        <v>1</v>
      </c>
      <c r="K945" s="132">
        <f t="shared" si="84"/>
        <v>0</v>
      </c>
      <c r="M945" s="132">
        <v>1</v>
      </c>
      <c r="N945" s="132">
        <f t="shared" si="85"/>
        <v>0</v>
      </c>
      <c r="P945" s="132">
        <v>1</v>
      </c>
      <c r="Q945" s="132">
        <f t="shared" si="89"/>
        <v>0</v>
      </c>
      <c r="S945" s="132">
        <v>1</v>
      </c>
      <c r="T945" s="132">
        <f t="shared" si="86"/>
        <v>0</v>
      </c>
      <c r="V945" s="126">
        <f t="shared" si="87"/>
        <v>0</v>
      </c>
      <c r="W945" s="92">
        <f t="shared" si="88"/>
        <v>0</v>
      </c>
      <c r="Y945" s="210"/>
    </row>
    <row r="946" spans="1:25" ht="14.4" customHeight="1" thickBot="1" x14ac:dyDescent="0.3">
      <c r="A946" s="149"/>
      <c r="J946" s="130">
        <v>1</v>
      </c>
      <c r="K946" s="132">
        <f t="shared" si="84"/>
        <v>0</v>
      </c>
      <c r="M946" s="132">
        <v>1</v>
      </c>
      <c r="N946" s="132">
        <f t="shared" si="85"/>
        <v>0</v>
      </c>
      <c r="P946" s="132">
        <v>1</v>
      </c>
      <c r="Q946" s="132">
        <f t="shared" si="89"/>
        <v>0</v>
      </c>
      <c r="S946" s="132">
        <v>1</v>
      </c>
      <c r="T946" s="132">
        <f t="shared" si="86"/>
        <v>0</v>
      </c>
      <c r="V946" s="126">
        <f t="shared" si="87"/>
        <v>0</v>
      </c>
      <c r="W946" s="92">
        <f t="shared" si="88"/>
        <v>0</v>
      </c>
      <c r="Y946" s="210"/>
    </row>
    <row r="947" spans="1:25" ht="14.4" customHeight="1" thickBot="1" x14ac:dyDescent="0.3">
      <c r="A947" s="149"/>
      <c r="J947" s="130">
        <v>1</v>
      </c>
      <c r="K947" s="132">
        <f t="shared" si="84"/>
        <v>0</v>
      </c>
      <c r="M947" s="132">
        <v>1</v>
      </c>
      <c r="N947" s="132">
        <f t="shared" si="85"/>
        <v>0</v>
      </c>
      <c r="P947" s="132">
        <v>1</v>
      </c>
      <c r="Q947" s="132">
        <f t="shared" si="89"/>
        <v>0</v>
      </c>
      <c r="S947" s="132">
        <v>1</v>
      </c>
      <c r="T947" s="132">
        <f t="shared" si="86"/>
        <v>0</v>
      </c>
      <c r="V947" s="126">
        <f t="shared" si="87"/>
        <v>0</v>
      </c>
      <c r="W947" s="92">
        <f t="shared" si="88"/>
        <v>0</v>
      </c>
      <c r="Y947" s="210"/>
    </row>
    <row r="948" spans="1:25" ht="14.4" customHeight="1" thickBot="1" x14ac:dyDescent="0.3">
      <c r="A948" s="149"/>
      <c r="J948" s="130">
        <v>1</v>
      </c>
      <c r="K948" s="132">
        <f t="shared" si="84"/>
        <v>0</v>
      </c>
      <c r="M948" s="132">
        <v>1</v>
      </c>
      <c r="N948" s="132">
        <f t="shared" si="85"/>
        <v>0</v>
      </c>
      <c r="P948" s="132">
        <v>1</v>
      </c>
      <c r="Q948" s="132">
        <f t="shared" si="89"/>
        <v>0</v>
      </c>
      <c r="S948" s="132">
        <v>1</v>
      </c>
      <c r="T948" s="132">
        <f t="shared" si="86"/>
        <v>0</v>
      </c>
      <c r="V948" s="126">
        <f t="shared" si="87"/>
        <v>0</v>
      </c>
      <c r="W948" s="92">
        <f t="shared" si="88"/>
        <v>0</v>
      </c>
      <c r="Y948" s="210"/>
    </row>
    <row r="949" spans="1:25" ht="14.4" customHeight="1" thickBot="1" x14ac:dyDescent="0.3">
      <c r="A949" s="149"/>
      <c r="J949" s="130">
        <v>1</v>
      </c>
      <c r="K949" s="132">
        <f t="shared" si="84"/>
        <v>0</v>
      </c>
      <c r="M949" s="132">
        <v>1</v>
      </c>
      <c r="N949" s="132">
        <f t="shared" si="85"/>
        <v>0</v>
      </c>
      <c r="P949" s="132">
        <v>1</v>
      </c>
      <c r="Q949" s="132">
        <f t="shared" si="89"/>
        <v>0</v>
      </c>
      <c r="S949" s="132">
        <v>1</v>
      </c>
      <c r="T949" s="132">
        <f t="shared" si="86"/>
        <v>0</v>
      </c>
      <c r="V949" s="126">
        <f t="shared" si="87"/>
        <v>0</v>
      </c>
      <c r="W949" s="92">
        <f t="shared" si="88"/>
        <v>0</v>
      </c>
      <c r="Y949" s="210"/>
    </row>
    <row r="950" spans="1:25" ht="14.4" customHeight="1" thickBot="1" x14ac:dyDescent="0.3">
      <c r="A950" s="149"/>
      <c r="J950" s="130">
        <v>1</v>
      </c>
      <c r="K950" s="132">
        <f t="shared" si="84"/>
        <v>0</v>
      </c>
      <c r="M950" s="132">
        <v>1</v>
      </c>
      <c r="N950" s="132">
        <f t="shared" si="85"/>
        <v>0</v>
      </c>
      <c r="P950" s="132">
        <v>1</v>
      </c>
      <c r="Q950" s="132">
        <f t="shared" si="89"/>
        <v>0</v>
      </c>
      <c r="S950" s="132">
        <v>1</v>
      </c>
      <c r="T950" s="132">
        <f t="shared" si="86"/>
        <v>0</v>
      </c>
      <c r="V950" s="126">
        <f t="shared" si="87"/>
        <v>0</v>
      </c>
      <c r="W950" s="92">
        <f t="shared" si="88"/>
        <v>0</v>
      </c>
      <c r="Y950" s="210"/>
    </row>
    <row r="951" spans="1:25" ht="14.4" customHeight="1" thickBot="1" x14ac:dyDescent="0.3">
      <c r="A951" s="149"/>
      <c r="J951" s="130">
        <v>1</v>
      </c>
      <c r="K951" s="132">
        <f t="shared" si="84"/>
        <v>0</v>
      </c>
      <c r="M951" s="132">
        <v>1</v>
      </c>
      <c r="N951" s="132">
        <f t="shared" si="85"/>
        <v>0</v>
      </c>
      <c r="P951" s="132">
        <v>1</v>
      </c>
      <c r="Q951" s="132">
        <f t="shared" si="89"/>
        <v>0</v>
      </c>
      <c r="S951" s="132">
        <v>1</v>
      </c>
      <c r="T951" s="132">
        <f t="shared" si="86"/>
        <v>0</v>
      </c>
      <c r="V951" s="126">
        <f t="shared" si="87"/>
        <v>0</v>
      </c>
      <c r="W951" s="92">
        <f t="shared" si="88"/>
        <v>0</v>
      </c>
      <c r="Y951" s="210"/>
    </row>
    <row r="952" spans="1:25" ht="14.4" customHeight="1" thickBot="1" x14ac:dyDescent="0.3">
      <c r="A952" s="149"/>
      <c r="J952" s="130">
        <v>1</v>
      </c>
      <c r="K952" s="132">
        <f t="shared" si="84"/>
        <v>0</v>
      </c>
      <c r="M952" s="132">
        <v>1</v>
      </c>
      <c r="N952" s="132">
        <f t="shared" si="85"/>
        <v>0</v>
      </c>
      <c r="P952" s="132">
        <v>1</v>
      </c>
      <c r="Q952" s="132">
        <f t="shared" si="89"/>
        <v>0</v>
      </c>
      <c r="S952" s="132">
        <v>1</v>
      </c>
      <c r="T952" s="132">
        <f t="shared" si="86"/>
        <v>0</v>
      </c>
      <c r="V952" s="126">
        <f t="shared" si="87"/>
        <v>0</v>
      </c>
      <c r="W952" s="92">
        <f t="shared" si="88"/>
        <v>0</v>
      </c>
      <c r="Y952" s="210"/>
    </row>
    <row r="953" spans="1:25" ht="14.4" customHeight="1" thickBot="1" x14ac:dyDescent="0.3">
      <c r="A953" s="149"/>
      <c r="J953" s="130">
        <v>1</v>
      </c>
      <c r="K953" s="132">
        <f t="shared" si="84"/>
        <v>0</v>
      </c>
      <c r="M953" s="132">
        <v>1</v>
      </c>
      <c r="N953" s="132">
        <f t="shared" si="85"/>
        <v>0</v>
      </c>
      <c r="P953" s="132">
        <v>1</v>
      </c>
      <c r="Q953" s="132">
        <f t="shared" si="89"/>
        <v>0</v>
      </c>
      <c r="S953" s="132">
        <v>1</v>
      </c>
      <c r="T953" s="132">
        <f t="shared" si="86"/>
        <v>0</v>
      </c>
      <c r="V953" s="126">
        <f t="shared" si="87"/>
        <v>0</v>
      </c>
      <c r="W953" s="92">
        <f t="shared" si="88"/>
        <v>0</v>
      </c>
      <c r="Y953" s="210"/>
    </row>
    <row r="954" spans="1:25" ht="14.4" customHeight="1" thickBot="1" x14ac:dyDescent="0.3">
      <c r="A954" s="149"/>
      <c r="J954" s="130">
        <v>1</v>
      </c>
      <c r="K954" s="132">
        <f t="shared" si="84"/>
        <v>0</v>
      </c>
      <c r="M954" s="132">
        <v>1</v>
      </c>
      <c r="N954" s="132">
        <f t="shared" si="85"/>
        <v>0</v>
      </c>
      <c r="P954" s="132">
        <v>1</v>
      </c>
      <c r="Q954" s="132">
        <f t="shared" si="89"/>
        <v>0</v>
      </c>
      <c r="S954" s="132">
        <v>1</v>
      </c>
      <c r="T954" s="132">
        <f t="shared" si="86"/>
        <v>0</v>
      </c>
      <c r="V954" s="126">
        <f t="shared" si="87"/>
        <v>0</v>
      </c>
      <c r="W954" s="92">
        <f t="shared" si="88"/>
        <v>0</v>
      </c>
      <c r="Y954" s="210"/>
    </row>
    <row r="955" spans="1:25" ht="14.4" customHeight="1" thickBot="1" x14ac:dyDescent="0.3">
      <c r="A955" s="149"/>
      <c r="J955" s="130">
        <v>1</v>
      </c>
      <c r="K955" s="132">
        <f t="shared" si="84"/>
        <v>0</v>
      </c>
      <c r="M955" s="132">
        <v>1</v>
      </c>
      <c r="N955" s="132">
        <f t="shared" si="85"/>
        <v>0</v>
      </c>
      <c r="P955" s="132">
        <v>1</v>
      </c>
      <c r="Q955" s="132">
        <f t="shared" si="89"/>
        <v>0</v>
      </c>
      <c r="S955" s="132">
        <v>1</v>
      </c>
      <c r="T955" s="132">
        <f t="shared" si="86"/>
        <v>0</v>
      </c>
      <c r="V955" s="126">
        <f t="shared" si="87"/>
        <v>0</v>
      </c>
      <c r="W955" s="92">
        <f t="shared" si="88"/>
        <v>0</v>
      </c>
      <c r="Y955" s="210"/>
    </row>
    <row r="956" spans="1:25" ht="14.4" customHeight="1" thickBot="1" x14ac:dyDescent="0.3">
      <c r="A956" s="149"/>
      <c r="J956" s="130">
        <v>1</v>
      </c>
      <c r="K956" s="132">
        <f t="shared" si="84"/>
        <v>0</v>
      </c>
      <c r="M956" s="132">
        <v>1</v>
      </c>
      <c r="N956" s="132">
        <f t="shared" si="85"/>
        <v>0</v>
      </c>
      <c r="P956" s="132">
        <v>1</v>
      </c>
      <c r="Q956" s="132">
        <f t="shared" si="89"/>
        <v>0</v>
      </c>
      <c r="S956" s="132">
        <v>1</v>
      </c>
      <c r="T956" s="132">
        <f t="shared" si="86"/>
        <v>0</v>
      </c>
      <c r="V956" s="126">
        <f t="shared" si="87"/>
        <v>0</v>
      </c>
      <c r="W956" s="92">
        <f t="shared" si="88"/>
        <v>0</v>
      </c>
      <c r="Y956" s="210"/>
    </row>
    <row r="957" spans="1:25" ht="14.4" customHeight="1" thickBot="1" x14ac:dyDescent="0.3">
      <c r="A957" s="149"/>
      <c r="J957" s="130">
        <v>1</v>
      </c>
      <c r="K957" s="132">
        <f t="shared" si="84"/>
        <v>0</v>
      </c>
      <c r="M957" s="132">
        <v>1</v>
      </c>
      <c r="N957" s="132">
        <f t="shared" si="85"/>
        <v>0</v>
      </c>
      <c r="P957" s="132">
        <v>1</v>
      </c>
      <c r="Q957" s="132">
        <f t="shared" si="89"/>
        <v>0</v>
      </c>
      <c r="S957" s="132">
        <v>1</v>
      </c>
      <c r="T957" s="132">
        <f t="shared" si="86"/>
        <v>0</v>
      </c>
      <c r="V957" s="126">
        <f t="shared" si="87"/>
        <v>0</v>
      </c>
      <c r="W957" s="92">
        <f t="shared" si="88"/>
        <v>0</v>
      </c>
      <c r="Y957" s="210"/>
    </row>
    <row r="958" spans="1:25" ht="14.4" customHeight="1" thickBot="1" x14ac:dyDescent="0.3">
      <c r="A958" s="149"/>
      <c r="J958" s="130">
        <v>1</v>
      </c>
      <c r="K958" s="132">
        <f t="shared" si="84"/>
        <v>0</v>
      </c>
      <c r="M958" s="132">
        <v>1</v>
      </c>
      <c r="N958" s="132">
        <f t="shared" si="85"/>
        <v>0</v>
      </c>
      <c r="P958" s="132">
        <v>1</v>
      </c>
      <c r="Q958" s="132">
        <f t="shared" si="89"/>
        <v>0</v>
      </c>
      <c r="S958" s="132">
        <v>1</v>
      </c>
      <c r="T958" s="132">
        <f t="shared" si="86"/>
        <v>0</v>
      </c>
      <c r="V958" s="126">
        <f t="shared" si="87"/>
        <v>0</v>
      </c>
      <c r="W958" s="92">
        <f t="shared" si="88"/>
        <v>0</v>
      </c>
      <c r="Y958" s="210"/>
    </row>
    <row r="959" spans="1:25" ht="14.4" customHeight="1" thickBot="1" x14ac:dyDescent="0.3">
      <c r="A959" s="149"/>
      <c r="J959" s="130">
        <v>1</v>
      </c>
      <c r="K959" s="132">
        <f t="shared" si="84"/>
        <v>0</v>
      </c>
      <c r="M959" s="132">
        <v>1</v>
      </c>
      <c r="N959" s="132">
        <f t="shared" si="85"/>
        <v>0</v>
      </c>
      <c r="P959" s="132">
        <v>1</v>
      </c>
      <c r="Q959" s="132">
        <f t="shared" si="89"/>
        <v>0</v>
      </c>
      <c r="S959" s="132">
        <v>1</v>
      </c>
      <c r="T959" s="132">
        <f t="shared" si="86"/>
        <v>0</v>
      </c>
      <c r="V959" s="126">
        <f t="shared" si="87"/>
        <v>0</v>
      </c>
      <c r="W959" s="92">
        <f t="shared" si="88"/>
        <v>0</v>
      </c>
      <c r="Y959" s="210"/>
    </row>
    <row r="960" spans="1:25" ht="14.4" customHeight="1" thickBot="1" x14ac:dyDescent="0.3">
      <c r="A960" s="149"/>
      <c r="J960" s="130">
        <v>1</v>
      </c>
      <c r="K960" s="132">
        <f t="shared" si="84"/>
        <v>0</v>
      </c>
      <c r="M960" s="132">
        <v>1</v>
      </c>
      <c r="N960" s="132">
        <f t="shared" si="85"/>
        <v>0</v>
      </c>
      <c r="P960" s="132">
        <v>1</v>
      </c>
      <c r="Q960" s="132">
        <f t="shared" si="89"/>
        <v>0</v>
      </c>
      <c r="S960" s="132">
        <v>1</v>
      </c>
      <c r="T960" s="132">
        <f t="shared" si="86"/>
        <v>0</v>
      </c>
      <c r="V960" s="126">
        <f t="shared" si="87"/>
        <v>0</v>
      </c>
      <c r="W960" s="92">
        <f t="shared" si="88"/>
        <v>0</v>
      </c>
      <c r="Y960" s="210"/>
    </row>
    <row r="961" spans="1:25" ht="14.4" customHeight="1" thickBot="1" x14ac:dyDescent="0.3">
      <c r="A961" s="149"/>
      <c r="J961" s="130">
        <v>1</v>
      </c>
      <c r="K961" s="132">
        <f t="shared" si="84"/>
        <v>0</v>
      </c>
      <c r="M961" s="132">
        <v>1</v>
      </c>
      <c r="N961" s="132">
        <f t="shared" si="85"/>
        <v>0</v>
      </c>
      <c r="P961" s="132">
        <v>1</v>
      </c>
      <c r="Q961" s="132">
        <f t="shared" si="89"/>
        <v>0</v>
      </c>
      <c r="S961" s="132">
        <v>1</v>
      </c>
      <c r="T961" s="132">
        <f t="shared" si="86"/>
        <v>0</v>
      </c>
      <c r="V961" s="126">
        <f t="shared" si="87"/>
        <v>0</v>
      </c>
      <c r="W961" s="92">
        <f t="shared" si="88"/>
        <v>0</v>
      </c>
      <c r="Y961" s="210"/>
    </row>
    <row r="962" spans="1:25" ht="14.4" customHeight="1" thickBot="1" x14ac:dyDescent="0.3">
      <c r="A962" s="149"/>
      <c r="J962" s="130">
        <v>1</v>
      </c>
      <c r="K962" s="132">
        <f t="shared" ref="K962:K1025" si="90">I962/J962</f>
        <v>0</v>
      </c>
      <c r="M962" s="132">
        <v>1</v>
      </c>
      <c r="N962" s="132">
        <f t="shared" ref="N962:N1025" si="91">L962/M962</f>
        <v>0</v>
      </c>
      <c r="P962" s="132">
        <v>1</v>
      </c>
      <c r="Q962" s="132">
        <f t="shared" si="89"/>
        <v>0</v>
      </c>
      <c r="S962" s="132">
        <v>1</v>
      </c>
      <c r="T962" s="132">
        <f t="shared" ref="T962:T1025" si="92">R962/S962</f>
        <v>0</v>
      </c>
      <c r="V962" s="126">
        <f t="shared" ref="V962:V1025" si="93">D962+E962-G962-I962/J962-L962/M962-O962/P962-R962/S962</f>
        <v>0</v>
      </c>
      <c r="W962" s="92">
        <f t="shared" ref="W962:W1025" si="94">G962+I962/J962+L962/M962+O962/P962+R962/S962</f>
        <v>0</v>
      </c>
      <c r="Y962" s="210"/>
    </row>
    <row r="963" spans="1:25" ht="14.4" customHeight="1" thickBot="1" x14ac:dyDescent="0.3">
      <c r="A963" s="149"/>
      <c r="J963" s="130">
        <v>1</v>
      </c>
      <c r="K963" s="132">
        <f t="shared" si="90"/>
        <v>0</v>
      </c>
      <c r="M963" s="132">
        <v>1</v>
      </c>
      <c r="N963" s="132">
        <f t="shared" si="91"/>
        <v>0</v>
      </c>
      <c r="P963" s="132">
        <v>1</v>
      </c>
      <c r="Q963" s="132">
        <f t="shared" ref="Q963:Q1026" si="95">O963/P963</f>
        <v>0</v>
      </c>
      <c r="S963" s="132">
        <v>1</v>
      </c>
      <c r="T963" s="132">
        <f t="shared" si="92"/>
        <v>0</v>
      </c>
      <c r="V963" s="126">
        <f t="shared" si="93"/>
        <v>0</v>
      </c>
      <c r="W963" s="92">
        <f t="shared" si="94"/>
        <v>0</v>
      </c>
      <c r="Y963" s="210"/>
    </row>
    <row r="964" spans="1:25" ht="14.4" customHeight="1" thickBot="1" x14ac:dyDescent="0.3">
      <c r="A964" s="149"/>
      <c r="J964" s="130">
        <v>1</v>
      </c>
      <c r="K964" s="132">
        <f t="shared" si="90"/>
        <v>0</v>
      </c>
      <c r="M964" s="132">
        <v>1</v>
      </c>
      <c r="N964" s="132">
        <f t="shared" si="91"/>
        <v>0</v>
      </c>
      <c r="P964" s="132">
        <v>1</v>
      </c>
      <c r="Q964" s="132">
        <f t="shared" si="95"/>
        <v>0</v>
      </c>
      <c r="S964" s="132">
        <v>1</v>
      </c>
      <c r="T964" s="132">
        <f t="shared" si="92"/>
        <v>0</v>
      </c>
      <c r="V964" s="126">
        <f t="shared" si="93"/>
        <v>0</v>
      </c>
      <c r="W964" s="92">
        <f t="shared" si="94"/>
        <v>0</v>
      </c>
      <c r="Y964" s="210"/>
    </row>
    <row r="965" spans="1:25" ht="14.4" customHeight="1" thickBot="1" x14ac:dyDescent="0.3">
      <c r="A965" s="149"/>
      <c r="J965" s="130">
        <v>1</v>
      </c>
      <c r="K965" s="132">
        <f t="shared" si="90"/>
        <v>0</v>
      </c>
      <c r="M965" s="132">
        <v>1</v>
      </c>
      <c r="N965" s="132">
        <f t="shared" si="91"/>
        <v>0</v>
      </c>
      <c r="P965" s="132">
        <v>1</v>
      </c>
      <c r="Q965" s="132">
        <f t="shared" si="95"/>
        <v>0</v>
      </c>
      <c r="S965" s="132">
        <v>1</v>
      </c>
      <c r="T965" s="132">
        <f t="shared" si="92"/>
        <v>0</v>
      </c>
      <c r="V965" s="126">
        <f t="shared" si="93"/>
        <v>0</v>
      </c>
      <c r="W965" s="92">
        <f t="shared" si="94"/>
        <v>0</v>
      </c>
      <c r="Y965" s="210"/>
    </row>
    <row r="966" spans="1:25" ht="14.4" customHeight="1" thickBot="1" x14ac:dyDescent="0.3">
      <c r="A966" s="149"/>
      <c r="J966" s="130">
        <v>1</v>
      </c>
      <c r="K966" s="132">
        <f t="shared" si="90"/>
        <v>0</v>
      </c>
      <c r="M966" s="132">
        <v>1</v>
      </c>
      <c r="N966" s="132">
        <f t="shared" si="91"/>
        <v>0</v>
      </c>
      <c r="P966" s="132">
        <v>1</v>
      </c>
      <c r="Q966" s="132">
        <f t="shared" si="95"/>
        <v>0</v>
      </c>
      <c r="S966" s="132">
        <v>1</v>
      </c>
      <c r="T966" s="132">
        <f t="shared" si="92"/>
        <v>0</v>
      </c>
      <c r="V966" s="126">
        <f t="shared" si="93"/>
        <v>0</v>
      </c>
      <c r="W966" s="92">
        <f t="shared" si="94"/>
        <v>0</v>
      </c>
      <c r="Y966" s="210"/>
    </row>
    <row r="967" spans="1:25" ht="14.4" customHeight="1" thickBot="1" x14ac:dyDescent="0.3">
      <c r="A967" s="149"/>
      <c r="J967" s="130">
        <v>1</v>
      </c>
      <c r="K967" s="132">
        <f t="shared" si="90"/>
        <v>0</v>
      </c>
      <c r="M967" s="132">
        <v>1</v>
      </c>
      <c r="N967" s="132">
        <f t="shared" si="91"/>
        <v>0</v>
      </c>
      <c r="P967" s="132">
        <v>1</v>
      </c>
      <c r="Q967" s="132">
        <f t="shared" si="95"/>
        <v>0</v>
      </c>
      <c r="S967" s="132">
        <v>1</v>
      </c>
      <c r="T967" s="132">
        <f t="shared" si="92"/>
        <v>0</v>
      </c>
      <c r="V967" s="126">
        <f t="shared" si="93"/>
        <v>0</v>
      </c>
      <c r="W967" s="92">
        <f t="shared" si="94"/>
        <v>0</v>
      </c>
      <c r="Y967" s="210"/>
    </row>
    <row r="968" spans="1:25" ht="14.4" customHeight="1" thickBot="1" x14ac:dyDescent="0.3">
      <c r="A968" s="149"/>
      <c r="J968" s="130">
        <v>1</v>
      </c>
      <c r="K968" s="132">
        <f t="shared" si="90"/>
        <v>0</v>
      </c>
      <c r="M968" s="132">
        <v>1</v>
      </c>
      <c r="N968" s="132">
        <f t="shared" si="91"/>
        <v>0</v>
      </c>
      <c r="P968" s="132">
        <v>1</v>
      </c>
      <c r="Q968" s="132">
        <f t="shared" si="95"/>
        <v>0</v>
      </c>
      <c r="S968" s="132">
        <v>1</v>
      </c>
      <c r="T968" s="132">
        <f t="shared" si="92"/>
        <v>0</v>
      </c>
      <c r="V968" s="126">
        <f t="shared" si="93"/>
        <v>0</v>
      </c>
      <c r="W968" s="92">
        <f t="shared" si="94"/>
        <v>0</v>
      </c>
      <c r="Y968" s="210"/>
    </row>
    <row r="969" spans="1:25" ht="14.4" customHeight="1" thickBot="1" x14ac:dyDescent="0.3">
      <c r="A969" s="149"/>
      <c r="J969" s="130">
        <v>1</v>
      </c>
      <c r="K969" s="132">
        <f t="shared" si="90"/>
        <v>0</v>
      </c>
      <c r="M969" s="132">
        <v>1</v>
      </c>
      <c r="N969" s="132">
        <f t="shared" si="91"/>
        <v>0</v>
      </c>
      <c r="P969" s="132">
        <v>1</v>
      </c>
      <c r="Q969" s="132">
        <f t="shared" si="95"/>
        <v>0</v>
      </c>
      <c r="S969" s="132">
        <v>1</v>
      </c>
      <c r="T969" s="132">
        <f t="shared" si="92"/>
        <v>0</v>
      </c>
      <c r="V969" s="126">
        <f t="shared" si="93"/>
        <v>0</v>
      </c>
      <c r="W969" s="92">
        <f t="shared" si="94"/>
        <v>0</v>
      </c>
      <c r="Y969" s="210"/>
    </row>
    <row r="970" spans="1:25" ht="14.4" customHeight="1" thickBot="1" x14ac:dyDescent="0.3">
      <c r="A970" s="149"/>
      <c r="J970" s="130">
        <v>1</v>
      </c>
      <c r="K970" s="132">
        <f t="shared" si="90"/>
        <v>0</v>
      </c>
      <c r="M970" s="132">
        <v>1</v>
      </c>
      <c r="N970" s="132">
        <f t="shared" si="91"/>
        <v>0</v>
      </c>
      <c r="P970" s="132">
        <v>1</v>
      </c>
      <c r="Q970" s="132">
        <f t="shared" si="95"/>
        <v>0</v>
      </c>
      <c r="S970" s="132">
        <v>1</v>
      </c>
      <c r="T970" s="132">
        <f t="shared" si="92"/>
        <v>0</v>
      </c>
      <c r="V970" s="126">
        <f t="shared" si="93"/>
        <v>0</v>
      </c>
      <c r="W970" s="92">
        <f t="shared" si="94"/>
        <v>0</v>
      </c>
      <c r="Y970" s="210"/>
    </row>
    <row r="971" spans="1:25" ht="14.4" customHeight="1" thickBot="1" x14ac:dyDescent="0.3">
      <c r="A971" s="149"/>
      <c r="J971" s="130">
        <v>1</v>
      </c>
      <c r="K971" s="132">
        <f t="shared" si="90"/>
        <v>0</v>
      </c>
      <c r="M971" s="132">
        <v>1</v>
      </c>
      <c r="N971" s="132">
        <f t="shared" si="91"/>
        <v>0</v>
      </c>
      <c r="P971" s="132">
        <v>1</v>
      </c>
      <c r="Q971" s="132">
        <f t="shared" si="95"/>
        <v>0</v>
      </c>
      <c r="S971" s="132">
        <v>1</v>
      </c>
      <c r="T971" s="132">
        <f t="shared" si="92"/>
        <v>0</v>
      </c>
      <c r="V971" s="126">
        <f t="shared" si="93"/>
        <v>0</v>
      </c>
      <c r="W971" s="92">
        <f t="shared" si="94"/>
        <v>0</v>
      </c>
      <c r="Y971" s="210"/>
    </row>
    <row r="972" spans="1:25" ht="14.4" customHeight="1" thickBot="1" x14ac:dyDescent="0.3">
      <c r="A972" s="149"/>
      <c r="J972" s="130">
        <v>1</v>
      </c>
      <c r="K972" s="132">
        <f t="shared" si="90"/>
        <v>0</v>
      </c>
      <c r="M972" s="132">
        <v>1</v>
      </c>
      <c r="N972" s="132">
        <f t="shared" si="91"/>
        <v>0</v>
      </c>
      <c r="P972" s="132">
        <v>1</v>
      </c>
      <c r="Q972" s="132">
        <f t="shared" si="95"/>
        <v>0</v>
      </c>
      <c r="S972" s="132">
        <v>1</v>
      </c>
      <c r="T972" s="132">
        <f t="shared" si="92"/>
        <v>0</v>
      </c>
      <c r="V972" s="126">
        <f t="shared" si="93"/>
        <v>0</v>
      </c>
      <c r="W972" s="92">
        <f t="shared" si="94"/>
        <v>0</v>
      </c>
      <c r="Y972" s="210"/>
    </row>
    <row r="973" spans="1:25" ht="14.4" customHeight="1" thickBot="1" x14ac:dyDescent="0.3">
      <c r="A973" s="149"/>
      <c r="J973" s="130">
        <v>1</v>
      </c>
      <c r="K973" s="132">
        <f t="shared" si="90"/>
        <v>0</v>
      </c>
      <c r="M973" s="132">
        <v>1</v>
      </c>
      <c r="N973" s="132">
        <f t="shared" si="91"/>
        <v>0</v>
      </c>
      <c r="P973" s="132">
        <v>1</v>
      </c>
      <c r="Q973" s="132">
        <f t="shared" si="95"/>
        <v>0</v>
      </c>
      <c r="S973" s="132">
        <v>1</v>
      </c>
      <c r="T973" s="132">
        <f t="shared" si="92"/>
        <v>0</v>
      </c>
      <c r="V973" s="126">
        <f t="shared" si="93"/>
        <v>0</v>
      </c>
      <c r="W973" s="92">
        <f t="shared" si="94"/>
        <v>0</v>
      </c>
      <c r="Y973" s="210"/>
    </row>
    <row r="974" spans="1:25" ht="14.4" customHeight="1" thickBot="1" x14ac:dyDescent="0.3">
      <c r="A974" s="149"/>
      <c r="J974" s="130">
        <v>1</v>
      </c>
      <c r="K974" s="132">
        <f t="shared" si="90"/>
        <v>0</v>
      </c>
      <c r="M974" s="132">
        <v>1</v>
      </c>
      <c r="N974" s="132">
        <f t="shared" si="91"/>
        <v>0</v>
      </c>
      <c r="P974" s="132">
        <v>1</v>
      </c>
      <c r="Q974" s="132">
        <f t="shared" si="95"/>
        <v>0</v>
      </c>
      <c r="S974" s="132">
        <v>1</v>
      </c>
      <c r="T974" s="132">
        <f t="shared" si="92"/>
        <v>0</v>
      </c>
      <c r="V974" s="126">
        <f t="shared" si="93"/>
        <v>0</v>
      </c>
      <c r="W974" s="92">
        <f t="shared" si="94"/>
        <v>0</v>
      </c>
      <c r="Y974" s="210"/>
    </row>
    <row r="975" spans="1:25" ht="14.4" customHeight="1" thickBot="1" x14ac:dyDescent="0.3">
      <c r="A975" s="149"/>
      <c r="J975" s="130">
        <v>1</v>
      </c>
      <c r="K975" s="132">
        <f t="shared" si="90"/>
        <v>0</v>
      </c>
      <c r="M975" s="132">
        <v>1</v>
      </c>
      <c r="N975" s="132">
        <f t="shared" si="91"/>
        <v>0</v>
      </c>
      <c r="P975" s="132">
        <v>1</v>
      </c>
      <c r="Q975" s="132">
        <f t="shared" si="95"/>
        <v>0</v>
      </c>
      <c r="S975" s="132">
        <v>1</v>
      </c>
      <c r="T975" s="132">
        <f t="shared" si="92"/>
        <v>0</v>
      </c>
      <c r="V975" s="126">
        <f t="shared" si="93"/>
        <v>0</v>
      </c>
      <c r="W975" s="92">
        <f t="shared" si="94"/>
        <v>0</v>
      </c>
      <c r="Y975" s="210"/>
    </row>
    <row r="976" spans="1:25" ht="14.4" customHeight="1" thickBot="1" x14ac:dyDescent="0.3">
      <c r="A976" s="149"/>
      <c r="J976" s="130">
        <v>1</v>
      </c>
      <c r="K976" s="132">
        <f t="shared" si="90"/>
        <v>0</v>
      </c>
      <c r="M976" s="132">
        <v>1</v>
      </c>
      <c r="N976" s="132">
        <f t="shared" si="91"/>
        <v>0</v>
      </c>
      <c r="P976" s="132">
        <v>1</v>
      </c>
      <c r="Q976" s="132">
        <f t="shared" si="95"/>
        <v>0</v>
      </c>
      <c r="S976" s="132">
        <v>1</v>
      </c>
      <c r="T976" s="132">
        <f t="shared" si="92"/>
        <v>0</v>
      </c>
      <c r="V976" s="126">
        <f t="shared" si="93"/>
        <v>0</v>
      </c>
      <c r="W976" s="92">
        <f t="shared" si="94"/>
        <v>0</v>
      </c>
      <c r="Y976" s="210"/>
    </row>
    <row r="977" spans="1:25" ht="14.4" customHeight="1" thickBot="1" x14ac:dyDescent="0.3">
      <c r="A977" s="149"/>
      <c r="J977" s="130">
        <v>1</v>
      </c>
      <c r="K977" s="132">
        <f t="shared" si="90"/>
        <v>0</v>
      </c>
      <c r="M977" s="132">
        <v>1</v>
      </c>
      <c r="N977" s="132">
        <f t="shared" si="91"/>
        <v>0</v>
      </c>
      <c r="P977" s="132">
        <v>1</v>
      </c>
      <c r="Q977" s="132">
        <f t="shared" si="95"/>
        <v>0</v>
      </c>
      <c r="S977" s="132">
        <v>1</v>
      </c>
      <c r="T977" s="132">
        <f t="shared" si="92"/>
        <v>0</v>
      </c>
      <c r="V977" s="126">
        <f t="shared" si="93"/>
        <v>0</v>
      </c>
      <c r="W977" s="92">
        <f t="shared" si="94"/>
        <v>0</v>
      </c>
      <c r="Y977" s="210"/>
    </row>
    <row r="978" spans="1:25" ht="14.4" customHeight="1" thickBot="1" x14ac:dyDescent="0.3">
      <c r="A978" s="149"/>
      <c r="J978" s="130">
        <v>1</v>
      </c>
      <c r="K978" s="132">
        <f t="shared" si="90"/>
        <v>0</v>
      </c>
      <c r="M978" s="132">
        <v>1</v>
      </c>
      <c r="N978" s="132">
        <f t="shared" si="91"/>
        <v>0</v>
      </c>
      <c r="P978" s="132">
        <v>1</v>
      </c>
      <c r="Q978" s="132">
        <f t="shared" si="95"/>
        <v>0</v>
      </c>
      <c r="S978" s="132">
        <v>1</v>
      </c>
      <c r="T978" s="132">
        <f t="shared" si="92"/>
        <v>0</v>
      </c>
      <c r="V978" s="126">
        <f t="shared" si="93"/>
        <v>0</v>
      </c>
      <c r="W978" s="92">
        <f t="shared" si="94"/>
        <v>0</v>
      </c>
      <c r="Y978" s="210"/>
    </row>
    <row r="979" spans="1:25" ht="14.4" customHeight="1" thickBot="1" x14ac:dyDescent="0.3">
      <c r="A979" s="149"/>
      <c r="J979" s="130">
        <v>1</v>
      </c>
      <c r="K979" s="132">
        <f t="shared" si="90"/>
        <v>0</v>
      </c>
      <c r="M979" s="132">
        <v>1</v>
      </c>
      <c r="N979" s="132">
        <f t="shared" si="91"/>
        <v>0</v>
      </c>
      <c r="P979" s="132">
        <v>1</v>
      </c>
      <c r="Q979" s="132">
        <f t="shared" si="95"/>
        <v>0</v>
      </c>
      <c r="S979" s="132">
        <v>1</v>
      </c>
      <c r="T979" s="132">
        <f t="shared" si="92"/>
        <v>0</v>
      </c>
      <c r="V979" s="126">
        <f t="shared" si="93"/>
        <v>0</v>
      </c>
      <c r="W979" s="92">
        <f t="shared" si="94"/>
        <v>0</v>
      </c>
      <c r="Y979" s="210"/>
    </row>
    <row r="980" spans="1:25" ht="14.4" customHeight="1" thickBot="1" x14ac:dyDescent="0.3">
      <c r="A980" s="149"/>
      <c r="J980" s="130">
        <v>1</v>
      </c>
      <c r="K980" s="132">
        <f t="shared" si="90"/>
        <v>0</v>
      </c>
      <c r="M980" s="132">
        <v>1</v>
      </c>
      <c r="N980" s="132">
        <f t="shared" si="91"/>
        <v>0</v>
      </c>
      <c r="P980" s="132">
        <v>1</v>
      </c>
      <c r="Q980" s="132">
        <f t="shared" si="95"/>
        <v>0</v>
      </c>
      <c r="S980" s="132">
        <v>1</v>
      </c>
      <c r="T980" s="132">
        <f t="shared" si="92"/>
        <v>0</v>
      </c>
      <c r="V980" s="126">
        <f t="shared" si="93"/>
        <v>0</v>
      </c>
      <c r="W980" s="92">
        <f t="shared" si="94"/>
        <v>0</v>
      </c>
      <c r="Y980" s="210"/>
    </row>
    <row r="981" spans="1:25" ht="14.4" customHeight="1" thickBot="1" x14ac:dyDescent="0.3">
      <c r="A981" s="149"/>
      <c r="J981" s="130">
        <v>1</v>
      </c>
      <c r="K981" s="132">
        <f t="shared" si="90"/>
        <v>0</v>
      </c>
      <c r="M981" s="132">
        <v>1</v>
      </c>
      <c r="N981" s="132">
        <f t="shared" si="91"/>
        <v>0</v>
      </c>
      <c r="P981" s="132">
        <v>1</v>
      </c>
      <c r="Q981" s="132">
        <f t="shared" si="95"/>
        <v>0</v>
      </c>
      <c r="S981" s="132">
        <v>1</v>
      </c>
      <c r="T981" s="132">
        <f t="shared" si="92"/>
        <v>0</v>
      </c>
      <c r="V981" s="126">
        <f t="shared" si="93"/>
        <v>0</v>
      </c>
      <c r="W981" s="92">
        <f t="shared" si="94"/>
        <v>0</v>
      </c>
      <c r="Y981" s="210"/>
    </row>
    <row r="982" spans="1:25" ht="14.4" customHeight="1" thickBot="1" x14ac:dyDescent="0.3">
      <c r="A982" s="149"/>
      <c r="J982" s="130">
        <v>1</v>
      </c>
      <c r="K982" s="132">
        <f t="shared" si="90"/>
        <v>0</v>
      </c>
      <c r="M982" s="132">
        <v>1</v>
      </c>
      <c r="N982" s="132">
        <f t="shared" si="91"/>
        <v>0</v>
      </c>
      <c r="P982" s="132">
        <v>1</v>
      </c>
      <c r="Q982" s="132">
        <f t="shared" si="95"/>
        <v>0</v>
      </c>
      <c r="S982" s="132">
        <v>1</v>
      </c>
      <c r="T982" s="132">
        <f t="shared" si="92"/>
        <v>0</v>
      </c>
      <c r="V982" s="126">
        <f t="shared" si="93"/>
        <v>0</v>
      </c>
      <c r="W982" s="92">
        <f t="shared" si="94"/>
        <v>0</v>
      </c>
      <c r="Y982" s="210"/>
    </row>
    <row r="983" spans="1:25" ht="14.4" customHeight="1" thickBot="1" x14ac:dyDescent="0.3">
      <c r="A983" s="149"/>
      <c r="J983" s="130">
        <v>1</v>
      </c>
      <c r="K983" s="132">
        <f t="shared" si="90"/>
        <v>0</v>
      </c>
      <c r="M983" s="132">
        <v>1</v>
      </c>
      <c r="N983" s="132">
        <f t="shared" si="91"/>
        <v>0</v>
      </c>
      <c r="P983" s="132">
        <v>1</v>
      </c>
      <c r="Q983" s="132">
        <f t="shared" si="95"/>
        <v>0</v>
      </c>
      <c r="S983" s="132">
        <v>1</v>
      </c>
      <c r="T983" s="132">
        <f t="shared" si="92"/>
        <v>0</v>
      </c>
      <c r="V983" s="126">
        <f t="shared" si="93"/>
        <v>0</v>
      </c>
      <c r="W983" s="92">
        <f t="shared" si="94"/>
        <v>0</v>
      </c>
      <c r="Y983" s="210"/>
    </row>
    <row r="984" spans="1:25" ht="14.4" customHeight="1" thickBot="1" x14ac:dyDescent="0.3">
      <c r="A984" s="149"/>
      <c r="J984" s="130">
        <v>1</v>
      </c>
      <c r="K984" s="132">
        <f t="shared" si="90"/>
        <v>0</v>
      </c>
      <c r="M984" s="132">
        <v>1</v>
      </c>
      <c r="N984" s="132">
        <f t="shared" si="91"/>
        <v>0</v>
      </c>
      <c r="P984" s="132">
        <v>1</v>
      </c>
      <c r="Q984" s="132">
        <f t="shared" si="95"/>
        <v>0</v>
      </c>
      <c r="S984" s="132">
        <v>1</v>
      </c>
      <c r="T984" s="132">
        <f t="shared" si="92"/>
        <v>0</v>
      </c>
      <c r="V984" s="126">
        <f t="shared" si="93"/>
        <v>0</v>
      </c>
      <c r="W984" s="92">
        <f t="shared" si="94"/>
        <v>0</v>
      </c>
      <c r="Y984" s="210"/>
    </row>
    <row r="985" spans="1:25" ht="14.4" customHeight="1" thickBot="1" x14ac:dyDescent="0.3">
      <c r="A985" s="149"/>
      <c r="J985" s="130">
        <v>1</v>
      </c>
      <c r="K985" s="132">
        <f t="shared" si="90"/>
        <v>0</v>
      </c>
      <c r="M985" s="132">
        <v>1</v>
      </c>
      <c r="N985" s="132">
        <f t="shared" si="91"/>
        <v>0</v>
      </c>
      <c r="P985" s="132">
        <v>1</v>
      </c>
      <c r="Q985" s="132">
        <f t="shared" si="95"/>
        <v>0</v>
      </c>
      <c r="S985" s="132">
        <v>1</v>
      </c>
      <c r="T985" s="132">
        <f t="shared" si="92"/>
        <v>0</v>
      </c>
      <c r="V985" s="126">
        <f t="shared" si="93"/>
        <v>0</v>
      </c>
      <c r="W985" s="92">
        <f t="shared" si="94"/>
        <v>0</v>
      </c>
      <c r="Y985" s="210"/>
    </row>
    <row r="986" spans="1:25" ht="14.4" customHeight="1" thickBot="1" x14ac:dyDescent="0.3">
      <c r="A986" s="149"/>
      <c r="J986" s="130">
        <v>1</v>
      </c>
      <c r="K986" s="132">
        <f t="shared" si="90"/>
        <v>0</v>
      </c>
      <c r="M986" s="132">
        <v>1</v>
      </c>
      <c r="N986" s="132">
        <f t="shared" si="91"/>
        <v>0</v>
      </c>
      <c r="P986" s="132">
        <v>1</v>
      </c>
      <c r="Q986" s="132">
        <f t="shared" si="95"/>
        <v>0</v>
      </c>
      <c r="S986" s="132">
        <v>1</v>
      </c>
      <c r="T986" s="132">
        <f t="shared" si="92"/>
        <v>0</v>
      </c>
      <c r="V986" s="126">
        <f t="shared" si="93"/>
        <v>0</v>
      </c>
      <c r="W986" s="92">
        <f t="shared" si="94"/>
        <v>0</v>
      </c>
      <c r="Y986" s="210"/>
    </row>
    <row r="987" spans="1:25" ht="14.4" customHeight="1" thickBot="1" x14ac:dyDescent="0.3">
      <c r="A987" s="149"/>
      <c r="J987" s="130">
        <v>1</v>
      </c>
      <c r="K987" s="132">
        <f t="shared" si="90"/>
        <v>0</v>
      </c>
      <c r="M987" s="132">
        <v>1</v>
      </c>
      <c r="N987" s="132">
        <f t="shared" si="91"/>
        <v>0</v>
      </c>
      <c r="P987" s="132">
        <v>1</v>
      </c>
      <c r="Q987" s="132">
        <f t="shared" si="95"/>
        <v>0</v>
      </c>
      <c r="S987" s="132">
        <v>1</v>
      </c>
      <c r="T987" s="132">
        <f t="shared" si="92"/>
        <v>0</v>
      </c>
      <c r="V987" s="126">
        <f t="shared" si="93"/>
        <v>0</v>
      </c>
      <c r="W987" s="92">
        <f t="shared" si="94"/>
        <v>0</v>
      </c>
      <c r="Y987" s="210"/>
    </row>
    <row r="988" spans="1:25" ht="14.4" customHeight="1" thickBot="1" x14ac:dyDescent="0.3">
      <c r="A988" s="149"/>
      <c r="J988" s="130">
        <v>1</v>
      </c>
      <c r="K988" s="132">
        <f t="shared" si="90"/>
        <v>0</v>
      </c>
      <c r="M988" s="132">
        <v>1</v>
      </c>
      <c r="N988" s="132">
        <f t="shared" si="91"/>
        <v>0</v>
      </c>
      <c r="P988" s="132">
        <v>1</v>
      </c>
      <c r="Q988" s="132">
        <f t="shared" si="95"/>
        <v>0</v>
      </c>
      <c r="S988" s="132">
        <v>1</v>
      </c>
      <c r="T988" s="132">
        <f t="shared" si="92"/>
        <v>0</v>
      </c>
      <c r="V988" s="126">
        <f t="shared" si="93"/>
        <v>0</v>
      </c>
      <c r="W988" s="92">
        <f t="shared" si="94"/>
        <v>0</v>
      </c>
      <c r="Y988" s="210"/>
    </row>
    <row r="989" spans="1:25" ht="14.4" customHeight="1" thickBot="1" x14ac:dyDescent="0.3">
      <c r="A989" s="149"/>
      <c r="J989" s="130">
        <v>1</v>
      </c>
      <c r="K989" s="132">
        <f t="shared" si="90"/>
        <v>0</v>
      </c>
      <c r="M989" s="132">
        <v>1</v>
      </c>
      <c r="N989" s="132">
        <f t="shared" si="91"/>
        <v>0</v>
      </c>
      <c r="P989" s="132">
        <v>1</v>
      </c>
      <c r="Q989" s="132">
        <f t="shared" si="95"/>
        <v>0</v>
      </c>
      <c r="S989" s="132">
        <v>1</v>
      </c>
      <c r="T989" s="132">
        <f t="shared" si="92"/>
        <v>0</v>
      </c>
      <c r="V989" s="126">
        <f t="shared" si="93"/>
        <v>0</v>
      </c>
      <c r="W989" s="92">
        <f t="shared" si="94"/>
        <v>0</v>
      </c>
      <c r="Y989" s="210"/>
    </row>
    <row r="990" spans="1:25" ht="14.4" customHeight="1" thickBot="1" x14ac:dyDescent="0.3">
      <c r="A990" s="149"/>
      <c r="J990" s="130">
        <v>1</v>
      </c>
      <c r="K990" s="132">
        <f t="shared" si="90"/>
        <v>0</v>
      </c>
      <c r="M990" s="132">
        <v>1</v>
      </c>
      <c r="N990" s="132">
        <f t="shared" si="91"/>
        <v>0</v>
      </c>
      <c r="P990" s="132">
        <v>1</v>
      </c>
      <c r="Q990" s="132">
        <f t="shared" si="95"/>
        <v>0</v>
      </c>
      <c r="S990" s="132">
        <v>1</v>
      </c>
      <c r="T990" s="132">
        <f t="shared" si="92"/>
        <v>0</v>
      </c>
      <c r="V990" s="126">
        <f t="shared" si="93"/>
        <v>0</v>
      </c>
      <c r="W990" s="92">
        <f t="shared" si="94"/>
        <v>0</v>
      </c>
      <c r="Y990" s="210"/>
    </row>
    <row r="991" spans="1:25" ht="14.4" customHeight="1" thickBot="1" x14ac:dyDescent="0.3">
      <c r="A991" s="149"/>
      <c r="J991" s="130">
        <v>1</v>
      </c>
      <c r="K991" s="132">
        <f t="shared" si="90"/>
        <v>0</v>
      </c>
      <c r="M991" s="132">
        <v>1</v>
      </c>
      <c r="N991" s="132">
        <f t="shared" si="91"/>
        <v>0</v>
      </c>
      <c r="P991" s="132">
        <v>1</v>
      </c>
      <c r="Q991" s="132">
        <f t="shared" si="95"/>
        <v>0</v>
      </c>
      <c r="S991" s="132">
        <v>1</v>
      </c>
      <c r="T991" s="132">
        <f t="shared" si="92"/>
        <v>0</v>
      </c>
      <c r="V991" s="126">
        <f t="shared" si="93"/>
        <v>0</v>
      </c>
      <c r="W991" s="92">
        <f t="shared" si="94"/>
        <v>0</v>
      </c>
      <c r="Y991" s="210"/>
    </row>
    <row r="992" spans="1:25" ht="14.4" customHeight="1" thickBot="1" x14ac:dyDescent="0.3">
      <c r="A992" s="149"/>
      <c r="J992" s="130">
        <v>1</v>
      </c>
      <c r="K992" s="132">
        <f t="shared" si="90"/>
        <v>0</v>
      </c>
      <c r="M992" s="132">
        <v>1</v>
      </c>
      <c r="N992" s="132">
        <f t="shared" si="91"/>
        <v>0</v>
      </c>
      <c r="P992" s="132">
        <v>1</v>
      </c>
      <c r="Q992" s="132">
        <f t="shared" si="95"/>
        <v>0</v>
      </c>
      <c r="S992" s="132">
        <v>1</v>
      </c>
      <c r="T992" s="132">
        <f t="shared" si="92"/>
        <v>0</v>
      </c>
      <c r="V992" s="126">
        <f t="shared" si="93"/>
        <v>0</v>
      </c>
      <c r="W992" s="92">
        <f t="shared" si="94"/>
        <v>0</v>
      </c>
      <c r="Y992" s="210"/>
    </row>
    <row r="993" spans="1:25" ht="14.4" customHeight="1" thickBot="1" x14ac:dyDescent="0.3">
      <c r="A993" s="149"/>
      <c r="J993" s="130">
        <v>1</v>
      </c>
      <c r="K993" s="132">
        <f t="shared" si="90"/>
        <v>0</v>
      </c>
      <c r="M993" s="132">
        <v>1</v>
      </c>
      <c r="N993" s="132">
        <f t="shared" si="91"/>
        <v>0</v>
      </c>
      <c r="P993" s="132">
        <v>1</v>
      </c>
      <c r="Q993" s="132">
        <f t="shared" si="95"/>
        <v>0</v>
      </c>
      <c r="S993" s="132">
        <v>1</v>
      </c>
      <c r="T993" s="132">
        <f t="shared" si="92"/>
        <v>0</v>
      </c>
      <c r="V993" s="126">
        <f t="shared" si="93"/>
        <v>0</v>
      </c>
      <c r="W993" s="92">
        <f t="shared" si="94"/>
        <v>0</v>
      </c>
      <c r="Y993" s="210"/>
    </row>
    <row r="994" spans="1:25" ht="14.4" customHeight="1" thickBot="1" x14ac:dyDescent="0.3">
      <c r="A994" s="149"/>
      <c r="J994" s="130">
        <v>1</v>
      </c>
      <c r="K994" s="132">
        <f t="shared" si="90"/>
        <v>0</v>
      </c>
      <c r="M994" s="132">
        <v>1</v>
      </c>
      <c r="N994" s="132">
        <f t="shared" si="91"/>
        <v>0</v>
      </c>
      <c r="P994" s="132">
        <v>1</v>
      </c>
      <c r="Q994" s="132">
        <f t="shared" si="95"/>
        <v>0</v>
      </c>
      <c r="S994" s="132">
        <v>1</v>
      </c>
      <c r="T994" s="132">
        <f t="shared" si="92"/>
        <v>0</v>
      </c>
      <c r="V994" s="126">
        <f t="shared" si="93"/>
        <v>0</v>
      </c>
      <c r="W994" s="92">
        <f t="shared" si="94"/>
        <v>0</v>
      </c>
      <c r="Y994" s="210"/>
    </row>
    <row r="995" spans="1:25" ht="14.4" customHeight="1" thickBot="1" x14ac:dyDescent="0.3">
      <c r="A995" s="149"/>
      <c r="J995" s="130">
        <v>1</v>
      </c>
      <c r="K995" s="132">
        <f t="shared" si="90"/>
        <v>0</v>
      </c>
      <c r="M995" s="132">
        <v>1</v>
      </c>
      <c r="N995" s="132">
        <f t="shared" si="91"/>
        <v>0</v>
      </c>
      <c r="P995" s="132">
        <v>1</v>
      </c>
      <c r="Q995" s="132">
        <f t="shared" si="95"/>
        <v>0</v>
      </c>
      <c r="S995" s="132">
        <v>1</v>
      </c>
      <c r="T995" s="132">
        <f t="shared" si="92"/>
        <v>0</v>
      </c>
      <c r="V995" s="126">
        <f t="shared" si="93"/>
        <v>0</v>
      </c>
      <c r="W995" s="92">
        <f t="shared" si="94"/>
        <v>0</v>
      </c>
      <c r="Y995" s="210"/>
    </row>
    <row r="996" spans="1:25" ht="14.4" customHeight="1" thickBot="1" x14ac:dyDescent="0.3">
      <c r="A996" s="149"/>
      <c r="J996" s="130">
        <v>1</v>
      </c>
      <c r="K996" s="132">
        <f t="shared" si="90"/>
        <v>0</v>
      </c>
      <c r="M996" s="132">
        <v>1</v>
      </c>
      <c r="N996" s="132">
        <f t="shared" si="91"/>
        <v>0</v>
      </c>
      <c r="P996" s="132">
        <v>1</v>
      </c>
      <c r="Q996" s="132">
        <f t="shared" si="95"/>
        <v>0</v>
      </c>
      <c r="S996" s="132">
        <v>1</v>
      </c>
      <c r="T996" s="132">
        <f t="shared" si="92"/>
        <v>0</v>
      </c>
      <c r="V996" s="126">
        <f t="shared" si="93"/>
        <v>0</v>
      </c>
      <c r="W996" s="92">
        <f t="shared" si="94"/>
        <v>0</v>
      </c>
      <c r="Y996" s="210"/>
    </row>
    <row r="997" spans="1:25" ht="14.4" customHeight="1" thickBot="1" x14ac:dyDescent="0.3">
      <c r="A997" s="149"/>
      <c r="J997" s="130">
        <v>1</v>
      </c>
      <c r="K997" s="132">
        <f t="shared" si="90"/>
        <v>0</v>
      </c>
      <c r="M997" s="132">
        <v>1</v>
      </c>
      <c r="N997" s="132">
        <f t="shared" si="91"/>
        <v>0</v>
      </c>
      <c r="P997" s="132">
        <v>1</v>
      </c>
      <c r="Q997" s="132">
        <f t="shared" si="95"/>
        <v>0</v>
      </c>
      <c r="S997" s="132">
        <v>1</v>
      </c>
      <c r="T997" s="132">
        <f t="shared" si="92"/>
        <v>0</v>
      </c>
      <c r="V997" s="126">
        <f t="shared" si="93"/>
        <v>0</v>
      </c>
      <c r="W997" s="92">
        <f t="shared" si="94"/>
        <v>0</v>
      </c>
      <c r="Y997" s="210"/>
    </row>
    <row r="998" spans="1:25" ht="14.4" customHeight="1" thickBot="1" x14ac:dyDescent="0.3">
      <c r="A998" s="149"/>
      <c r="J998" s="130">
        <v>1</v>
      </c>
      <c r="K998" s="132">
        <f t="shared" si="90"/>
        <v>0</v>
      </c>
      <c r="M998" s="132">
        <v>1</v>
      </c>
      <c r="N998" s="132">
        <f t="shared" si="91"/>
        <v>0</v>
      </c>
      <c r="P998" s="132">
        <v>1</v>
      </c>
      <c r="Q998" s="132">
        <f t="shared" si="95"/>
        <v>0</v>
      </c>
      <c r="S998" s="132">
        <v>1</v>
      </c>
      <c r="T998" s="132">
        <f t="shared" si="92"/>
        <v>0</v>
      </c>
      <c r="V998" s="126">
        <f t="shared" si="93"/>
        <v>0</v>
      </c>
      <c r="W998" s="92">
        <f t="shared" si="94"/>
        <v>0</v>
      </c>
      <c r="Y998" s="210"/>
    </row>
    <row r="999" spans="1:25" ht="14.4" customHeight="1" thickBot="1" x14ac:dyDescent="0.3">
      <c r="A999" s="149"/>
      <c r="J999" s="130">
        <v>1</v>
      </c>
      <c r="K999" s="132">
        <f t="shared" si="90"/>
        <v>0</v>
      </c>
      <c r="M999" s="132">
        <v>1</v>
      </c>
      <c r="N999" s="132">
        <f t="shared" si="91"/>
        <v>0</v>
      </c>
      <c r="P999" s="132">
        <v>1</v>
      </c>
      <c r="Q999" s="132">
        <f t="shared" si="95"/>
        <v>0</v>
      </c>
      <c r="S999" s="132">
        <v>1</v>
      </c>
      <c r="T999" s="132">
        <f t="shared" si="92"/>
        <v>0</v>
      </c>
      <c r="V999" s="126">
        <f t="shared" si="93"/>
        <v>0</v>
      </c>
      <c r="W999" s="92">
        <f t="shared" si="94"/>
        <v>0</v>
      </c>
      <c r="Y999" s="210"/>
    </row>
    <row r="1000" spans="1:25" ht="14.4" customHeight="1" thickBot="1" x14ac:dyDescent="0.3">
      <c r="A1000" s="149"/>
      <c r="J1000" s="130">
        <v>1</v>
      </c>
      <c r="K1000" s="132">
        <f t="shared" si="90"/>
        <v>0</v>
      </c>
      <c r="M1000" s="132">
        <v>1</v>
      </c>
      <c r="N1000" s="132">
        <f t="shared" si="91"/>
        <v>0</v>
      </c>
      <c r="P1000" s="132">
        <v>1</v>
      </c>
      <c r="Q1000" s="132">
        <f t="shared" si="95"/>
        <v>0</v>
      </c>
      <c r="S1000" s="132">
        <v>1</v>
      </c>
      <c r="T1000" s="132">
        <f t="shared" si="92"/>
        <v>0</v>
      </c>
      <c r="V1000" s="126">
        <f t="shared" si="93"/>
        <v>0</v>
      </c>
      <c r="W1000" s="92">
        <f t="shared" si="94"/>
        <v>0</v>
      </c>
      <c r="Y1000" s="210"/>
    </row>
    <row r="1001" spans="1:25" ht="14.4" customHeight="1" thickBot="1" x14ac:dyDescent="0.3">
      <c r="A1001" s="149"/>
      <c r="J1001" s="130">
        <v>1</v>
      </c>
      <c r="K1001" s="132">
        <f t="shared" si="90"/>
        <v>0</v>
      </c>
      <c r="M1001" s="132">
        <v>1</v>
      </c>
      <c r="N1001" s="132">
        <f t="shared" si="91"/>
        <v>0</v>
      </c>
      <c r="P1001" s="132">
        <v>1</v>
      </c>
      <c r="Q1001" s="132">
        <f t="shared" si="95"/>
        <v>0</v>
      </c>
      <c r="S1001" s="132">
        <v>1</v>
      </c>
      <c r="T1001" s="132">
        <f t="shared" si="92"/>
        <v>0</v>
      </c>
      <c r="V1001" s="126">
        <f t="shared" si="93"/>
        <v>0</v>
      </c>
      <c r="W1001" s="92">
        <f t="shared" si="94"/>
        <v>0</v>
      </c>
      <c r="Y1001" s="210"/>
    </row>
    <row r="1002" spans="1:25" ht="14.4" customHeight="1" thickBot="1" x14ac:dyDescent="0.3">
      <c r="A1002" s="149"/>
      <c r="J1002" s="130">
        <v>1</v>
      </c>
      <c r="K1002" s="132">
        <f t="shared" si="90"/>
        <v>0</v>
      </c>
      <c r="M1002" s="132">
        <v>1</v>
      </c>
      <c r="N1002" s="132">
        <f t="shared" si="91"/>
        <v>0</v>
      </c>
      <c r="P1002" s="132">
        <v>1</v>
      </c>
      <c r="Q1002" s="132">
        <f t="shared" si="95"/>
        <v>0</v>
      </c>
      <c r="S1002" s="132">
        <v>1</v>
      </c>
      <c r="T1002" s="132">
        <f t="shared" si="92"/>
        <v>0</v>
      </c>
      <c r="V1002" s="126">
        <f t="shared" si="93"/>
        <v>0</v>
      </c>
      <c r="W1002" s="92">
        <f t="shared" si="94"/>
        <v>0</v>
      </c>
      <c r="Y1002" s="210"/>
    </row>
    <row r="1003" spans="1:25" ht="14.4" customHeight="1" thickBot="1" x14ac:dyDescent="0.3">
      <c r="A1003" s="149"/>
      <c r="J1003" s="130">
        <v>1</v>
      </c>
      <c r="K1003" s="132">
        <f t="shared" si="90"/>
        <v>0</v>
      </c>
      <c r="M1003" s="132">
        <v>1</v>
      </c>
      <c r="N1003" s="132">
        <f t="shared" si="91"/>
        <v>0</v>
      </c>
      <c r="P1003" s="132">
        <v>1</v>
      </c>
      <c r="Q1003" s="132">
        <f t="shared" si="95"/>
        <v>0</v>
      </c>
      <c r="S1003" s="132">
        <v>1</v>
      </c>
      <c r="T1003" s="132">
        <f t="shared" si="92"/>
        <v>0</v>
      </c>
      <c r="V1003" s="126">
        <f t="shared" si="93"/>
        <v>0</v>
      </c>
      <c r="W1003" s="92">
        <f t="shared" si="94"/>
        <v>0</v>
      </c>
      <c r="Y1003" s="210"/>
    </row>
    <row r="1004" spans="1:25" ht="14.4" customHeight="1" thickBot="1" x14ac:dyDescent="0.3">
      <c r="A1004" s="149"/>
      <c r="J1004" s="130">
        <v>1</v>
      </c>
      <c r="K1004" s="132">
        <f t="shared" si="90"/>
        <v>0</v>
      </c>
      <c r="M1004" s="132">
        <v>1</v>
      </c>
      <c r="N1004" s="132">
        <f t="shared" si="91"/>
        <v>0</v>
      </c>
      <c r="P1004" s="132">
        <v>1</v>
      </c>
      <c r="Q1004" s="132">
        <f t="shared" si="95"/>
        <v>0</v>
      </c>
      <c r="S1004" s="132">
        <v>1</v>
      </c>
      <c r="T1004" s="132">
        <f t="shared" si="92"/>
        <v>0</v>
      </c>
      <c r="V1004" s="126">
        <f t="shared" si="93"/>
        <v>0</v>
      </c>
      <c r="W1004" s="92">
        <f t="shared" si="94"/>
        <v>0</v>
      </c>
      <c r="Y1004" s="210"/>
    </row>
    <row r="1005" spans="1:25" ht="14.4" customHeight="1" thickBot="1" x14ac:dyDescent="0.3">
      <c r="A1005" s="149"/>
      <c r="J1005" s="130">
        <v>1</v>
      </c>
      <c r="K1005" s="132">
        <f t="shared" si="90"/>
        <v>0</v>
      </c>
      <c r="M1005" s="132">
        <v>1</v>
      </c>
      <c r="N1005" s="132">
        <f t="shared" si="91"/>
        <v>0</v>
      </c>
      <c r="P1005" s="132">
        <v>1</v>
      </c>
      <c r="Q1005" s="132">
        <f t="shared" si="95"/>
        <v>0</v>
      </c>
      <c r="S1005" s="132">
        <v>1</v>
      </c>
      <c r="T1005" s="132">
        <f t="shared" si="92"/>
        <v>0</v>
      </c>
      <c r="V1005" s="126">
        <f t="shared" si="93"/>
        <v>0</v>
      </c>
      <c r="W1005" s="92">
        <f t="shared" si="94"/>
        <v>0</v>
      </c>
      <c r="Y1005" s="210"/>
    </row>
    <row r="1006" spans="1:25" ht="14.4" customHeight="1" thickBot="1" x14ac:dyDescent="0.3">
      <c r="A1006" s="149"/>
      <c r="J1006" s="130">
        <v>1</v>
      </c>
      <c r="K1006" s="132">
        <f t="shared" si="90"/>
        <v>0</v>
      </c>
      <c r="M1006" s="132">
        <v>1</v>
      </c>
      <c r="N1006" s="132">
        <f t="shared" si="91"/>
        <v>0</v>
      </c>
      <c r="P1006" s="132">
        <v>1</v>
      </c>
      <c r="Q1006" s="132">
        <f t="shared" si="95"/>
        <v>0</v>
      </c>
      <c r="S1006" s="132">
        <v>1</v>
      </c>
      <c r="T1006" s="132">
        <f t="shared" si="92"/>
        <v>0</v>
      </c>
      <c r="V1006" s="126">
        <f t="shared" si="93"/>
        <v>0</v>
      </c>
      <c r="W1006" s="92">
        <f t="shared" si="94"/>
        <v>0</v>
      </c>
      <c r="Y1006" s="210"/>
    </row>
    <row r="1007" spans="1:25" ht="14.4" customHeight="1" thickBot="1" x14ac:dyDescent="0.3">
      <c r="A1007" s="149"/>
      <c r="J1007" s="130">
        <v>1</v>
      </c>
      <c r="K1007" s="132">
        <f t="shared" si="90"/>
        <v>0</v>
      </c>
      <c r="M1007" s="132">
        <v>1</v>
      </c>
      <c r="N1007" s="132">
        <f t="shared" si="91"/>
        <v>0</v>
      </c>
      <c r="P1007" s="132">
        <v>1</v>
      </c>
      <c r="Q1007" s="132">
        <f t="shared" si="95"/>
        <v>0</v>
      </c>
      <c r="S1007" s="132">
        <v>1</v>
      </c>
      <c r="T1007" s="132">
        <f t="shared" si="92"/>
        <v>0</v>
      </c>
      <c r="V1007" s="126">
        <f t="shared" si="93"/>
        <v>0</v>
      </c>
      <c r="W1007" s="92">
        <f t="shared" si="94"/>
        <v>0</v>
      </c>
      <c r="Y1007" s="210"/>
    </row>
    <row r="1008" spans="1:25" ht="14.4" customHeight="1" thickBot="1" x14ac:dyDescent="0.3">
      <c r="A1008" s="149"/>
      <c r="J1008" s="130">
        <v>1</v>
      </c>
      <c r="K1008" s="132">
        <f t="shared" si="90"/>
        <v>0</v>
      </c>
      <c r="M1008" s="132">
        <v>1</v>
      </c>
      <c r="N1008" s="132">
        <f t="shared" si="91"/>
        <v>0</v>
      </c>
      <c r="P1008" s="132">
        <v>1</v>
      </c>
      <c r="Q1008" s="132">
        <f t="shared" si="95"/>
        <v>0</v>
      </c>
      <c r="S1008" s="132">
        <v>1</v>
      </c>
      <c r="T1008" s="132">
        <f t="shared" si="92"/>
        <v>0</v>
      </c>
      <c r="V1008" s="126">
        <f t="shared" si="93"/>
        <v>0</v>
      </c>
      <c r="W1008" s="92">
        <f t="shared" si="94"/>
        <v>0</v>
      </c>
      <c r="Y1008" s="210"/>
    </row>
    <row r="1009" spans="1:25" ht="14.4" customHeight="1" thickBot="1" x14ac:dyDescent="0.3">
      <c r="A1009" s="149"/>
      <c r="J1009" s="130">
        <v>1</v>
      </c>
      <c r="K1009" s="132">
        <f t="shared" si="90"/>
        <v>0</v>
      </c>
      <c r="M1009" s="132">
        <v>1</v>
      </c>
      <c r="N1009" s="132">
        <f t="shared" si="91"/>
        <v>0</v>
      </c>
      <c r="P1009" s="132">
        <v>1</v>
      </c>
      <c r="Q1009" s="132">
        <f t="shared" si="95"/>
        <v>0</v>
      </c>
      <c r="S1009" s="132">
        <v>1</v>
      </c>
      <c r="T1009" s="132">
        <f t="shared" si="92"/>
        <v>0</v>
      </c>
      <c r="V1009" s="126">
        <f t="shared" si="93"/>
        <v>0</v>
      </c>
      <c r="W1009" s="92">
        <f t="shared" si="94"/>
        <v>0</v>
      </c>
      <c r="Y1009" s="210"/>
    </row>
    <row r="1010" spans="1:25" ht="14.4" customHeight="1" thickBot="1" x14ac:dyDescent="0.3">
      <c r="A1010" s="149"/>
      <c r="J1010" s="130">
        <v>1</v>
      </c>
      <c r="K1010" s="132">
        <f t="shared" si="90"/>
        <v>0</v>
      </c>
      <c r="M1010" s="132">
        <v>1</v>
      </c>
      <c r="N1010" s="132">
        <f t="shared" si="91"/>
        <v>0</v>
      </c>
      <c r="P1010" s="132">
        <v>1</v>
      </c>
      <c r="Q1010" s="132">
        <f t="shared" si="95"/>
        <v>0</v>
      </c>
      <c r="S1010" s="132">
        <v>1</v>
      </c>
      <c r="T1010" s="132">
        <f t="shared" si="92"/>
        <v>0</v>
      </c>
      <c r="V1010" s="126">
        <f t="shared" si="93"/>
        <v>0</v>
      </c>
      <c r="W1010" s="92">
        <f t="shared" si="94"/>
        <v>0</v>
      </c>
      <c r="Y1010" s="210"/>
    </row>
    <row r="1011" spans="1:25" ht="14.4" customHeight="1" thickBot="1" x14ac:dyDescent="0.3">
      <c r="A1011" s="149"/>
      <c r="J1011" s="130">
        <v>1</v>
      </c>
      <c r="K1011" s="132">
        <f t="shared" si="90"/>
        <v>0</v>
      </c>
      <c r="M1011" s="132">
        <v>1</v>
      </c>
      <c r="N1011" s="132">
        <f t="shared" si="91"/>
        <v>0</v>
      </c>
      <c r="P1011" s="132">
        <v>1</v>
      </c>
      <c r="Q1011" s="132">
        <f t="shared" si="95"/>
        <v>0</v>
      </c>
      <c r="S1011" s="132">
        <v>1</v>
      </c>
      <c r="T1011" s="132">
        <f t="shared" si="92"/>
        <v>0</v>
      </c>
      <c r="V1011" s="126">
        <f t="shared" si="93"/>
        <v>0</v>
      </c>
      <c r="W1011" s="92">
        <f t="shared" si="94"/>
        <v>0</v>
      </c>
      <c r="Y1011" s="210"/>
    </row>
    <row r="1012" spans="1:25" ht="14.4" customHeight="1" thickBot="1" x14ac:dyDescent="0.3">
      <c r="A1012" s="149"/>
      <c r="J1012" s="130">
        <v>1</v>
      </c>
      <c r="K1012" s="132">
        <f t="shared" si="90"/>
        <v>0</v>
      </c>
      <c r="M1012" s="132">
        <v>1</v>
      </c>
      <c r="N1012" s="132">
        <f t="shared" si="91"/>
        <v>0</v>
      </c>
      <c r="P1012" s="132">
        <v>1</v>
      </c>
      <c r="Q1012" s="132">
        <f t="shared" si="95"/>
        <v>0</v>
      </c>
      <c r="S1012" s="132">
        <v>1</v>
      </c>
      <c r="T1012" s="132">
        <f t="shared" si="92"/>
        <v>0</v>
      </c>
      <c r="V1012" s="126">
        <f t="shared" si="93"/>
        <v>0</v>
      </c>
      <c r="W1012" s="92">
        <f t="shared" si="94"/>
        <v>0</v>
      </c>
      <c r="Y1012" s="210"/>
    </row>
    <row r="1013" spans="1:25" ht="14.4" customHeight="1" thickBot="1" x14ac:dyDescent="0.3">
      <c r="A1013" s="149"/>
      <c r="J1013" s="130">
        <v>1</v>
      </c>
      <c r="K1013" s="132">
        <f t="shared" si="90"/>
        <v>0</v>
      </c>
      <c r="M1013" s="132">
        <v>1</v>
      </c>
      <c r="N1013" s="132">
        <f t="shared" si="91"/>
        <v>0</v>
      </c>
      <c r="P1013" s="132">
        <v>1</v>
      </c>
      <c r="Q1013" s="132">
        <f t="shared" si="95"/>
        <v>0</v>
      </c>
      <c r="S1013" s="132">
        <v>1</v>
      </c>
      <c r="T1013" s="132">
        <f t="shared" si="92"/>
        <v>0</v>
      </c>
      <c r="V1013" s="126">
        <f t="shared" si="93"/>
        <v>0</v>
      </c>
      <c r="W1013" s="92">
        <f t="shared" si="94"/>
        <v>0</v>
      </c>
      <c r="Y1013" s="210"/>
    </row>
    <row r="1014" spans="1:25" ht="14.4" customHeight="1" thickBot="1" x14ac:dyDescent="0.3">
      <c r="A1014" s="149"/>
      <c r="J1014" s="130">
        <v>1</v>
      </c>
      <c r="K1014" s="132">
        <f t="shared" si="90"/>
        <v>0</v>
      </c>
      <c r="M1014" s="132">
        <v>1</v>
      </c>
      <c r="N1014" s="132">
        <f t="shared" si="91"/>
        <v>0</v>
      </c>
      <c r="P1014" s="132">
        <v>1</v>
      </c>
      <c r="Q1014" s="132">
        <f t="shared" si="95"/>
        <v>0</v>
      </c>
      <c r="S1014" s="132">
        <v>1</v>
      </c>
      <c r="T1014" s="132">
        <f t="shared" si="92"/>
        <v>0</v>
      </c>
      <c r="V1014" s="126">
        <f t="shared" si="93"/>
        <v>0</v>
      </c>
      <c r="W1014" s="92">
        <f t="shared" si="94"/>
        <v>0</v>
      </c>
      <c r="Y1014" s="210"/>
    </row>
    <row r="1015" spans="1:25" ht="14.4" customHeight="1" thickBot="1" x14ac:dyDescent="0.3">
      <c r="A1015" s="149"/>
      <c r="J1015" s="130">
        <v>1</v>
      </c>
      <c r="K1015" s="132">
        <f t="shared" si="90"/>
        <v>0</v>
      </c>
      <c r="M1015" s="132">
        <v>1</v>
      </c>
      <c r="N1015" s="132">
        <f t="shared" si="91"/>
        <v>0</v>
      </c>
      <c r="P1015" s="132">
        <v>1</v>
      </c>
      <c r="Q1015" s="132">
        <f t="shared" si="95"/>
        <v>0</v>
      </c>
      <c r="S1015" s="132">
        <v>1</v>
      </c>
      <c r="T1015" s="132">
        <f t="shared" si="92"/>
        <v>0</v>
      </c>
      <c r="V1015" s="126">
        <f t="shared" si="93"/>
        <v>0</v>
      </c>
      <c r="W1015" s="92">
        <f t="shared" si="94"/>
        <v>0</v>
      </c>
      <c r="Y1015" s="210"/>
    </row>
    <row r="1016" spans="1:25" ht="14.4" customHeight="1" thickBot="1" x14ac:dyDescent="0.3">
      <c r="A1016" s="149"/>
      <c r="J1016" s="130">
        <v>1</v>
      </c>
      <c r="K1016" s="132">
        <f t="shared" si="90"/>
        <v>0</v>
      </c>
      <c r="M1016" s="132">
        <v>1</v>
      </c>
      <c r="N1016" s="132">
        <f t="shared" si="91"/>
        <v>0</v>
      </c>
      <c r="P1016" s="132">
        <v>1</v>
      </c>
      <c r="Q1016" s="132">
        <f t="shared" si="95"/>
        <v>0</v>
      </c>
      <c r="S1016" s="132">
        <v>1</v>
      </c>
      <c r="T1016" s="132">
        <f t="shared" si="92"/>
        <v>0</v>
      </c>
      <c r="V1016" s="126">
        <f t="shared" si="93"/>
        <v>0</v>
      </c>
      <c r="W1016" s="92">
        <f t="shared" si="94"/>
        <v>0</v>
      </c>
      <c r="Y1016" s="210"/>
    </row>
    <row r="1017" spans="1:25" ht="14.4" customHeight="1" thickBot="1" x14ac:dyDescent="0.3">
      <c r="A1017" s="149"/>
      <c r="J1017" s="130">
        <v>1</v>
      </c>
      <c r="K1017" s="132">
        <f t="shared" si="90"/>
        <v>0</v>
      </c>
      <c r="M1017" s="132">
        <v>1</v>
      </c>
      <c r="N1017" s="132">
        <f t="shared" si="91"/>
        <v>0</v>
      </c>
      <c r="P1017" s="132">
        <v>1</v>
      </c>
      <c r="Q1017" s="132">
        <f t="shared" si="95"/>
        <v>0</v>
      </c>
      <c r="S1017" s="132">
        <v>1</v>
      </c>
      <c r="T1017" s="132">
        <f t="shared" si="92"/>
        <v>0</v>
      </c>
      <c r="V1017" s="126">
        <f t="shared" si="93"/>
        <v>0</v>
      </c>
      <c r="W1017" s="92">
        <f t="shared" si="94"/>
        <v>0</v>
      </c>
      <c r="Y1017" s="210"/>
    </row>
    <row r="1018" spans="1:25" ht="14.4" customHeight="1" thickBot="1" x14ac:dyDescent="0.3">
      <c r="A1018" s="149"/>
      <c r="J1018" s="130">
        <v>1</v>
      </c>
      <c r="K1018" s="132">
        <f t="shared" si="90"/>
        <v>0</v>
      </c>
      <c r="M1018" s="132">
        <v>1</v>
      </c>
      <c r="N1018" s="132">
        <f t="shared" si="91"/>
        <v>0</v>
      </c>
      <c r="P1018" s="132">
        <v>1</v>
      </c>
      <c r="Q1018" s="132">
        <f t="shared" si="95"/>
        <v>0</v>
      </c>
      <c r="S1018" s="132">
        <v>1</v>
      </c>
      <c r="T1018" s="132">
        <f t="shared" si="92"/>
        <v>0</v>
      </c>
      <c r="V1018" s="126">
        <f t="shared" si="93"/>
        <v>0</v>
      </c>
      <c r="W1018" s="92">
        <f t="shared" si="94"/>
        <v>0</v>
      </c>
      <c r="Y1018" s="210"/>
    </row>
    <row r="1019" spans="1:25" ht="14.4" customHeight="1" thickBot="1" x14ac:dyDescent="0.3">
      <c r="A1019" s="149"/>
      <c r="J1019" s="130">
        <v>1</v>
      </c>
      <c r="K1019" s="132">
        <f t="shared" si="90"/>
        <v>0</v>
      </c>
      <c r="M1019" s="132">
        <v>1</v>
      </c>
      <c r="N1019" s="132">
        <f t="shared" si="91"/>
        <v>0</v>
      </c>
      <c r="P1019" s="132">
        <v>1</v>
      </c>
      <c r="Q1019" s="132">
        <f t="shared" si="95"/>
        <v>0</v>
      </c>
      <c r="S1019" s="132">
        <v>1</v>
      </c>
      <c r="T1019" s="132">
        <f t="shared" si="92"/>
        <v>0</v>
      </c>
      <c r="V1019" s="126">
        <f t="shared" si="93"/>
        <v>0</v>
      </c>
      <c r="W1019" s="92">
        <f t="shared" si="94"/>
        <v>0</v>
      </c>
      <c r="Y1019" s="210"/>
    </row>
    <row r="1020" spans="1:25" ht="14.4" customHeight="1" thickBot="1" x14ac:dyDescent="0.3">
      <c r="A1020" s="149"/>
      <c r="J1020" s="130">
        <v>1</v>
      </c>
      <c r="K1020" s="132">
        <f t="shared" si="90"/>
        <v>0</v>
      </c>
      <c r="M1020" s="132">
        <v>1</v>
      </c>
      <c r="N1020" s="132">
        <f t="shared" si="91"/>
        <v>0</v>
      </c>
      <c r="P1020" s="132">
        <v>1</v>
      </c>
      <c r="Q1020" s="132">
        <f t="shared" si="95"/>
        <v>0</v>
      </c>
      <c r="S1020" s="132">
        <v>1</v>
      </c>
      <c r="T1020" s="132">
        <f t="shared" si="92"/>
        <v>0</v>
      </c>
      <c r="V1020" s="126">
        <f t="shared" si="93"/>
        <v>0</v>
      </c>
      <c r="W1020" s="92">
        <f t="shared" si="94"/>
        <v>0</v>
      </c>
      <c r="Y1020" s="210"/>
    </row>
    <row r="1021" spans="1:25" ht="14.4" customHeight="1" thickBot="1" x14ac:dyDescent="0.3">
      <c r="A1021" s="149"/>
      <c r="J1021" s="130">
        <v>1</v>
      </c>
      <c r="K1021" s="132">
        <f t="shared" si="90"/>
        <v>0</v>
      </c>
      <c r="M1021" s="132">
        <v>1</v>
      </c>
      <c r="N1021" s="132">
        <f t="shared" si="91"/>
        <v>0</v>
      </c>
      <c r="P1021" s="132">
        <v>1</v>
      </c>
      <c r="Q1021" s="132">
        <f t="shared" si="95"/>
        <v>0</v>
      </c>
      <c r="S1021" s="132">
        <v>1</v>
      </c>
      <c r="T1021" s="132">
        <f t="shared" si="92"/>
        <v>0</v>
      </c>
      <c r="V1021" s="126">
        <f t="shared" si="93"/>
        <v>0</v>
      </c>
      <c r="W1021" s="92">
        <f t="shared" si="94"/>
        <v>0</v>
      </c>
      <c r="Y1021" s="210"/>
    </row>
    <row r="1022" spans="1:25" ht="14.4" customHeight="1" thickBot="1" x14ac:dyDescent="0.3">
      <c r="A1022" s="149"/>
      <c r="J1022" s="130">
        <v>1</v>
      </c>
      <c r="K1022" s="132">
        <f t="shared" si="90"/>
        <v>0</v>
      </c>
      <c r="M1022" s="132">
        <v>1</v>
      </c>
      <c r="N1022" s="132">
        <f t="shared" si="91"/>
        <v>0</v>
      </c>
      <c r="P1022" s="132">
        <v>1</v>
      </c>
      <c r="Q1022" s="132">
        <f t="shared" si="95"/>
        <v>0</v>
      </c>
      <c r="S1022" s="132">
        <v>1</v>
      </c>
      <c r="T1022" s="132">
        <f t="shared" si="92"/>
        <v>0</v>
      </c>
      <c r="V1022" s="126">
        <f t="shared" si="93"/>
        <v>0</v>
      </c>
      <c r="W1022" s="92">
        <f t="shared" si="94"/>
        <v>0</v>
      </c>
      <c r="Y1022" s="210"/>
    </row>
    <row r="1023" spans="1:25" ht="14.4" customHeight="1" thickBot="1" x14ac:dyDescent="0.3">
      <c r="A1023" s="149"/>
      <c r="J1023" s="130">
        <v>1</v>
      </c>
      <c r="K1023" s="132">
        <f t="shared" si="90"/>
        <v>0</v>
      </c>
      <c r="M1023" s="132">
        <v>1</v>
      </c>
      <c r="N1023" s="132">
        <f t="shared" si="91"/>
        <v>0</v>
      </c>
      <c r="P1023" s="132">
        <v>1</v>
      </c>
      <c r="Q1023" s="132">
        <f t="shared" si="95"/>
        <v>0</v>
      </c>
      <c r="S1023" s="132">
        <v>1</v>
      </c>
      <c r="T1023" s="132">
        <f t="shared" si="92"/>
        <v>0</v>
      </c>
      <c r="V1023" s="126">
        <f t="shared" si="93"/>
        <v>0</v>
      </c>
      <c r="W1023" s="92">
        <f t="shared" si="94"/>
        <v>0</v>
      </c>
      <c r="Y1023" s="210"/>
    </row>
    <row r="1024" spans="1:25" ht="14.4" customHeight="1" thickBot="1" x14ac:dyDescent="0.3">
      <c r="A1024" s="149"/>
      <c r="J1024" s="130">
        <v>1</v>
      </c>
      <c r="K1024" s="132">
        <f t="shared" si="90"/>
        <v>0</v>
      </c>
      <c r="M1024" s="132">
        <v>1</v>
      </c>
      <c r="N1024" s="132">
        <f t="shared" si="91"/>
        <v>0</v>
      </c>
      <c r="P1024" s="132">
        <v>1</v>
      </c>
      <c r="Q1024" s="132">
        <f t="shared" si="95"/>
        <v>0</v>
      </c>
      <c r="S1024" s="132">
        <v>1</v>
      </c>
      <c r="T1024" s="132">
        <f t="shared" si="92"/>
        <v>0</v>
      </c>
      <c r="V1024" s="126">
        <f t="shared" si="93"/>
        <v>0</v>
      </c>
      <c r="W1024" s="92">
        <f t="shared" si="94"/>
        <v>0</v>
      </c>
      <c r="Y1024" s="210"/>
    </row>
    <row r="1025" spans="1:25" ht="14.4" customHeight="1" thickBot="1" x14ac:dyDescent="0.3">
      <c r="A1025" s="149"/>
      <c r="J1025" s="130">
        <v>1</v>
      </c>
      <c r="K1025" s="132">
        <f t="shared" si="90"/>
        <v>0</v>
      </c>
      <c r="M1025" s="132">
        <v>1</v>
      </c>
      <c r="N1025" s="132">
        <f t="shared" si="91"/>
        <v>0</v>
      </c>
      <c r="P1025" s="132">
        <v>1</v>
      </c>
      <c r="Q1025" s="132">
        <f t="shared" si="95"/>
        <v>0</v>
      </c>
      <c r="S1025" s="132">
        <v>1</v>
      </c>
      <c r="T1025" s="132">
        <f t="shared" si="92"/>
        <v>0</v>
      </c>
      <c r="V1025" s="126">
        <f t="shared" si="93"/>
        <v>0</v>
      </c>
      <c r="W1025" s="92">
        <f t="shared" si="94"/>
        <v>0</v>
      </c>
      <c r="Y1025" s="210"/>
    </row>
    <row r="1026" spans="1:25" ht="14.4" customHeight="1" thickBot="1" x14ac:dyDescent="0.3">
      <c r="A1026" s="149"/>
      <c r="J1026" s="130">
        <v>1</v>
      </c>
      <c r="K1026" s="132">
        <f t="shared" ref="K1026:K1089" si="96">I1026/J1026</f>
        <v>0</v>
      </c>
      <c r="M1026" s="132">
        <v>1</v>
      </c>
      <c r="N1026" s="132">
        <f t="shared" ref="N1026:N1089" si="97">L1026/M1026</f>
        <v>0</v>
      </c>
      <c r="P1026" s="132">
        <v>1</v>
      </c>
      <c r="Q1026" s="132">
        <f t="shared" si="95"/>
        <v>0</v>
      </c>
      <c r="S1026" s="132">
        <v>1</v>
      </c>
      <c r="T1026" s="132">
        <f t="shared" ref="T1026:T1089" si="98">R1026/S1026</f>
        <v>0</v>
      </c>
      <c r="V1026" s="126">
        <f t="shared" ref="V1026:V1089" si="99">D1026+E1026-G1026-I1026/J1026-L1026/M1026-O1026/P1026-R1026/S1026</f>
        <v>0</v>
      </c>
      <c r="W1026" s="92">
        <f t="shared" ref="W1026:W1089" si="100">G1026+I1026/J1026+L1026/M1026+O1026/P1026+R1026/S1026</f>
        <v>0</v>
      </c>
      <c r="Y1026" s="210"/>
    </row>
    <row r="1027" spans="1:25" ht="14.4" customHeight="1" thickBot="1" x14ac:dyDescent="0.3">
      <c r="A1027" s="149"/>
      <c r="J1027" s="130">
        <v>1</v>
      </c>
      <c r="K1027" s="132">
        <f t="shared" si="96"/>
        <v>0</v>
      </c>
      <c r="M1027" s="132">
        <v>1</v>
      </c>
      <c r="N1027" s="132">
        <f t="shared" si="97"/>
        <v>0</v>
      </c>
      <c r="P1027" s="132">
        <v>1</v>
      </c>
      <c r="Q1027" s="132">
        <f t="shared" ref="Q1027:Q1090" si="101">O1027/P1027</f>
        <v>0</v>
      </c>
      <c r="S1027" s="132">
        <v>1</v>
      </c>
      <c r="T1027" s="132">
        <f t="shared" si="98"/>
        <v>0</v>
      </c>
      <c r="V1027" s="126">
        <f t="shared" si="99"/>
        <v>0</v>
      </c>
      <c r="W1027" s="92">
        <f t="shared" si="100"/>
        <v>0</v>
      </c>
      <c r="Y1027" s="210"/>
    </row>
    <row r="1028" spans="1:25" ht="14.4" customHeight="1" thickBot="1" x14ac:dyDescent="0.3">
      <c r="A1028" s="149"/>
      <c r="J1028" s="130">
        <v>1</v>
      </c>
      <c r="K1028" s="132">
        <f t="shared" si="96"/>
        <v>0</v>
      </c>
      <c r="M1028" s="132">
        <v>1</v>
      </c>
      <c r="N1028" s="132">
        <f t="shared" si="97"/>
        <v>0</v>
      </c>
      <c r="P1028" s="132">
        <v>1</v>
      </c>
      <c r="Q1028" s="132">
        <f t="shared" si="101"/>
        <v>0</v>
      </c>
      <c r="S1028" s="132">
        <v>1</v>
      </c>
      <c r="T1028" s="132">
        <f t="shared" si="98"/>
        <v>0</v>
      </c>
      <c r="V1028" s="126">
        <f t="shared" si="99"/>
        <v>0</v>
      </c>
      <c r="W1028" s="92">
        <f t="shared" si="100"/>
        <v>0</v>
      </c>
      <c r="Y1028" s="210"/>
    </row>
    <row r="1029" spans="1:25" ht="14.4" customHeight="1" thickBot="1" x14ac:dyDescent="0.3">
      <c r="A1029" s="149"/>
      <c r="J1029" s="130">
        <v>1</v>
      </c>
      <c r="K1029" s="132">
        <f t="shared" si="96"/>
        <v>0</v>
      </c>
      <c r="M1029" s="132">
        <v>1</v>
      </c>
      <c r="N1029" s="132">
        <f t="shared" si="97"/>
        <v>0</v>
      </c>
      <c r="P1029" s="132">
        <v>1</v>
      </c>
      <c r="Q1029" s="132">
        <f t="shared" si="101"/>
        <v>0</v>
      </c>
      <c r="S1029" s="132">
        <v>1</v>
      </c>
      <c r="T1029" s="132">
        <f t="shared" si="98"/>
        <v>0</v>
      </c>
      <c r="V1029" s="126">
        <f t="shared" si="99"/>
        <v>0</v>
      </c>
      <c r="W1029" s="92">
        <f t="shared" si="100"/>
        <v>0</v>
      </c>
      <c r="Y1029" s="210"/>
    </row>
    <row r="1030" spans="1:25" ht="14.4" customHeight="1" thickBot="1" x14ac:dyDescent="0.3">
      <c r="A1030" s="149"/>
      <c r="J1030" s="130">
        <v>1</v>
      </c>
      <c r="K1030" s="132">
        <f t="shared" si="96"/>
        <v>0</v>
      </c>
      <c r="M1030" s="132">
        <v>1</v>
      </c>
      <c r="N1030" s="132">
        <f t="shared" si="97"/>
        <v>0</v>
      </c>
      <c r="P1030" s="132">
        <v>1</v>
      </c>
      <c r="Q1030" s="132">
        <f t="shared" si="101"/>
        <v>0</v>
      </c>
      <c r="S1030" s="132">
        <v>1</v>
      </c>
      <c r="T1030" s="132">
        <f t="shared" si="98"/>
        <v>0</v>
      </c>
      <c r="V1030" s="126">
        <f t="shared" si="99"/>
        <v>0</v>
      </c>
      <c r="W1030" s="92">
        <f t="shared" si="100"/>
        <v>0</v>
      </c>
      <c r="Y1030" s="210"/>
    </row>
    <row r="1031" spans="1:25" ht="14.4" customHeight="1" thickBot="1" x14ac:dyDescent="0.3">
      <c r="A1031" s="149"/>
      <c r="J1031" s="130">
        <v>1</v>
      </c>
      <c r="K1031" s="132">
        <f t="shared" si="96"/>
        <v>0</v>
      </c>
      <c r="M1031" s="132">
        <v>1</v>
      </c>
      <c r="N1031" s="132">
        <f t="shared" si="97"/>
        <v>0</v>
      </c>
      <c r="P1031" s="132">
        <v>1</v>
      </c>
      <c r="Q1031" s="132">
        <f t="shared" si="101"/>
        <v>0</v>
      </c>
      <c r="S1031" s="132">
        <v>1</v>
      </c>
      <c r="T1031" s="132">
        <f t="shared" si="98"/>
        <v>0</v>
      </c>
      <c r="V1031" s="126">
        <f t="shared" si="99"/>
        <v>0</v>
      </c>
      <c r="W1031" s="92">
        <f t="shared" si="100"/>
        <v>0</v>
      </c>
      <c r="Y1031" s="210"/>
    </row>
    <row r="1032" spans="1:25" ht="14.4" customHeight="1" thickBot="1" x14ac:dyDescent="0.3">
      <c r="A1032" s="149"/>
      <c r="J1032" s="130">
        <v>1</v>
      </c>
      <c r="K1032" s="132">
        <f t="shared" si="96"/>
        <v>0</v>
      </c>
      <c r="M1032" s="132">
        <v>1</v>
      </c>
      <c r="N1032" s="132">
        <f t="shared" si="97"/>
        <v>0</v>
      </c>
      <c r="P1032" s="132">
        <v>1</v>
      </c>
      <c r="Q1032" s="132">
        <f t="shared" si="101"/>
        <v>0</v>
      </c>
      <c r="S1032" s="132">
        <v>1</v>
      </c>
      <c r="T1032" s="132">
        <f t="shared" si="98"/>
        <v>0</v>
      </c>
      <c r="V1032" s="126">
        <f t="shared" si="99"/>
        <v>0</v>
      </c>
      <c r="W1032" s="92">
        <f t="shared" si="100"/>
        <v>0</v>
      </c>
      <c r="Y1032" s="210"/>
    </row>
    <row r="1033" spans="1:25" ht="14.4" customHeight="1" thickBot="1" x14ac:dyDescent="0.3">
      <c r="A1033" s="149"/>
      <c r="J1033" s="130">
        <v>1</v>
      </c>
      <c r="K1033" s="132">
        <f t="shared" si="96"/>
        <v>0</v>
      </c>
      <c r="M1033" s="132">
        <v>1</v>
      </c>
      <c r="N1033" s="132">
        <f t="shared" si="97"/>
        <v>0</v>
      </c>
      <c r="P1033" s="132">
        <v>1</v>
      </c>
      <c r="Q1033" s="132">
        <f t="shared" si="101"/>
        <v>0</v>
      </c>
      <c r="S1033" s="132">
        <v>1</v>
      </c>
      <c r="T1033" s="132">
        <f t="shared" si="98"/>
        <v>0</v>
      </c>
      <c r="V1033" s="126">
        <f t="shared" si="99"/>
        <v>0</v>
      </c>
      <c r="W1033" s="92">
        <f t="shared" si="100"/>
        <v>0</v>
      </c>
      <c r="Y1033" s="210"/>
    </row>
    <row r="1034" spans="1:25" ht="14.4" customHeight="1" thickBot="1" x14ac:dyDescent="0.3">
      <c r="A1034" s="149"/>
      <c r="J1034" s="130">
        <v>1</v>
      </c>
      <c r="K1034" s="132">
        <f t="shared" si="96"/>
        <v>0</v>
      </c>
      <c r="M1034" s="132">
        <v>1</v>
      </c>
      <c r="N1034" s="132">
        <f t="shared" si="97"/>
        <v>0</v>
      </c>
      <c r="P1034" s="132">
        <v>1</v>
      </c>
      <c r="Q1034" s="132">
        <f t="shared" si="101"/>
        <v>0</v>
      </c>
      <c r="S1034" s="132">
        <v>1</v>
      </c>
      <c r="T1034" s="132">
        <f t="shared" si="98"/>
        <v>0</v>
      </c>
      <c r="V1034" s="126">
        <f t="shared" si="99"/>
        <v>0</v>
      </c>
      <c r="W1034" s="92">
        <f t="shared" si="100"/>
        <v>0</v>
      </c>
      <c r="Y1034" s="210"/>
    </row>
    <row r="1035" spans="1:25" ht="14.4" customHeight="1" thickBot="1" x14ac:dyDescent="0.3">
      <c r="A1035" s="149"/>
      <c r="J1035" s="130">
        <v>1</v>
      </c>
      <c r="K1035" s="132">
        <f t="shared" si="96"/>
        <v>0</v>
      </c>
      <c r="M1035" s="132">
        <v>1</v>
      </c>
      <c r="N1035" s="132">
        <f t="shared" si="97"/>
        <v>0</v>
      </c>
      <c r="P1035" s="132">
        <v>1</v>
      </c>
      <c r="Q1035" s="132">
        <f t="shared" si="101"/>
        <v>0</v>
      </c>
      <c r="S1035" s="132">
        <v>1</v>
      </c>
      <c r="T1035" s="132">
        <f t="shared" si="98"/>
        <v>0</v>
      </c>
      <c r="V1035" s="126">
        <f t="shared" si="99"/>
        <v>0</v>
      </c>
      <c r="W1035" s="92">
        <f t="shared" si="100"/>
        <v>0</v>
      </c>
      <c r="Y1035" s="210"/>
    </row>
    <row r="1036" spans="1:25" ht="14.4" customHeight="1" thickBot="1" x14ac:dyDescent="0.3">
      <c r="A1036" s="149"/>
      <c r="J1036" s="130">
        <v>1</v>
      </c>
      <c r="K1036" s="132">
        <f t="shared" si="96"/>
        <v>0</v>
      </c>
      <c r="M1036" s="132">
        <v>1</v>
      </c>
      <c r="N1036" s="132">
        <f t="shared" si="97"/>
        <v>0</v>
      </c>
      <c r="P1036" s="132">
        <v>1</v>
      </c>
      <c r="Q1036" s="132">
        <f t="shared" si="101"/>
        <v>0</v>
      </c>
      <c r="S1036" s="132">
        <v>1</v>
      </c>
      <c r="T1036" s="132">
        <f t="shared" si="98"/>
        <v>0</v>
      </c>
      <c r="V1036" s="126">
        <f t="shared" si="99"/>
        <v>0</v>
      </c>
      <c r="W1036" s="92">
        <f t="shared" si="100"/>
        <v>0</v>
      </c>
      <c r="Y1036" s="210"/>
    </row>
    <row r="1037" spans="1:25" ht="14.4" customHeight="1" thickBot="1" x14ac:dyDescent="0.3">
      <c r="A1037" s="149"/>
      <c r="J1037" s="130">
        <v>1</v>
      </c>
      <c r="K1037" s="132">
        <f t="shared" si="96"/>
        <v>0</v>
      </c>
      <c r="M1037" s="132">
        <v>1</v>
      </c>
      <c r="N1037" s="132">
        <f t="shared" si="97"/>
        <v>0</v>
      </c>
      <c r="P1037" s="132">
        <v>1</v>
      </c>
      <c r="Q1037" s="132">
        <f t="shared" si="101"/>
        <v>0</v>
      </c>
      <c r="S1037" s="132">
        <v>1</v>
      </c>
      <c r="T1037" s="132">
        <f t="shared" si="98"/>
        <v>0</v>
      </c>
      <c r="V1037" s="126">
        <f t="shared" si="99"/>
        <v>0</v>
      </c>
      <c r="W1037" s="92">
        <f t="shared" si="100"/>
        <v>0</v>
      </c>
      <c r="Y1037" s="210"/>
    </row>
    <row r="1038" spans="1:25" ht="14.4" customHeight="1" thickBot="1" x14ac:dyDescent="0.3">
      <c r="A1038" s="149"/>
      <c r="J1038" s="130">
        <v>1</v>
      </c>
      <c r="K1038" s="132">
        <f t="shared" si="96"/>
        <v>0</v>
      </c>
      <c r="M1038" s="132">
        <v>1</v>
      </c>
      <c r="N1038" s="132">
        <f t="shared" si="97"/>
        <v>0</v>
      </c>
      <c r="P1038" s="132">
        <v>1</v>
      </c>
      <c r="Q1038" s="132">
        <f t="shared" si="101"/>
        <v>0</v>
      </c>
      <c r="S1038" s="132">
        <v>1</v>
      </c>
      <c r="T1038" s="132">
        <f t="shared" si="98"/>
        <v>0</v>
      </c>
      <c r="V1038" s="126">
        <f t="shared" si="99"/>
        <v>0</v>
      </c>
      <c r="W1038" s="92">
        <f t="shared" si="100"/>
        <v>0</v>
      </c>
      <c r="Y1038" s="210"/>
    </row>
    <row r="1039" spans="1:25" ht="14.4" customHeight="1" thickBot="1" x14ac:dyDescent="0.3">
      <c r="A1039" s="149"/>
      <c r="J1039" s="130">
        <v>1</v>
      </c>
      <c r="K1039" s="132">
        <f t="shared" si="96"/>
        <v>0</v>
      </c>
      <c r="M1039" s="132">
        <v>1</v>
      </c>
      <c r="N1039" s="132">
        <f t="shared" si="97"/>
        <v>0</v>
      </c>
      <c r="P1039" s="132">
        <v>1</v>
      </c>
      <c r="Q1039" s="132">
        <f t="shared" si="101"/>
        <v>0</v>
      </c>
      <c r="S1039" s="132">
        <v>1</v>
      </c>
      <c r="T1039" s="132">
        <f t="shared" si="98"/>
        <v>0</v>
      </c>
      <c r="V1039" s="126">
        <f t="shared" si="99"/>
        <v>0</v>
      </c>
      <c r="W1039" s="92">
        <f t="shared" si="100"/>
        <v>0</v>
      </c>
      <c r="Y1039" s="210"/>
    </row>
    <row r="1040" spans="1:25" ht="14.4" customHeight="1" thickBot="1" x14ac:dyDescent="0.3">
      <c r="A1040" s="149"/>
      <c r="J1040" s="130">
        <v>1</v>
      </c>
      <c r="K1040" s="132">
        <f t="shared" si="96"/>
        <v>0</v>
      </c>
      <c r="M1040" s="132">
        <v>1</v>
      </c>
      <c r="N1040" s="132">
        <f t="shared" si="97"/>
        <v>0</v>
      </c>
      <c r="P1040" s="132">
        <v>1</v>
      </c>
      <c r="Q1040" s="132">
        <f t="shared" si="101"/>
        <v>0</v>
      </c>
      <c r="S1040" s="132">
        <v>1</v>
      </c>
      <c r="T1040" s="132">
        <f t="shared" si="98"/>
        <v>0</v>
      </c>
      <c r="V1040" s="126">
        <f t="shared" si="99"/>
        <v>0</v>
      </c>
      <c r="W1040" s="92">
        <f t="shared" si="100"/>
        <v>0</v>
      </c>
      <c r="Y1040" s="210"/>
    </row>
    <row r="1041" spans="1:25" ht="14.4" customHeight="1" thickBot="1" x14ac:dyDescent="0.3">
      <c r="A1041" s="149"/>
      <c r="J1041" s="130">
        <v>1</v>
      </c>
      <c r="K1041" s="132">
        <f t="shared" si="96"/>
        <v>0</v>
      </c>
      <c r="M1041" s="132">
        <v>1</v>
      </c>
      <c r="N1041" s="132">
        <f t="shared" si="97"/>
        <v>0</v>
      </c>
      <c r="P1041" s="132">
        <v>1</v>
      </c>
      <c r="Q1041" s="132">
        <f t="shared" si="101"/>
        <v>0</v>
      </c>
      <c r="S1041" s="132">
        <v>1</v>
      </c>
      <c r="T1041" s="132">
        <f t="shared" si="98"/>
        <v>0</v>
      </c>
      <c r="V1041" s="126">
        <f t="shared" si="99"/>
        <v>0</v>
      </c>
      <c r="W1041" s="92">
        <f t="shared" si="100"/>
        <v>0</v>
      </c>
      <c r="Y1041" s="210"/>
    </row>
    <row r="1042" spans="1:25" ht="14.4" customHeight="1" thickBot="1" x14ac:dyDescent="0.3">
      <c r="A1042" s="149"/>
      <c r="J1042" s="130">
        <v>1</v>
      </c>
      <c r="K1042" s="132">
        <f t="shared" si="96"/>
        <v>0</v>
      </c>
      <c r="M1042" s="132">
        <v>1</v>
      </c>
      <c r="N1042" s="132">
        <f t="shared" si="97"/>
        <v>0</v>
      </c>
      <c r="P1042" s="132">
        <v>1</v>
      </c>
      <c r="Q1042" s="132">
        <f t="shared" si="101"/>
        <v>0</v>
      </c>
      <c r="S1042" s="132">
        <v>1</v>
      </c>
      <c r="T1042" s="132">
        <f t="shared" si="98"/>
        <v>0</v>
      </c>
      <c r="V1042" s="126">
        <f t="shared" si="99"/>
        <v>0</v>
      </c>
      <c r="W1042" s="92">
        <f t="shared" si="100"/>
        <v>0</v>
      </c>
      <c r="Y1042" s="210"/>
    </row>
    <row r="1043" spans="1:25" ht="14.4" customHeight="1" thickBot="1" x14ac:dyDescent="0.3">
      <c r="A1043" s="149"/>
      <c r="J1043" s="130">
        <v>1</v>
      </c>
      <c r="K1043" s="132">
        <f t="shared" si="96"/>
        <v>0</v>
      </c>
      <c r="M1043" s="132">
        <v>1</v>
      </c>
      <c r="N1043" s="132">
        <f t="shared" si="97"/>
        <v>0</v>
      </c>
      <c r="P1043" s="132">
        <v>1</v>
      </c>
      <c r="Q1043" s="132">
        <f t="shared" si="101"/>
        <v>0</v>
      </c>
      <c r="S1043" s="132">
        <v>1</v>
      </c>
      <c r="T1043" s="132">
        <f t="shared" si="98"/>
        <v>0</v>
      </c>
      <c r="V1043" s="126">
        <f t="shared" si="99"/>
        <v>0</v>
      </c>
      <c r="W1043" s="92">
        <f t="shared" si="100"/>
        <v>0</v>
      </c>
      <c r="Y1043" s="210"/>
    </row>
    <row r="1044" spans="1:25" ht="14.4" customHeight="1" thickBot="1" x14ac:dyDescent="0.3">
      <c r="A1044" s="149"/>
      <c r="J1044" s="130">
        <v>1</v>
      </c>
      <c r="K1044" s="132">
        <f t="shared" si="96"/>
        <v>0</v>
      </c>
      <c r="M1044" s="132">
        <v>1</v>
      </c>
      <c r="N1044" s="132">
        <f t="shared" si="97"/>
        <v>0</v>
      </c>
      <c r="P1044" s="132">
        <v>1</v>
      </c>
      <c r="Q1044" s="132">
        <f t="shared" si="101"/>
        <v>0</v>
      </c>
      <c r="S1044" s="132">
        <v>1</v>
      </c>
      <c r="T1044" s="132">
        <f t="shared" si="98"/>
        <v>0</v>
      </c>
      <c r="V1044" s="126">
        <f t="shared" si="99"/>
        <v>0</v>
      </c>
      <c r="W1044" s="92">
        <f t="shared" si="100"/>
        <v>0</v>
      </c>
      <c r="Y1044" s="210"/>
    </row>
    <row r="1045" spans="1:25" ht="14.4" customHeight="1" thickBot="1" x14ac:dyDescent="0.3">
      <c r="A1045" s="149"/>
      <c r="J1045" s="130">
        <v>1</v>
      </c>
      <c r="K1045" s="132">
        <f t="shared" si="96"/>
        <v>0</v>
      </c>
      <c r="M1045" s="132">
        <v>1</v>
      </c>
      <c r="N1045" s="132">
        <f t="shared" si="97"/>
        <v>0</v>
      </c>
      <c r="P1045" s="132">
        <v>1</v>
      </c>
      <c r="Q1045" s="132">
        <f t="shared" si="101"/>
        <v>0</v>
      </c>
      <c r="S1045" s="132">
        <v>1</v>
      </c>
      <c r="T1045" s="132">
        <f t="shared" si="98"/>
        <v>0</v>
      </c>
      <c r="V1045" s="126">
        <f t="shared" si="99"/>
        <v>0</v>
      </c>
      <c r="W1045" s="92">
        <f t="shared" si="100"/>
        <v>0</v>
      </c>
      <c r="Y1045" s="210"/>
    </row>
    <row r="1046" spans="1:25" ht="14.4" customHeight="1" thickBot="1" x14ac:dyDescent="0.3">
      <c r="A1046" s="149"/>
      <c r="J1046" s="130">
        <v>1</v>
      </c>
      <c r="K1046" s="132">
        <f t="shared" si="96"/>
        <v>0</v>
      </c>
      <c r="M1046" s="132">
        <v>1</v>
      </c>
      <c r="N1046" s="132">
        <f t="shared" si="97"/>
        <v>0</v>
      </c>
      <c r="P1046" s="132">
        <v>1</v>
      </c>
      <c r="Q1046" s="132">
        <f t="shared" si="101"/>
        <v>0</v>
      </c>
      <c r="S1046" s="132">
        <v>1</v>
      </c>
      <c r="T1046" s="132">
        <f t="shared" si="98"/>
        <v>0</v>
      </c>
      <c r="V1046" s="126">
        <f t="shared" si="99"/>
        <v>0</v>
      </c>
      <c r="W1046" s="92">
        <f t="shared" si="100"/>
        <v>0</v>
      </c>
      <c r="Y1046" s="210"/>
    </row>
    <row r="1047" spans="1:25" ht="14.4" customHeight="1" thickBot="1" x14ac:dyDescent="0.3">
      <c r="A1047" s="149"/>
      <c r="J1047" s="130">
        <v>1</v>
      </c>
      <c r="K1047" s="132">
        <f t="shared" si="96"/>
        <v>0</v>
      </c>
      <c r="M1047" s="132">
        <v>1</v>
      </c>
      <c r="N1047" s="132">
        <f t="shared" si="97"/>
        <v>0</v>
      </c>
      <c r="P1047" s="132">
        <v>1</v>
      </c>
      <c r="Q1047" s="132">
        <f t="shared" si="101"/>
        <v>0</v>
      </c>
      <c r="S1047" s="132">
        <v>1</v>
      </c>
      <c r="T1047" s="132">
        <f t="shared" si="98"/>
        <v>0</v>
      </c>
      <c r="V1047" s="126">
        <f t="shared" si="99"/>
        <v>0</v>
      </c>
      <c r="W1047" s="92">
        <f t="shared" si="100"/>
        <v>0</v>
      </c>
      <c r="Y1047" s="210"/>
    </row>
    <row r="1048" spans="1:25" ht="14.4" customHeight="1" thickBot="1" x14ac:dyDescent="0.3">
      <c r="A1048" s="149"/>
      <c r="J1048" s="130">
        <v>1</v>
      </c>
      <c r="K1048" s="132">
        <f t="shared" si="96"/>
        <v>0</v>
      </c>
      <c r="M1048" s="132">
        <v>1</v>
      </c>
      <c r="N1048" s="132">
        <f t="shared" si="97"/>
        <v>0</v>
      </c>
      <c r="P1048" s="132">
        <v>1</v>
      </c>
      <c r="Q1048" s="132">
        <f t="shared" si="101"/>
        <v>0</v>
      </c>
      <c r="S1048" s="132">
        <v>1</v>
      </c>
      <c r="T1048" s="132">
        <f t="shared" si="98"/>
        <v>0</v>
      </c>
      <c r="V1048" s="126">
        <f t="shared" si="99"/>
        <v>0</v>
      </c>
      <c r="W1048" s="92">
        <f t="shared" si="100"/>
        <v>0</v>
      </c>
      <c r="Y1048" s="210"/>
    </row>
    <row r="1049" spans="1:25" ht="14.4" customHeight="1" thickBot="1" x14ac:dyDescent="0.3">
      <c r="A1049" s="149"/>
      <c r="J1049" s="130">
        <v>1</v>
      </c>
      <c r="K1049" s="132">
        <f t="shared" si="96"/>
        <v>0</v>
      </c>
      <c r="M1049" s="132">
        <v>1</v>
      </c>
      <c r="N1049" s="132">
        <f t="shared" si="97"/>
        <v>0</v>
      </c>
      <c r="P1049" s="132">
        <v>1</v>
      </c>
      <c r="Q1049" s="132">
        <f t="shared" si="101"/>
        <v>0</v>
      </c>
      <c r="S1049" s="132">
        <v>1</v>
      </c>
      <c r="T1049" s="132">
        <f t="shared" si="98"/>
        <v>0</v>
      </c>
      <c r="V1049" s="126">
        <f t="shared" si="99"/>
        <v>0</v>
      </c>
      <c r="W1049" s="92">
        <f t="shared" si="100"/>
        <v>0</v>
      </c>
      <c r="Y1049" s="210"/>
    </row>
    <row r="1050" spans="1:25" ht="14.4" customHeight="1" thickBot="1" x14ac:dyDescent="0.3">
      <c r="A1050" s="149"/>
      <c r="J1050" s="130">
        <v>1</v>
      </c>
      <c r="K1050" s="132">
        <f t="shared" si="96"/>
        <v>0</v>
      </c>
      <c r="M1050" s="132">
        <v>1</v>
      </c>
      <c r="N1050" s="132">
        <f t="shared" si="97"/>
        <v>0</v>
      </c>
      <c r="P1050" s="132">
        <v>1</v>
      </c>
      <c r="Q1050" s="132">
        <f t="shared" si="101"/>
        <v>0</v>
      </c>
      <c r="S1050" s="132">
        <v>1</v>
      </c>
      <c r="T1050" s="132">
        <f t="shared" si="98"/>
        <v>0</v>
      </c>
      <c r="V1050" s="126">
        <f t="shared" si="99"/>
        <v>0</v>
      </c>
      <c r="W1050" s="92">
        <f t="shared" si="100"/>
        <v>0</v>
      </c>
      <c r="Y1050" s="210"/>
    </row>
    <row r="1051" spans="1:25" ht="14.4" customHeight="1" thickBot="1" x14ac:dyDescent="0.3">
      <c r="A1051" s="149"/>
      <c r="J1051" s="130">
        <v>1</v>
      </c>
      <c r="K1051" s="132">
        <f t="shared" si="96"/>
        <v>0</v>
      </c>
      <c r="M1051" s="132">
        <v>1</v>
      </c>
      <c r="N1051" s="132">
        <f t="shared" si="97"/>
        <v>0</v>
      </c>
      <c r="P1051" s="132">
        <v>1</v>
      </c>
      <c r="Q1051" s="132">
        <f t="shared" si="101"/>
        <v>0</v>
      </c>
      <c r="S1051" s="132">
        <v>1</v>
      </c>
      <c r="T1051" s="132">
        <f t="shared" si="98"/>
        <v>0</v>
      </c>
      <c r="V1051" s="126">
        <f t="shared" si="99"/>
        <v>0</v>
      </c>
      <c r="W1051" s="92">
        <f t="shared" si="100"/>
        <v>0</v>
      </c>
      <c r="Y1051" s="210"/>
    </row>
    <row r="1052" spans="1:25" ht="14.4" customHeight="1" thickBot="1" x14ac:dyDescent="0.3">
      <c r="A1052" s="149"/>
      <c r="J1052" s="130">
        <v>1</v>
      </c>
      <c r="K1052" s="132">
        <f t="shared" si="96"/>
        <v>0</v>
      </c>
      <c r="M1052" s="132">
        <v>1</v>
      </c>
      <c r="N1052" s="132">
        <f t="shared" si="97"/>
        <v>0</v>
      </c>
      <c r="P1052" s="132">
        <v>1</v>
      </c>
      <c r="Q1052" s="132">
        <f t="shared" si="101"/>
        <v>0</v>
      </c>
      <c r="S1052" s="132">
        <v>1</v>
      </c>
      <c r="T1052" s="132">
        <f t="shared" si="98"/>
        <v>0</v>
      </c>
      <c r="V1052" s="126">
        <f t="shared" si="99"/>
        <v>0</v>
      </c>
      <c r="W1052" s="92">
        <f t="shared" si="100"/>
        <v>0</v>
      </c>
      <c r="Y1052" s="210"/>
    </row>
    <row r="1053" spans="1:25" ht="14.4" customHeight="1" thickBot="1" x14ac:dyDescent="0.3">
      <c r="A1053" s="149"/>
      <c r="J1053" s="130">
        <v>1</v>
      </c>
      <c r="K1053" s="132">
        <f t="shared" si="96"/>
        <v>0</v>
      </c>
      <c r="M1053" s="132">
        <v>1</v>
      </c>
      <c r="N1053" s="132">
        <f t="shared" si="97"/>
        <v>0</v>
      </c>
      <c r="P1053" s="132">
        <v>1</v>
      </c>
      <c r="Q1053" s="132">
        <f t="shared" si="101"/>
        <v>0</v>
      </c>
      <c r="S1053" s="132">
        <v>1</v>
      </c>
      <c r="T1053" s="132">
        <f t="shared" si="98"/>
        <v>0</v>
      </c>
      <c r="V1053" s="126">
        <f t="shared" si="99"/>
        <v>0</v>
      </c>
      <c r="W1053" s="92">
        <f t="shared" si="100"/>
        <v>0</v>
      </c>
      <c r="Y1053" s="210"/>
    </row>
    <row r="1054" spans="1:25" ht="14.4" customHeight="1" thickBot="1" x14ac:dyDescent="0.3">
      <c r="A1054" s="149"/>
      <c r="J1054" s="130">
        <v>1</v>
      </c>
      <c r="K1054" s="132">
        <f t="shared" si="96"/>
        <v>0</v>
      </c>
      <c r="M1054" s="132">
        <v>1</v>
      </c>
      <c r="N1054" s="132">
        <f t="shared" si="97"/>
        <v>0</v>
      </c>
      <c r="P1054" s="132">
        <v>1</v>
      </c>
      <c r="Q1054" s="132">
        <f t="shared" si="101"/>
        <v>0</v>
      </c>
      <c r="S1054" s="132">
        <v>1</v>
      </c>
      <c r="T1054" s="132">
        <f t="shared" si="98"/>
        <v>0</v>
      </c>
      <c r="V1054" s="126">
        <f t="shared" si="99"/>
        <v>0</v>
      </c>
      <c r="W1054" s="92">
        <f t="shared" si="100"/>
        <v>0</v>
      </c>
      <c r="Y1054" s="210"/>
    </row>
    <row r="1055" spans="1:25" ht="14.4" customHeight="1" thickBot="1" x14ac:dyDescent="0.3">
      <c r="A1055" s="149"/>
      <c r="J1055" s="130">
        <v>1</v>
      </c>
      <c r="K1055" s="132">
        <f t="shared" si="96"/>
        <v>0</v>
      </c>
      <c r="M1055" s="132">
        <v>1</v>
      </c>
      <c r="N1055" s="132">
        <f t="shared" si="97"/>
        <v>0</v>
      </c>
      <c r="P1055" s="132">
        <v>1</v>
      </c>
      <c r="Q1055" s="132">
        <f t="shared" si="101"/>
        <v>0</v>
      </c>
      <c r="S1055" s="132">
        <v>1</v>
      </c>
      <c r="T1055" s="132">
        <f t="shared" si="98"/>
        <v>0</v>
      </c>
      <c r="V1055" s="126">
        <f t="shared" si="99"/>
        <v>0</v>
      </c>
      <c r="W1055" s="92">
        <f t="shared" si="100"/>
        <v>0</v>
      </c>
      <c r="Y1055" s="210"/>
    </row>
    <row r="1056" spans="1:25" ht="14.4" customHeight="1" thickBot="1" x14ac:dyDescent="0.3">
      <c r="A1056" s="149"/>
      <c r="J1056" s="130">
        <v>1</v>
      </c>
      <c r="K1056" s="132">
        <f t="shared" si="96"/>
        <v>0</v>
      </c>
      <c r="M1056" s="132">
        <v>1</v>
      </c>
      <c r="N1056" s="132">
        <f t="shared" si="97"/>
        <v>0</v>
      </c>
      <c r="P1056" s="132">
        <v>1</v>
      </c>
      <c r="Q1056" s="132">
        <f t="shared" si="101"/>
        <v>0</v>
      </c>
      <c r="S1056" s="132">
        <v>1</v>
      </c>
      <c r="T1056" s="132">
        <f t="shared" si="98"/>
        <v>0</v>
      </c>
      <c r="V1056" s="126">
        <f t="shared" si="99"/>
        <v>0</v>
      </c>
      <c r="W1056" s="92">
        <f t="shared" si="100"/>
        <v>0</v>
      </c>
      <c r="Y1056" s="210"/>
    </row>
    <row r="1057" spans="1:25" ht="14.4" customHeight="1" thickBot="1" x14ac:dyDescent="0.3">
      <c r="A1057" s="149"/>
      <c r="J1057" s="130">
        <v>1</v>
      </c>
      <c r="K1057" s="132">
        <f t="shared" si="96"/>
        <v>0</v>
      </c>
      <c r="M1057" s="132">
        <v>1</v>
      </c>
      <c r="N1057" s="132">
        <f t="shared" si="97"/>
        <v>0</v>
      </c>
      <c r="P1057" s="132">
        <v>1</v>
      </c>
      <c r="Q1057" s="132">
        <f t="shared" si="101"/>
        <v>0</v>
      </c>
      <c r="S1057" s="132">
        <v>1</v>
      </c>
      <c r="T1057" s="132">
        <f t="shared" si="98"/>
        <v>0</v>
      </c>
      <c r="V1057" s="126">
        <f t="shared" si="99"/>
        <v>0</v>
      </c>
      <c r="W1057" s="92">
        <f t="shared" si="100"/>
        <v>0</v>
      </c>
      <c r="Y1057" s="210"/>
    </row>
    <row r="1058" spans="1:25" ht="14.4" customHeight="1" thickBot="1" x14ac:dyDescent="0.3">
      <c r="A1058" s="149"/>
      <c r="J1058" s="130">
        <v>1</v>
      </c>
      <c r="K1058" s="132">
        <f t="shared" si="96"/>
        <v>0</v>
      </c>
      <c r="M1058" s="132">
        <v>1</v>
      </c>
      <c r="N1058" s="132">
        <f t="shared" si="97"/>
        <v>0</v>
      </c>
      <c r="P1058" s="132">
        <v>1</v>
      </c>
      <c r="Q1058" s="132">
        <f t="shared" si="101"/>
        <v>0</v>
      </c>
      <c r="S1058" s="132">
        <v>1</v>
      </c>
      <c r="T1058" s="132">
        <f t="shared" si="98"/>
        <v>0</v>
      </c>
      <c r="V1058" s="126">
        <f t="shared" si="99"/>
        <v>0</v>
      </c>
      <c r="W1058" s="92">
        <f t="shared" si="100"/>
        <v>0</v>
      </c>
      <c r="Y1058" s="210"/>
    </row>
    <row r="1059" spans="1:25" ht="14.4" customHeight="1" thickBot="1" x14ac:dyDescent="0.3">
      <c r="A1059" s="149"/>
      <c r="J1059" s="130">
        <v>1</v>
      </c>
      <c r="K1059" s="132">
        <f t="shared" si="96"/>
        <v>0</v>
      </c>
      <c r="M1059" s="132">
        <v>1</v>
      </c>
      <c r="N1059" s="132">
        <f t="shared" si="97"/>
        <v>0</v>
      </c>
      <c r="P1059" s="132">
        <v>1</v>
      </c>
      <c r="Q1059" s="132">
        <f t="shared" si="101"/>
        <v>0</v>
      </c>
      <c r="S1059" s="132">
        <v>1</v>
      </c>
      <c r="T1059" s="132">
        <f t="shared" si="98"/>
        <v>0</v>
      </c>
      <c r="V1059" s="126">
        <f t="shared" si="99"/>
        <v>0</v>
      </c>
      <c r="W1059" s="92">
        <f t="shared" si="100"/>
        <v>0</v>
      </c>
      <c r="Y1059" s="210"/>
    </row>
    <row r="1060" spans="1:25" ht="14.4" customHeight="1" thickBot="1" x14ac:dyDescent="0.3">
      <c r="A1060" s="149"/>
      <c r="J1060" s="130">
        <v>1</v>
      </c>
      <c r="K1060" s="132">
        <f t="shared" si="96"/>
        <v>0</v>
      </c>
      <c r="M1060" s="132">
        <v>1</v>
      </c>
      <c r="N1060" s="132">
        <f t="shared" si="97"/>
        <v>0</v>
      </c>
      <c r="P1060" s="132">
        <v>1</v>
      </c>
      <c r="Q1060" s="132">
        <f t="shared" si="101"/>
        <v>0</v>
      </c>
      <c r="S1060" s="132">
        <v>1</v>
      </c>
      <c r="T1060" s="132">
        <f t="shared" si="98"/>
        <v>0</v>
      </c>
      <c r="V1060" s="126">
        <f t="shared" si="99"/>
        <v>0</v>
      </c>
      <c r="W1060" s="92">
        <f t="shared" si="100"/>
        <v>0</v>
      </c>
      <c r="Y1060" s="210"/>
    </row>
    <row r="1061" spans="1:25" ht="14.4" customHeight="1" thickBot="1" x14ac:dyDescent="0.3">
      <c r="A1061" s="149"/>
      <c r="J1061" s="130">
        <v>1</v>
      </c>
      <c r="K1061" s="132">
        <f t="shared" si="96"/>
        <v>0</v>
      </c>
      <c r="M1061" s="132">
        <v>1</v>
      </c>
      <c r="N1061" s="132">
        <f t="shared" si="97"/>
        <v>0</v>
      </c>
      <c r="P1061" s="132">
        <v>1</v>
      </c>
      <c r="Q1061" s="132">
        <f t="shared" si="101"/>
        <v>0</v>
      </c>
      <c r="S1061" s="132">
        <v>1</v>
      </c>
      <c r="T1061" s="132">
        <f t="shared" si="98"/>
        <v>0</v>
      </c>
      <c r="V1061" s="126">
        <f t="shared" si="99"/>
        <v>0</v>
      </c>
      <c r="W1061" s="92">
        <f t="shared" si="100"/>
        <v>0</v>
      </c>
      <c r="Y1061" s="210"/>
    </row>
    <row r="1062" spans="1:25" ht="14.4" customHeight="1" thickBot="1" x14ac:dyDescent="0.3">
      <c r="A1062" s="149"/>
      <c r="J1062" s="130">
        <v>1</v>
      </c>
      <c r="K1062" s="132">
        <f t="shared" si="96"/>
        <v>0</v>
      </c>
      <c r="M1062" s="132">
        <v>1</v>
      </c>
      <c r="N1062" s="132">
        <f t="shared" si="97"/>
        <v>0</v>
      </c>
      <c r="P1062" s="132">
        <v>1</v>
      </c>
      <c r="Q1062" s="132">
        <f t="shared" si="101"/>
        <v>0</v>
      </c>
      <c r="S1062" s="132">
        <v>1</v>
      </c>
      <c r="T1062" s="132">
        <f t="shared" si="98"/>
        <v>0</v>
      </c>
      <c r="V1062" s="126">
        <f t="shared" si="99"/>
        <v>0</v>
      </c>
      <c r="W1062" s="92">
        <f t="shared" si="100"/>
        <v>0</v>
      </c>
      <c r="Y1062" s="210"/>
    </row>
    <row r="1063" spans="1:25" ht="14.4" customHeight="1" thickBot="1" x14ac:dyDescent="0.3">
      <c r="A1063" s="149"/>
      <c r="J1063" s="130">
        <v>1</v>
      </c>
      <c r="K1063" s="132">
        <f t="shared" si="96"/>
        <v>0</v>
      </c>
      <c r="M1063" s="132">
        <v>1</v>
      </c>
      <c r="N1063" s="132">
        <f t="shared" si="97"/>
        <v>0</v>
      </c>
      <c r="P1063" s="132">
        <v>1</v>
      </c>
      <c r="Q1063" s="132">
        <f t="shared" si="101"/>
        <v>0</v>
      </c>
      <c r="S1063" s="132">
        <v>1</v>
      </c>
      <c r="T1063" s="132">
        <f t="shared" si="98"/>
        <v>0</v>
      </c>
      <c r="V1063" s="126">
        <f t="shared" si="99"/>
        <v>0</v>
      </c>
      <c r="W1063" s="92">
        <f t="shared" si="100"/>
        <v>0</v>
      </c>
      <c r="Y1063" s="210"/>
    </row>
    <row r="1064" spans="1:25" ht="14.4" customHeight="1" thickBot="1" x14ac:dyDescent="0.3">
      <c r="A1064" s="149"/>
      <c r="J1064" s="130">
        <v>1</v>
      </c>
      <c r="K1064" s="132">
        <f t="shared" si="96"/>
        <v>0</v>
      </c>
      <c r="M1064" s="132">
        <v>1</v>
      </c>
      <c r="N1064" s="132">
        <f t="shared" si="97"/>
        <v>0</v>
      </c>
      <c r="P1064" s="132">
        <v>1</v>
      </c>
      <c r="Q1064" s="132">
        <f t="shared" si="101"/>
        <v>0</v>
      </c>
      <c r="S1064" s="132">
        <v>1</v>
      </c>
      <c r="T1064" s="132">
        <f t="shared" si="98"/>
        <v>0</v>
      </c>
      <c r="V1064" s="126">
        <f t="shared" si="99"/>
        <v>0</v>
      </c>
      <c r="W1064" s="92">
        <f t="shared" si="100"/>
        <v>0</v>
      </c>
      <c r="Y1064" s="210"/>
    </row>
    <row r="1065" spans="1:25" ht="14.4" customHeight="1" thickBot="1" x14ac:dyDescent="0.3">
      <c r="A1065" s="149"/>
      <c r="J1065" s="130">
        <v>1</v>
      </c>
      <c r="K1065" s="132">
        <f t="shared" si="96"/>
        <v>0</v>
      </c>
      <c r="M1065" s="132">
        <v>1</v>
      </c>
      <c r="N1065" s="132">
        <f t="shared" si="97"/>
        <v>0</v>
      </c>
      <c r="P1065" s="132">
        <v>1</v>
      </c>
      <c r="Q1065" s="132">
        <f t="shared" si="101"/>
        <v>0</v>
      </c>
      <c r="S1065" s="132">
        <v>1</v>
      </c>
      <c r="T1065" s="132">
        <f t="shared" si="98"/>
        <v>0</v>
      </c>
      <c r="V1065" s="126">
        <f t="shared" si="99"/>
        <v>0</v>
      </c>
      <c r="W1065" s="92">
        <f t="shared" si="100"/>
        <v>0</v>
      </c>
      <c r="Y1065" s="210"/>
    </row>
    <row r="1066" spans="1:25" ht="14.4" customHeight="1" thickBot="1" x14ac:dyDescent="0.3">
      <c r="A1066" s="149"/>
      <c r="J1066" s="130">
        <v>1</v>
      </c>
      <c r="K1066" s="132">
        <f t="shared" si="96"/>
        <v>0</v>
      </c>
      <c r="M1066" s="132">
        <v>1</v>
      </c>
      <c r="N1066" s="132">
        <f t="shared" si="97"/>
        <v>0</v>
      </c>
      <c r="P1066" s="132">
        <v>1</v>
      </c>
      <c r="Q1066" s="132">
        <f t="shared" si="101"/>
        <v>0</v>
      </c>
      <c r="S1066" s="132">
        <v>1</v>
      </c>
      <c r="T1066" s="132">
        <f t="shared" si="98"/>
        <v>0</v>
      </c>
      <c r="V1066" s="126">
        <f t="shared" si="99"/>
        <v>0</v>
      </c>
      <c r="W1066" s="92">
        <f t="shared" si="100"/>
        <v>0</v>
      </c>
      <c r="Y1066" s="210"/>
    </row>
    <row r="1067" spans="1:25" ht="14.4" customHeight="1" thickBot="1" x14ac:dyDescent="0.3">
      <c r="A1067" s="149"/>
      <c r="J1067" s="130">
        <v>1</v>
      </c>
      <c r="K1067" s="132">
        <f t="shared" si="96"/>
        <v>0</v>
      </c>
      <c r="M1067" s="132">
        <v>1</v>
      </c>
      <c r="N1067" s="132">
        <f t="shared" si="97"/>
        <v>0</v>
      </c>
      <c r="P1067" s="132">
        <v>1</v>
      </c>
      <c r="Q1067" s="132">
        <f t="shared" si="101"/>
        <v>0</v>
      </c>
      <c r="S1067" s="132">
        <v>1</v>
      </c>
      <c r="T1067" s="132">
        <f t="shared" si="98"/>
        <v>0</v>
      </c>
      <c r="V1067" s="126">
        <f t="shared" si="99"/>
        <v>0</v>
      </c>
      <c r="W1067" s="92">
        <f t="shared" si="100"/>
        <v>0</v>
      </c>
      <c r="Y1067" s="210"/>
    </row>
    <row r="1068" spans="1:25" ht="14.4" customHeight="1" thickBot="1" x14ac:dyDescent="0.3">
      <c r="A1068" s="149"/>
      <c r="J1068" s="130">
        <v>1</v>
      </c>
      <c r="K1068" s="132">
        <f t="shared" si="96"/>
        <v>0</v>
      </c>
      <c r="M1068" s="132">
        <v>1</v>
      </c>
      <c r="N1068" s="132">
        <f t="shared" si="97"/>
        <v>0</v>
      </c>
      <c r="P1068" s="132">
        <v>1</v>
      </c>
      <c r="Q1068" s="132">
        <f t="shared" si="101"/>
        <v>0</v>
      </c>
      <c r="S1068" s="132">
        <v>1</v>
      </c>
      <c r="T1068" s="132">
        <f t="shared" si="98"/>
        <v>0</v>
      </c>
      <c r="V1068" s="126">
        <f t="shared" si="99"/>
        <v>0</v>
      </c>
      <c r="W1068" s="92">
        <f t="shared" si="100"/>
        <v>0</v>
      </c>
      <c r="Y1068" s="210"/>
    </row>
    <row r="1069" spans="1:25" ht="14.4" customHeight="1" thickBot="1" x14ac:dyDescent="0.3">
      <c r="A1069" s="149"/>
      <c r="J1069" s="130">
        <v>1</v>
      </c>
      <c r="K1069" s="132">
        <f t="shared" si="96"/>
        <v>0</v>
      </c>
      <c r="M1069" s="132">
        <v>1</v>
      </c>
      <c r="N1069" s="132">
        <f t="shared" si="97"/>
        <v>0</v>
      </c>
      <c r="P1069" s="132">
        <v>1</v>
      </c>
      <c r="Q1069" s="132">
        <f t="shared" si="101"/>
        <v>0</v>
      </c>
      <c r="S1069" s="132">
        <v>1</v>
      </c>
      <c r="T1069" s="132">
        <f t="shared" si="98"/>
        <v>0</v>
      </c>
      <c r="V1069" s="126">
        <f t="shared" si="99"/>
        <v>0</v>
      </c>
      <c r="W1069" s="92">
        <f t="shared" si="100"/>
        <v>0</v>
      </c>
      <c r="Y1069" s="210"/>
    </row>
    <row r="1070" spans="1:25" ht="14.4" customHeight="1" thickBot="1" x14ac:dyDescent="0.3">
      <c r="A1070" s="149"/>
      <c r="J1070" s="130">
        <v>1</v>
      </c>
      <c r="K1070" s="132">
        <f t="shared" si="96"/>
        <v>0</v>
      </c>
      <c r="M1070" s="132">
        <v>1</v>
      </c>
      <c r="N1070" s="132">
        <f t="shared" si="97"/>
        <v>0</v>
      </c>
      <c r="P1070" s="132">
        <v>1</v>
      </c>
      <c r="Q1070" s="132">
        <f t="shared" si="101"/>
        <v>0</v>
      </c>
      <c r="S1070" s="132">
        <v>1</v>
      </c>
      <c r="T1070" s="132">
        <f t="shared" si="98"/>
        <v>0</v>
      </c>
      <c r="V1070" s="126">
        <f t="shared" si="99"/>
        <v>0</v>
      </c>
      <c r="W1070" s="92">
        <f t="shared" si="100"/>
        <v>0</v>
      </c>
      <c r="Y1070" s="210"/>
    </row>
    <row r="1071" spans="1:25" ht="14.4" customHeight="1" thickBot="1" x14ac:dyDescent="0.3">
      <c r="A1071" s="149"/>
      <c r="J1071" s="130">
        <v>1</v>
      </c>
      <c r="K1071" s="132">
        <f t="shared" si="96"/>
        <v>0</v>
      </c>
      <c r="M1071" s="132">
        <v>1</v>
      </c>
      <c r="N1071" s="132">
        <f t="shared" si="97"/>
        <v>0</v>
      </c>
      <c r="P1071" s="132">
        <v>1</v>
      </c>
      <c r="Q1071" s="132">
        <f t="shared" si="101"/>
        <v>0</v>
      </c>
      <c r="S1071" s="132">
        <v>1</v>
      </c>
      <c r="T1071" s="132">
        <f t="shared" si="98"/>
        <v>0</v>
      </c>
      <c r="V1071" s="126">
        <f t="shared" si="99"/>
        <v>0</v>
      </c>
      <c r="W1071" s="92">
        <f t="shared" si="100"/>
        <v>0</v>
      </c>
      <c r="Y1071" s="210"/>
    </row>
    <row r="1072" spans="1:25" ht="14.4" customHeight="1" thickBot="1" x14ac:dyDescent="0.3">
      <c r="A1072" s="149"/>
      <c r="J1072" s="130">
        <v>1</v>
      </c>
      <c r="K1072" s="132">
        <f t="shared" si="96"/>
        <v>0</v>
      </c>
      <c r="M1072" s="132">
        <v>1</v>
      </c>
      <c r="N1072" s="132">
        <f t="shared" si="97"/>
        <v>0</v>
      </c>
      <c r="P1072" s="132">
        <v>1</v>
      </c>
      <c r="Q1072" s="132">
        <f t="shared" si="101"/>
        <v>0</v>
      </c>
      <c r="S1072" s="132">
        <v>1</v>
      </c>
      <c r="T1072" s="132">
        <f t="shared" si="98"/>
        <v>0</v>
      </c>
      <c r="V1072" s="126">
        <f t="shared" si="99"/>
        <v>0</v>
      </c>
      <c r="W1072" s="92">
        <f t="shared" si="100"/>
        <v>0</v>
      </c>
      <c r="Y1072" s="210"/>
    </row>
    <row r="1073" spans="1:25" ht="14.4" customHeight="1" thickBot="1" x14ac:dyDescent="0.3">
      <c r="A1073" s="149"/>
      <c r="J1073" s="130">
        <v>1</v>
      </c>
      <c r="K1073" s="132">
        <f t="shared" si="96"/>
        <v>0</v>
      </c>
      <c r="M1073" s="132">
        <v>1</v>
      </c>
      <c r="N1073" s="132">
        <f t="shared" si="97"/>
        <v>0</v>
      </c>
      <c r="P1073" s="132">
        <v>1</v>
      </c>
      <c r="Q1073" s="132">
        <f t="shared" si="101"/>
        <v>0</v>
      </c>
      <c r="S1073" s="132">
        <v>1</v>
      </c>
      <c r="T1073" s="132">
        <f t="shared" si="98"/>
        <v>0</v>
      </c>
      <c r="V1073" s="126">
        <f t="shared" si="99"/>
        <v>0</v>
      </c>
      <c r="W1073" s="92">
        <f t="shared" si="100"/>
        <v>0</v>
      </c>
      <c r="Y1073" s="210"/>
    </row>
    <row r="1074" spans="1:25" ht="14.4" customHeight="1" thickBot="1" x14ac:dyDescent="0.3">
      <c r="A1074" s="149"/>
      <c r="J1074" s="130">
        <v>1</v>
      </c>
      <c r="K1074" s="132">
        <f t="shared" si="96"/>
        <v>0</v>
      </c>
      <c r="M1074" s="132">
        <v>1</v>
      </c>
      <c r="N1074" s="132">
        <f t="shared" si="97"/>
        <v>0</v>
      </c>
      <c r="P1074" s="132">
        <v>1</v>
      </c>
      <c r="Q1074" s="132">
        <f t="shared" si="101"/>
        <v>0</v>
      </c>
      <c r="S1074" s="132">
        <v>1</v>
      </c>
      <c r="T1074" s="132">
        <f t="shared" si="98"/>
        <v>0</v>
      </c>
      <c r="V1074" s="126">
        <f t="shared" si="99"/>
        <v>0</v>
      </c>
      <c r="W1074" s="92">
        <f t="shared" si="100"/>
        <v>0</v>
      </c>
      <c r="Y1074" s="210"/>
    </row>
    <row r="1075" spans="1:25" ht="14.4" customHeight="1" thickBot="1" x14ac:dyDescent="0.3">
      <c r="A1075" s="149"/>
      <c r="J1075" s="130">
        <v>1</v>
      </c>
      <c r="K1075" s="132">
        <f t="shared" si="96"/>
        <v>0</v>
      </c>
      <c r="M1075" s="132">
        <v>1</v>
      </c>
      <c r="N1075" s="132">
        <f t="shared" si="97"/>
        <v>0</v>
      </c>
      <c r="P1075" s="132">
        <v>1</v>
      </c>
      <c r="Q1075" s="132">
        <f t="shared" si="101"/>
        <v>0</v>
      </c>
      <c r="S1075" s="132">
        <v>1</v>
      </c>
      <c r="T1075" s="132">
        <f t="shared" si="98"/>
        <v>0</v>
      </c>
      <c r="V1075" s="126">
        <f t="shared" si="99"/>
        <v>0</v>
      </c>
      <c r="W1075" s="92">
        <f t="shared" si="100"/>
        <v>0</v>
      </c>
      <c r="Y1075" s="210"/>
    </row>
    <row r="1076" spans="1:25" ht="14.4" customHeight="1" thickBot="1" x14ac:dyDescent="0.3">
      <c r="A1076" s="149"/>
      <c r="J1076" s="130">
        <v>1</v>
      </c>
      <c r="K1076" s="132">
        <f t="shared" si="96"/>
        <v>0</v>
      </c>
      <c r="M1076" s="132">
        <v>1</v>
      </c>
      <c r="N1076" s="132">
        <f t="shared" si="97"/>
        <v>0</v>
      </c>
      <c r="P1076" s="132">
        <v>1</v>
      </c>
      <c r="Q1076" s="132">
        <f t="shared" si="101"/>
        <v>0</v>
      </c>
      <c r="S1076" s="132">
        <v>1</v>
      </c>
      <c r="T1076" s="132">
        <f t="shared" si="98"/>
        <v>0</v>
      </c>
      <c r="V1076" s="126">
        <f t="shared" si="99"/>
        <v>0</v>
      </c>
      <c r="W1076" s="92">
        <f t="shared" si="100"/>
        <v>0</v>
      </c>
      <c r="Y1076" s="210"/>
    </row>
    <row r="1077" spans="1:25" ht="14.4" customHeight="1" thickBot="1" x14ac:dyDescent="0.3">
      <c r="A1077" s="149"/>
      <c r="J1077" s="130">
        <v>1</v>
      </c>
      <c r="K1077" s="132">
        <f t="shared" si="96"/>
        <v>0</v>
      </c>
      <c r="M1077" s="132">
        <v>1</v>
      </c>
      <c r="N1077" s="132">
        <f t="shared" si="97"/>
        <v>0</v>
      </c>
      <c r="P1077" s="132">
        <v>1</v>
      </c>
      <c r="Q1077" s="132">
        <f t="shared" si="101"/>
        <v>0</v>
      </c>
      <c r="S1077" s="132">
        <v>1</v>
      </c>
      <c r="T1077" s="132">
        <f t="shared" si="98"/>
        <v>0</v>
      </c>
      <c r="V1077" s="126">
        <f t="shared" si="99"/>
        <v>0</v>
      </c>
      <c r="W1077" s="92">
        <f t="shared" si="100"/>
        <v>0</v>
      </c>
      <c r="Y1077" s="210"/>
    </row>
    <row r="1078" spans="1:25" ht="14.4" customHeight="1" thickBot="1" x14ac:dyDescent="0.3">
      <c r="A1078" s="149"/>
      <c r="J1078" s="130">
        <v>1</v>
      </c>
      <c r="K1078" s="132">
        <f t="shared" si="96"/>
        <v>0</v>
      </c>
      <c r="M1078" s="132">
        <v>1</v>
      </c>
      <c r="N1078" s="132">
        <f t="shared" si="97"/>
        <v>0</v>
      </c>
      <c r="P1078" s="132">
        <v>1</v>
      </c>
      <c r="Q1078" s="132">
        <f t="shared" si="101"/>
        <v>0</v>
      </c>
      <c r="S1078" s="132">
        <v>1</v>
      </c>
      <c r="T1078" s="132">
        <f t="shared" si="98"/>
        <v>0</v>
      </c>
      <c r="V1078" s="126">
        <f t="shared" si="99"/>
        <v>0</v>
      </c>
      <c r="W1078" s="92">
        <f t="shared" si="100"/>
        <v>0</v>
      </c>
      <c r="Y1078" s="210"/>
    </row>
    <row r="1079" spans="1:25" ht="14.4" customHeight="1" thickBot="1" x14ac:dyDescent="0.3">
      <c r="A1079" s="149"/>
      <c r="J1079" s="130">
        <v>1</v>
      </c>
      <c r="K1079" s="132">
        <f t="shared" si="96"/>
        <v>0</v>
      </c>
      <c r="M1079" s="132">
        <v>1</v>
      </c>
      <c r="N1079" s="132">
        <f t="shared" si="97"/>
        <v>0</v>
      </c>
      <c r="P1079" s="132">
        <v>1</v>
      </c>
      <c r="Q1079" s="132">
        <f t="shared" si="101"/>
        <v>0</v>
      </c>
      <c r="S1079" s="132">
        <v>1</v>
      </c>
      <c r="T1079" s="132">
        <f t="shared" si="98"/>
        <v>0</v>
      </c>
      <c r="V1079" s="126">
        <f t="shared" si="99"/>
        <v>0</v>
      </c>
      <c r="W1079" s="92">
        <f t="shared" si="100"/>
        <v>0</v>
      </c>
      <c r="Y1079" s="210"/>
    </row>
    <row r="1080" spans="1:25" ht="14.4" customHeight="1" thickBot="1" x14ac:dyDescent="0.3">
      <c r="A1080" s="149"/>
      <c r="J1080" s="130">
        <v>1</v>
      </c>
      <c r="K1080" s="132">
        <f t="shared" si="96"/>
        <v>0</v>
      </c>
      <c r="M1080" s="132">
        <v>1</v>
      </c>
      <c r="N1080" s="132">
        <f t="shared" si="97"/>
        <v>0</v>
      </c>
      <c r="P1080" s="132">
        <v>1</v>
      </c>
      <c r="Q1080" s="132">
        <f t="shared" si="101"/>
        <v>0</v>
      </c>
      <c r="S1080" s="132">
        <v>1</v>
      </c>
      <c r="T1080" s="132">
        <f t="shared" si="98"/>
        <v>0</v>
      </c>
      <c r="V1080" s="126">
        <f t="shared" si="99"/>
        <v>0</v>
      </c>
      <c r="W1080" s="92">
        <f t="shared" si="100"/>
        <v>0</v>
      </c>
      <c r="Y1080" s="210"/>
    </row>
    <row r="1081" spans="1:25" ht="14.4" customHeight="1" thickBot="1" x14ac:dyDescent="0.3">
      <c r="A1081" s="149"/>
      <c r="J1081" s="130">
        <v>1</v>
      </c>
      <c r="K1081" s="132">
        <f t="shared" si="96"/>
        <v>0</v>
      </c>
      <c r="M1081" s="132">
        <v>1</v>
      </c>
      <c r="N1081" s="132">
        <f t="shared" si="97"/>
        <v>0</v>
      </c>
      <c r="P1081" s="132">
        <v>1</v>
      </c>
      <c r="Q1081" s="132">
        <f t="shared" si="101"/>
        <v>0</v>
      </c>
      <c r="S1081" s="132">
        <v>1</v>
      </c>
      <c r="T1081" s="132">
        <f t="shared" si="98"/>
        <v>0</v>
      </c>
      <c r="V1081" s="126">
        <f t="shared" si="99"/>
        <v>0</v>
      </c>
      <c r="W1081" s="92">
        <f t="shared" si="100"/>
        <v>0</v>
      </c>
      <c r="Y1081" s="210"/>
    </row>
    <row r="1082" spans="1:25" ht="14.4" customHeight="1" thickBot="1" x14ac:dyDescent="0.3">
      <c r="A1082" s="149"/>
      <c r="J1082" s="130">
        <v>1</v>
      </c>
      <c r="K1082" s="132">
        <f t="shared" si="96"/>
        <v>0</v>
      </c>
      <c r="M1082" s="132">
        <v>1</v>
      </c>
      <c r="N1082" s="132">
        <f t="shared" si="97"/>
        <v>0</v>
      </c>
      <c r="P1082" s="132">
        <v>1</v>
      </c>
      <c r="Q1082" s="132">
        <f t="shared" si="101"/>
        <v>0</v>
      </c>
      <c r="S1082" s="132">
        <v>1</v>
      </c>
      <c r="T1082" s="132">
        <f t="shared" si="98"/>
        <v>0</v>
      </c>
      <c r="V1082" s="126">
        <f t="shared" si="99"/>
        <v>0</v>
      </c>
      <c r="W1082" s="92">
        <f t="shared" si="100"/>
        <v>0</v>
      </c>
      <c r="Y1082" s="210"/>
    </row>
    <row r="1083" spans="1:25" ht="14.4" customHeight="1" thickBot="1" x14ac:dyDescent="0.3">
      <c r="A1083" s="149"/>
      <c r="J1083" s="130">
        <v>1</v>
      </c>
      <c r="K1083" s="132">
        <f t="shared" si="96"/>
        <v>0</v>
      </c>
      <c r="M1083" s="132">
        <v>1</v>
      </c>
      <c r="N1083" s="132">
        <f t="shared" si="97"/>
        <v>0</v>
      </c>
      <c r="P1083" s="132">
        <v>1</v>
      </c>
      <c r="Q1083" s="132">
        <f t="shared" si="101"/>
        <v>0</v>
      </c>
      <c r="S1083" s="132">
        <v>1</v>
      </c>
      <c r="T1083" s="132">
        <f t="shared" si="98"/>
        <v>0</v>
      </c>
      <c r="V1083" s="126">
        <f t="shared" si="99"/>
        <v>0</v>
      </c>
      <c r="W1083" s="92">
        <f t="shared" si="100"/>
        <v>0</v>
      </c>
      <c r="Y1083" s="210"/>
    </row>
    <row r="1084" spans="1:25" ht="14.4" customHeight="1" thickBot="1" x14ac:dyDescent="0.3">
      <c r="A1084" s="149"/>
      <c r="J1084" s="130">
        <v>1</v>
      </c>
      <c r="K1084" s="132">
        <f t="shared" si="96"/>
        <v>0</v>
      </c>
      <c r="M1084" s="132">
        <v>1</v>
      </c>
      <c r="N1084" s="132">
        <f t="shared" si="97"/>
        <v>0</v>
      </c>
      <c r="P1084" s="132">
        <v>1</v>
      </c>
      <c r="Q1084" s="132">
        <f t="shared" si="101"/>
        <v>0</v>
      </c>
      <c r="S1084" s="132">
        <v>1</v>
      </c>
      <c r="T1084" s="132">
        <f t="shared" si="98"/>
        <v>0</v>
      </c>
      <c r="V1084" s="126">
        <f t="shared" si="99"/>
        <v>0</v>
      </c>
      <c r="W1084" s="92">
        <f t="shared" si="100"/>
        <v>0</v>
      </c>
      <c r="Y1084" s="210"/>
    </row>
    <row r="1085" spans="1:25" ht="14.4" customHeight="1" thickBot="1" x14ac:dyDescent="0.3">
      <c r="A1085" s="149"/>
      <c r="J1085" s="130">
        <v>1</v>
      </c>
      <c r="K1085" s="132">
        <f t="shared" si="96"/>
        <v>0</v>
      </c>
      <c r="M1085" s="132">
        <v>1</v>
      </c>
      <c r="N1085" s="132">
        <f t="shared" si="97"/>
        <v>0</v>
      </c>
      <c r="P1085" s="132">
        <v>1</v>
      </c>
      <c r="Q1085" s="132">
        <f t="shared" si="101"/>
        <v>0</v>
      </c>
      <c r="S1085" s="132">
        <v>1</v>
      </c>
      <c r="T1085" s="132">
        <f t="shared" si="98"/>
        <v>0</v>
      </c>
      <c r="V1085" s="126">
        <f t="shared" si="99"/>
        <v>0</v>
      </c>
      <c r="W1085" s="92">
        <f t="shared" si="100"/>
        <v>0</v>
      </c>
      <c r="Y1085" s="210"/>
    </row>
    <row r="1086" spans="1:25" ht="14.4" customHeight="1" thickBot="1" x14ac:dyDescent="0.3">
      <c r="A1086" s="149"/>
      <c r="J1086" s="130">
        <v>1</v>
      </c>
      <c r="K1086" s="132">
        <f t="shared" si="96"/>
        <v>0</v>
      </c>
      <c r="M1086" s="132">
        <v>1</v>
      </c>
      <c r="N1086" s="132">
        <f t="shared" si="97"/>
        <v>0</v>
      </c>
      <c r="P1086" s="132">
        <v>1</v>
      </c>
      <c r="Q1086" s="132">
        <f t="shared" si="101"/>
        <v>0</v>
      </c>
      <c r="S1086" s="132">
        <v>1</v>
      </c>
      <c r="T1086" s="132">
        <f t="shared" si="98"/>
        <v>0</v>
      </c>
      <c r="V1086" s="126">
        <f t="shared" si="99"/>
        <v>0</v>
      </c>
      <c r="W1086" s="92">
        <f t="shared" si="100"/>
        <v>0</v>
      </c>
      <c r="Y1086" s="210"/>
    </row>
    <row r="1087" spans="1:25" ht="14.4" customHeight="1" thickBot="1" x14ac:dyDescent="0.3">
      <c r="A1087" s="149"/>
      <c r="J1087" s="130">
        <v>1</v>
      </c>
      <c r="K1087" s="132">
        <f t="shared" si="96"/>
        <v>0</v>
      </c>
      <c r="M1087" s="132">
        <v>1</v>
      </c>
      <c r="N1087" s="132">
        <f t="shared" si="97"/>
        <v>0</v>
      </c>
      <c r="P1087" s="132">
        <v>1</v>
      </c>
      <c r="Q1087" s="132">
        <f t="shared" si="101"/>
        <v>0</v>
      </c>
      <c r="S1087" s="132">
        <v>1</v>
      </c>
      <c r="T1087" s="132">
        <f t="shared" si="98"/>
        <v>0</v>
      </c>
      <c r="V1087" s="126">
        <f t="shared" si="99"/>
        <v>0</v>
      </c>
      <c r="W1087" s="92">
        <f t="shared" si="100"/>
        <v>0</v>
      </c>
      <c r="Y1087" s="210"/>
    </row>
    <row r="1088" spans="1:25" ht="14.4" customHeight="1" thickBot="1" x14ac:dyDescent="0.3">
      <c r="A1088" s="149"/>
      <c r="J1088" s="130">
        <v>1</v>
      </c>
      <c r="K1088" s="132">
        <f t="shared" si="96"/>
        <v>0</v>
      </c>
      <c r="M1088" s="132">
        <v>1</v>
      </c>
      <c r="N1088" s="132">
        <f t="shared" si="97"/>
        <v>0</v>
      </c>
      <c r="P1088" s="132">
        <v>1</v>
      </c>
      <c r="Q1088" s="132">
        <f t="shared" si="101"/>
        <v>0</v>
      </c>
      <c r="S1088" s="132">
        <v>1</v>
      </c>
      <c r="T1088" s="132">
        <f t="shared" si="98"/>
        <v>0</v>
      </c>
      <c r="V1088" s="126">
        <f t="shared" si="99"/>
        <v>0</v>
      </c>
      <c r="W1088" s="92">
        <f t="shared" si="100"/>
        <v>0</v>
      </c>
      <c r="Y1088" s="210"/>
    </row>
    <row r="1089" spans="1:25" ht="14.4" customHeight="1" thickBot="1" x14ac:dyDescent="0.3">
      <c r="A1089" s="149"/>
      <c r="J1089" s="130">
        <v>1</v>
      </c>
      <c r="K1089" s="132">
        <f t="shared" si="96"/>
        <v>0</v>
      </c>
      <c r="M1089" s="132">
        <v>1</v>
      </c>
      <c r="N1089" s="132">
        <f t="shared" si="97"/>
        <v>0</v>
      </c>
      <c r="P1089" s="132">
        <v>1</v>
      </c>
      <c r="Q1089" s="132">
        <f t="shared" si="101"/>
        <v>0</v>
      </c>
      <c r="S1089" s="132">
        <v>1</v>
      </c>
      <c r="T1089" s="132">
        <f t="shared" si="98"/>
        <v>0</v>
      </c>
      <c r="V1089" s="126">
        <f t="shared" si="99"/>
        <v>0</v>
      </c>
      <c r="W1089" s="92">
        <f t="shared" si="100"/>
        <v>0</v>
      </c>
      <c r="Y1089" s="210"/>
    </row>
    <row r="1090" spans="1:25" ht="14.4" customHeight="1" thickBot="1" x14ac:dyDescent="0.3">
      <c r="A1090" s="149"/>
      <c r="J1090" s="130">
        <v>1</v>
      </c>
      <c r="K1090" s="132">
        <f t="shared" ref="K1090:K1153" si="102">I1090/J1090</f>
        <v>0</v>
      </c>
      <c r="M1090" s="132">
        <v>1</v>
      </c>
      <c r="N1090" s="132">
        <f t="shared" ref="N1090:N1153" si="103">L1090/M1090</f>
        <v>0</v>
      </c>
      <c r="P1090" s="132">
        <v>1</v>
      </c>
      <c r="Q1090" s="132">
        <f t="shared" si="101"/>
        <v>0</v>
      </c>
      <c r="S1090" s="132">
        <v>1</v>
      </c>
      <c r="T1090" s="132">
        <f t="shared" ref="T1090:T1153" si="104">R1090/S1090</f>
        <v>0</v>
      </c>
      <c r="V1090" s="126">
        <f t="shared" ref="V1090:V1153" si="105">D1090+E1090-G1090-I1090/J1090-L1090/M1090-O1090/P1090-R1090/S1090</f>
        <v>0</v>
      </c>
      <c r="W1090" s="92">
        <f t="shared" ref="W1090:W1153" si="106">G1090+I1090/J1090+L1090/M1090+O1090/P1090+R1090/S1090</f>
        <v>0</v>
      </c>
      <c r="Y1090" s="210"/>
    </row>
    <row r="1091" spans="1:25" ht="14.4" customHeight="1" thickBot="1" x14ac:dyDescent="0.3">
      <c r="A1091" s="149"/>
      <c r="J1091" s="130">
        <v>1</v>
      </c>
      <c r="K1091" s="132">
        <f t="shared" si="102"/>
        <v>0</v>
      </c>
      <c r="M1091" s="132">
        <v>1</v>
      </c>
      <c r="N1091" s="132">
        <f t="shared" si="103"/>
        <v>0</v>
      </c>
      <c r="P1091" s="132">
        <v>1</v>
      </c>
      <c r="Q1091" s="132">
        <f t="shared" ref="Q1091:Q1154" si="107">O1091/P1091</f>
        <v>0</v>
      </c>
      <c r="S1091" s="132">
        <v>1</v>
      </c>
      <c r="T1091" s="132">
        <f t="shared" si="104"/>
        <v>0</v>
      </c>
      <c r="V1091" s="126">
        <f t="shared" si="105"/>
        <v>0</v>
      </c>
      <c r="W1091" s="92">
        <f t="shared" si="106"/>
        <v>0</v>
      </c>
      <c r="Y1091" s="210"/>
    </row>
    <row r="1092" spans="1:25" ht="14.4" customHeight="1" thickBot="1" x14ac:dyDescent="0.3">
      <c r="A1092" s="149"/>
      <c r="J1092" s="130">
        <v>1</v>
      </c>
      <c r="K1092" s="132">
        <f t="shared" si="102"/>
        <v>0</v>
      </c>
      <c r="M1092" s="132">
        <v>1</v>
      </c>
      <c r="N1092" s="132">
        <f t="shared" si="103"/>
        <v>0</v>
      </c>
      <c r="P1092" s="132">
        <v>1</v>
      </c>
      <c r="Q1092" s="132">
        <f t="shared" si="107"/>
        <v>0</v>
      </c>
      <c r="S1092" s="132">
        <v>1</v>
      </c>
      <c r="T1092" s="132">
        <f t="shared" si="104"/>
        <v>0</v>
      </c>
      <c r="V1092" s="126">
        <f t="shared" si="105"/>
        <v>0</v>
      </c>
      <c r="W1092" s="92">
        <f t="shared" si="106"/>
        <v>0</v>
      </c>
      <c r="Y1092" s="210"/>
    </row>
    <row r="1093" spans="1:25" ht="14.4" customHeight="1" thickBot="1" x14ac:dyDescent="0.3">
      <c r="A1093" s="149"/>
      <c r="J1093" s="130">
        <v>1</v>
      </c>
      <c r="K1093" s="132">
        <f t="shared" si="102"/>
        <v>0</v>
      </c>
      <c r="M1093" s="132">
        <v>1</v>
      </c>
      <c r="N1093" s="132">
        <f t="shared" si="103"/>
        <v>0</v>
      </c>
      <c r="P1093" s="132">
        <v>1</v>
      </c>
      <c r="Q1093" s="132">
        <f t="shared" si="107"/>
        <v>0</v>
      </c>
      <c r="S1093" s="132">
        <v>1</v>
      </c>
      <c r="T1093" s="132">
        <f t="shared" si="104"/>
        <v>0</v>
      </c>
      <c r="V1093" s="126">
        <f t="shared" si="105"/>
        <v>0</v>
      </c>
      <c r="W1093" s="92">
        <f t="shared" si="106"/>
        <v>0</v>
      </c>
      <c r="Y1093" s="210"/>
    </row>
    <row r="1094" spans="1:25" ht="14.4" customHeight="1" thickBot="1" x14ac:dyDescent="0.3">
      <c r="A1094" s="149"/>
      <c r="J1094" s="130">
        <v>1</v>
      </c>
      <c r="K1094" s="132">
        <f t="shared" si="102"/>
        <v>0</v>
      </c>
      <c r="M1094" s="132">
        <v>1</v>
      </c>
      <c r="N1094" s="132">
        <f t="shared" si="103"/>
        <v>0</v>
      </c>
      <c r="P1094" s="132">
        <v>1</v>
      </c>
      <c r="Q1094" s="132">
        <f t="shared" si="107"/>
        <v>0</v>
      </c>
      <c r="S1094" s="132">
        <v>1</v>
      </c>
      <c r="T1094" s="132">
        <f t="shared" si="104"/>
        <v>0</v>
      </c>
      <c r="V1094" s="126">
        <f t="shared" si="105"/>
        <v>0</v>
      </c>
      <c r="W1094" s="92">
        <f t="shared" si="106"/>
        <v>0</v>
      </c>
      <c r="Y1094" s="210"/>
    </row>
    <row r="1095" spans="1:25" ht="14.4" customHeight="1" thickBot="1" x14ac:dyDescent="0.3">
      <c r="A1095" s="149"/>
      <c r="J1095" s="130">
        <v>1</v>
      </c>
      <c r="K1095" s="132">
        <f t="shared" si="102"/>
        <v>0</v>
      </c>
      <c r="M1095" s="132">
        <v>1</v>
      </c>
      <c r="N1095" s="132">
        <f t="shared" si="103"/>
        <v>0</v>
      </c>
      <c r="P1095" s="132">
        <v>1</v>
      </c>
      <c r="Q1095" s="132">
        <f t="shared" si="107"/>
        <v>0</v>
      </c>
      <c r="S1095" s="132">
        <v>1</v>
      </c>
      <c r="T1095" s="132">
        <f t="shared" si="104"/>
        <v>0</v>
      </c>
      <c r="V1095" s="126">
        <f t="shared" si="105"/>
        <v>0</v>
      </c>
      <c r="W1095" s="92">
        <f t="shared" si="106"/>
        <v>0</v>
      </c>
      <c r="Y1095" s="210"/>
    </row>
    <row r="1096" spans="1:25" ht="14.4" customHeight="1" thickBot="1" x14ac:dyDescent="0.3">
      <c r="A1096" s="149"/>
      <c r="J1096" s="130">
        <v>1</v>
      </c>
      <c r="K1096" s="132">
        <f t="shared" si="102"/>
        <v>0</v>
      </c>
      <c r="M1096" s="132">
        <v>1</v>
      </c>
      <c r="N1096" s="132">
        <f t="shared" si="103"/>
        <v>0</v>
      </c>
      <c r="P1096" s="132">
        <v>1</v>
      </c>
      <c r="Q1096" s="132">
        <f t="shared" si="107"/>
        <v>0</v>
      </c>
      <c r="S1096" s="132">
        <v>1</v>
      </c>
      <c r="T1096" s="132">
        <f t="shared" si="104"/>
        <v>0</v>
      </c>
      <c r="V1096" s="126">
        <f t="shared" si="105"/>
        <v>0</v>
      </c>
      <c r="W1096" s="92">
        <f t="shared" si="106"/>
        <v>0</v>
      </c>
      <c r="Y1096" s="210"/>
    </row>
    <row r="1097" spans="1:25" ht="14.4" customHeight="1" thickBot="1" x14ac:dyDescent="0.3">
      <c r="A1097" s="149"/>
      <c r="J1097" s="130">
        <v>1</v>
      </c>
      <c r="K1097" s="132">
        <f t="shared" si="102"/>
        <v>0</v>
      </c>
      <c r="M1097" s="132">
        <v>1</v>
      </c>
      <c r="N1097" s="132">
        <f t="shared" si="103"/>
        <v>0</v>
      </c>
      <c r="P1097" s="132">
        <v>1</v>
      </c>
      <c r="Q1097" s="132">
        <f t="shared" si="107"/>
        <v>0</v>
      </c>
      <c r="S1097" s="132">
        <v>1</v>
      </c>
      <c r="T1097" s="132">
        <f t="shared" si="104"/>
        <v>0</v>
      </c>
      <c r="V1097" s="126">
        <f t="shared" si="105"/>
        <v>0</v>
      </c>
      <c r="W1097" s="92">
        <f t="shared" si="106"/>
        <v>0</v>
      </c>
      <c r="Y1097" s="210"/>
    </row>
    <row r="1098" spans="1:25" ht="14.4" customHeight="1" thickBot="1" x14ac:dyDescent="0.3">
      <c r="A1098" s="149"/>
      <c r="J1098" s="130">
        <v>1</v>
      </c>
      <c r="K1098" s="132">
        <f t="shared" si="102"/>
        <v>0</v>
      </c>
      <c r="M1098" s="132">
        <v>1</v>
      </c>
      <c r="N1098" s="132">
        <f t="shared" si="103"/>
        <v>0</v>
      </c>
      <c r="P1098" s="132">
        <v>1</v>
      </c>
      <c r="Q1098" s="132">
        <f t="shared" si="107"/>
        <v>0</v>
      </c>
      <c r="S1098" s="132">
        <v>1</v>
      </c>
      <c r="T1098" s="132">
        <f t="shared" si="104"/>
        <v>0</v>
      </c>
      <c r="V1098" s="126">
        <f t="shared" si="105"/>
        <v>0</v>
      </c>
      <c r="W1098" s="92">
        <f t="shared" si="106"/>
        <v>0</v>
      </c>
      <c r="Y1098" s="210"/>
    </row>
    <row r="1099" spans="1:25" ht="14.4" customHeight="1" thickBot="1" x14ac:dyDescent="0.3">
      <c r="A1099" s="149"/>
      <c r="J1099" s="130">
        <v>1</v>
      </c>
      <c r="K1099" s="132">
        <f t="shared" si="102"/>
        <v>0</v>
      </c>
      <c r="M1099" s="132">
        <v>1</v>
      </c>
      <c r="N1099" s="132">
        <f t="shared" si="103"/>
        <v>0</v>
      </c>
      <c r="P1099" s="132">
        <v>1</v>
      </c>
      <c r="Q1099" s="132">
        <f t="shared" si="107"/>
        <v>0</v>
      </c>
      <c r="S1099" s="132">
        <v>1</v>
      </c>
      <c r="T1099" s="132">
        <f t="shared" si="104"/>
        <v>0</v>
      </c>
      <c r="V1099" s="126">
        <f t="shared" si="105"/>
        <v>0</v>
      </c>
      <c r="W1099" s="92">
        <f t="shared" si="106"/>
        <v>0</v>
      </c>
      <c r="Y1099" s="210"/>
    </row>
    <row r="1100" spans="1:25" ht="14.4" customHeight="1" thickBot="1" x14ac:dyDescent="0.3">
      <c r="A1100" s="149"/>
      <c r="J1100" s="130">
        <v>1</v>
      </c>
      <c r="K1100" s="132">
        <f t="shared" si="102"/>
        <v>0</v>
      </c>
      <c r="M1100" s="132">
        <v>1</v>
      </c>
      <c r="N1100" s="132">
        <f t="shared" si="103"/>
        <v>0</v>
      </c>
      <c r="P1100" s="132">
        <v>1</v>
      </c>
      <c r="Q1100" s="132">
        <f t="shared" si="107"/>
        <v>0</v>
      </c>
      <c r="S1100" s="132">
        <v>1</v>
      </c>
      <c r="T1100" s="132">
        <f t="shared" si="104"/>
        <v>0</v>
      </c>
      <c r="V1100" s="126">
        <f t="shared" si="105"/>
        <v>0</v>
      </c>
      <c r="W1100" s="92">
        <f t="shared" si="106"/>
        <v>0</v>
      </c>
      <c r="Y1100" s="210"/>
    </row>
    <row r="1101" spans="1:25" ht="14.4" customHeight="1" thickBot="1" x14ac:dyDescent="0.3">
      <c r="A1101" s="149"/>
      <c r="J1101" s="130">
        <v>1</v>
      </c>
      <c r="K1101" s="132">
        <f t="shared" si="102"/>
        <v>0</v>
      </c>
      <c r="M1101" s="132">
        <v>1</v>
      </c>
      <c r="N1101" s="132">
        <f t="shared" si="103"/>
        <v>0</v>
      </c>
      <c r="P1101" s="132">
        <v>1</v>
      </c>
      <c r="Q1101" s="132">
        <f t="shared" si="107"/>
        <v>0</v>
      </c>
      <c r="S1101" s="132">
        <v>1</v>
      </c>
      <c r="T1101" s="132">
        <f t="shared" si="104"/>
        <v>0</v>
      </c>
      <c r="V1101" s="126">
        <f t="shared" si="105"/>
        <v>0</v>
      </c>
      <c r="W1101" s="92">
        <f t="shared" si="106"/>
        <v>0</v>
      </c>
      <c r="Y1101" s="210"/>
    </row>
    <row r="1102" spans="1:25" ht="14.4" customHeight="1" thickBot="1" x14ac:dyDescent="0.3">
      <c r="A1102" s="149"/>
      <c r="J1102" s="130">
        <v>1</v>
      </c>
      <c r="K1102" s="132">
        <f t="shared" si="102"/>
        <v>0</v>
      </c>
      <c r="M1102" s="132">
        <v>1</v>
      </c>
      <c r="N1102" s="132">
        <f t="shared" si="103"/>
        <v>0</v>
      </c>
      <c r="P1102" s="132">
        <v>1</v>
      </c>
      <c r="Q1102" s="132">
        <f t="shared" si="107"/>
        <v>0</v>
      </c>
      <c r="S1102" s="132">
        <v>1</v>
      </c>
      <c r="T1102" s="132">
        <f t="shared" si="104"/>
        <v>0</v>
      </c>
      <c r="V1102" s="126">
        <f t="shared" si="105"/>
        <v>0</v>
      </c>
      <c r="W1102" s="92">
        <f t="shared" si="106"/>
        <v>0</v>
      </c>
      <c r="Y1102" s="210"/>
    </row>
    <row r="1103" spans="1:25" ht="14.4" customHeight="1" thickBot="1" x14ac:dyDescent="0.3">
      <c r="A1103" s="149"/>
      <c r="J1103" s="130">
        <v>1</v>
      </c>
      <c r="K1103" s="132">
        <f t="shared" si="102"/>
        <v>0</v>
      </c>
      <c r="M1103" s="132">
        <v>1</v>
      </c>
      <c r="N1103" s="132">
        <f t="shared" si="103"/>
        <v>0</v>
      </c>
      <c r="P1103" s="132">
        <v>1</v>
      </c>
      <c r="Q1103" s="132">
        <f t="shared" si="107"/>
        <v>0</v>
      </c>
      <c r="S1103" s="132">
        <v>1</v>
      </c>
      <c r="T1103" s="132">
        <f t="shared" si="104"/>
        <v>0</v>
      </c>
      <c r="V1103" s="126">
        <f t="shared" si="105"/>
        <v>0</v>
      </c>
      <c r="W1103" s="92">
        <f t="shared" si="106"/>
        <v>0</v>
      </c>
      <c r="Y1103" s="210"/>
    </row>
    <row r="1104" spans="1:25" ht="14.4" customHeight="1" thickBot="1" x14ac:dyDescent="0.3">
      <c r="A1104" s="149"/>
      <c r="J1104" s="130">
        <v>1</v>
      </c>
      <c r="K1104" s="132">
        <f t="shared" si="102"/>
        <v>0</v>
      </c>
      <c r="M1104" s="132">
        <v>1</v>
      </c>
      <c r="N1104" s="132">
        <f t="shared" si="103"/>
        <v>0</v>
      </c>
      <c r="P1104" s="132">
        <v>1</v>
      </c>
      <c r="Q1104" s="132">
        <f t="shared" si="107"/>
        <v>0</v>
      </c>
      <c r="S1104" s="132">
        <v>1</v>
      </c>
      <c r="T1104" s="132">
        <f t="shared" si="104"/>
        <v>0</v>
      </c>
      <c r="V1104" s="126">
        <f t="shared" si="105"/>
        <v>0</v>
      </c>
      <c r="W1104" s="92">
        <f t="shared" si="106"/>
        <v>0</v>
      </c>
      <c r="Y1104" s="210"/>
    </row>
    <row r="1105" spans="1:25" ht="14.4" customHeight="1" thickBot="1" x14ac:dyDescent="0.3">
      <c r="A1105" s="149"/>
      <c r="J1105" s="130">
        <v>1</v>
      </c>
      <c r="K1105" s="132">
        <f t="shared" si="102"/>
        <v>0</v>
      </c>
      <c r="M1105" s="132">
        <v>1</v>
      </c>
      <c r="N1105" s="132">
        <f t="shared" si="103"/>
        <v>0</v>
      </c>
      <c r="P1105" s="132">
        <v>1</v>
      </c>
      <c r="Q1105" s="132">
        <f t="shared" si="107"/>
        <v>0</v>
      </c>
      <c r="S1105" s="132">
        <v>1</v>
      </c>
      <c r="T1105" s="132">
        <f t="shared" si="104"/>
        <v>0</v>
      </c>
      <c r="V1105" s="126">
        <f t="shared" si="105"/>
        <v>0</v>
      </c>
      <c r="W1105" s="92">
        <f t="shared" si="106"/>
        <v>0</v>
      </c>
      <c r="Y1105" s="210"/>
    </row>
    <row r="1106" spans="1:25" ht="14.4" customHeight="1" thickBot="1" x14ac:dyDescent="0.3">
      <c r="A1106" s="149"/>
      <c r="J1106" s="130">
        <v>1</v>
      </c>
      <c r="K1106" s="132">
        <f t="shared" si="102"/>
        <v>0</v>
      </c>
      <c r="M1106" s="132">
        <v>1</v>
      </c>
      <c r="N1106" s="132">
        <f t="shared" si="103"/>
        <v>0</v>
      </c>
      <c r="P1106" s="132">
        <v>1</v>
      </c>
      <c r="Q1106" s="132">
        <f t="shared" si="107"/>
        <v>0</v>
      </c>
      <c r="S1106" s="132">
        <v>1</v>
      </c>
      <c r="T1106" s="132">
        <f t="shared" si="104"/>
        <v>0</v>
      </c>
      <c r="V1106" s="126">
        <f t="shared" si="105"/>
        <v>0</v>
      </c>
      <c r="W1106" s="92">
        <f t="shared" si="106"/>
        <v>0</v>
      </c>
      <c r="Y1106" s="210"/>
    </row>
    <row r="1107" spans="1:25" ht="14.4" customHeight="1" thickBot="1" x14ac:dyDescent="0.3">
      <c r="A1107" s="149"/>
      <c r="J1107" s="130">
        <v>1</v>
      </c>
      <c r="K1107" s="132">
        <f t="shared" si="102"/>
        <v>0</v>
      </c>
      <c r="M1107" s="132">
        <v>1</v>
      </c>
      <c r="N1107" s="132">
        <f t="shared" si="103"/>
        <v>0</v>
      </c>
      <c r="P1107" s="132">
        <v>1</v>
      </c>
      <c r="Q1107" s="132">
        <f t="shared" si="107"/>
        <v>0</v>
      </c>
      <c r="S1107" s="132">
        <v>1</v>
      </c>
      <c r="T1107" s="132">
        <f t="shared" si="104"/>
        <v>0</v>
      </c>
      <c r="V1107" s="126">
        <f t="shared" si="105"/>
        <v>0</v>
      </c>
      <c r="W1107" s="92">
        <f t="shared" si="106"/>
        <v>0</v>
      </c>
      <c r="Y1107" s="210"/>
    </row>
    <row r="1108" spans="1:25" ht="14.4" customHeight="1" thickBot="1" x14ac:dyDescent="0.3">
      <c r="A1108" s="149"/>
      <c r="J1108" s="130">
        <v>1</v>
      </c>
      <c r="K1108" s="132">
        <f t="shared" si="102"/>
        <v>0</v>
      </c>
      <c r="M1108" s="132">
        <v>1</v>
      </c>
      <c r="N1108" s="132">
        <f t="shared" si="103"/>
        <v>0</v>
      </c>
      <c r="P1108" s="132">
        <v>1</v>
      </c>
      <c r="Q1108" s="132">
        <f t="shared" si="107"/>
        <v>0</v>
      </c>
      <c r="S1108" s="132">
        <v>1</v>
      </c>
      <c r="T1108" s="132">
        <f t="shared" si="104"/>
        <v>0</v>
      </c>
      <c r="V1108" s="126">
        <f t="shared" si="105"/>
        <v>0</v>
      </c>
      <c r="W1108" s="92">
        <f t="shared" si="106"/>
        <v>0</v>
      </c>
      <c r="Y1108" s="210"/>
    </row>
    <row r="1109" spans="1:25" ht="14.4" customHeight="1" thickBot="1" x14ac:dyDescent="0.3">
      <c r="A1109" s="149"/>
      <c r="J1109" s="130">
        <v>1</v>
      </c>
      <c r="K1109" s="132">
        <f t="shared" si="102"/>
        <v>0</v>
      </c>
      <c r="M1109" s="132">
        <v>1</v>
      </c>
      <c r="N1109" s="132">
        <f t="shared" si="103"/>
        <v>0</v>
      </c>
      <c r="P1109" s="132">
        <v>1</v>
      </c>
      <c r="Q1109" s="132">
        <f t="shared" si="107"/>
        <v>0</v>
      </c>
      <c r="S1109" s="132">
        <v>1</v>
      </c>
      <c r="T1109" s="132">
        <f t="shared" si="104"/>
        <v>0</v>
      </c>
      <c r="V1109" s="126">
        <f t="shared" si="105"/>
        <v>0</v>
      </c>
      <c r="W1109" s="92">
        <f t="shared" si="106"/>
        <v>0</v>
      </c>
      <c r="Y1109" s="210"/>
    </row>
    <row r="1110" spans="1:25" ht="14.4" customHeight="1" thickBot="1" x14ac:dyDescent="0.3">
      <c r="A1110" s="149"/>
      <c r="J1110" s="130">
        <v>1</v>
      </c>
      <c r="K1110" s="132">
        <f t="shared" si="102"/>
        <v>0</v>
      </c>
      <c r="M1110" s="132">
        <v>1</v>
      </c>
      <c r="N1110" s="132">
        <f t="shared" si="103"/>
        <v>0</v>
      </c>
      <c r="P1110" s="132">
        <v>1</v>
      </c>
      <c r="Q1110" s="132">
        <f t="shared" si="107"/>
        <v>0</v>
      </c>
      <c r="S1110" s="132">
        <v>1</v>
      </c>
      <c r="T1110" s="132">
        <f t="shared" si="104"/>
        <v>0</v>
      </c>
      <c r="V1110" s="126">
        <f t="shared" si="105"/>
        <v>0</v>
      </c>
      <c r="W1110" s="92">
        <f t="shared" si="106"/>
        <v>0</v>
      </c>
      <c r="Y1110" s="210"/>
    </row>
    <row r="1111" spans="1:25" ht="14.4" customHeight="1" thickBot="1" x14ac:dyDescent="0.3">
      <c r="A1111" s="149"/>
      <c r="J1111" s="130">
        <v>1</v>
      </c>
      <c r="K1111" s="132">
        <f t="shared" si="102"/>
        <v>0</v>
      </c>
      <c r="M1111" s="132">
        <v>1</v>
      </c>
      <c r="N1111" s="132">
        <f t="shared" si="103"/>
        <v>0</v>
      </c>
      <c r="P1111" s="132">
        <v>1</v>
      </c>
      <c r="Q1111" s="132">
        <f t="shared" si="107"/>
        <v>0</v>
      </c>
      <c r="S1111" s="132">
        <v>1</v>
      </c>
      <c r="T1111" s="132">
        <f t="shared" si="104"/>
        <v>0</v>
      </c>
      <c r="V1111" s="126">
        <f t="shared" si="105"/>
        <v>0</v>
      </c>
      <c r="W1111" s="92">
        <f t="shared" si="106"/>
        <v>0</v>
      </c>
      <c r="Y1111" s="210"/>
    </row>
    <row r="1112" spans="1:25" ht="14.4" customHeight="1" thickBot="1" x14ac:dyDescent="0.3">
      <c r="A1112" s="149"/>
      <c r="J1112" s="130">
        <v>1</v>
      </c>
      <c r="K1112" s="132">
        <f t="shared" si="102"/>
        <v>0</v>
      </c>
      <c r="M1112" s="132">
        <v>1</v>
      </c>
      <c r="N1112" s="132">
        <f t="shared" si="103"/>
        <v>0</v>
      </c>
      <c r="P1112" s="132">
        <v>1</v>
      </c>
      <c r="Q1112" s="132">
        <f t="shared" si="107"/>
        <v>0</v>
      </c>
      <c r="S1112" s="132">
        <v>1</v>
      </c>
      <c r="T1112" s="132">
        <f t="shared" si="104"/>
        <v>0</v>
      </c>
      <c r="V1112" s="126">
        <f t="shared" si="105"/>
        <v>0</v>
      </c>
      <c r="W1112" s="92">
        <f t="shared" si="106"/>
        <v>0</v>
      </c>
      <c r="Y1112" s="210"/>
    </row>
    <row r="1113" spans="1:25" ht="14.4" customHeight="1" thickBot="1" x14ac:dyDescent="0.3">
      <c r="A1113" s="149"/>
      <c r="J1113" s="130">
        <v>1</v>
      </c>
      <c r="K1113" s="132">
        <f t="shared" si="102"/>
        <v>0</v>
      </c>
      <c r="M1113" s="132">
        <v>1</v>
      </c>
      <c r="N1113" s="132">
        <f t="shared" si="103"/>
        <v>0</v>
      </c>
      <c r="P1113" s="132">
        <v>1</v>
      </c>
      <c r="Q1113" s="132">
        <f t="shared" si="107"/>
        <v>0</v>
      </c>
      <c r="S1113" s="132">
        <v>1</v>
      </c>
      <c r="T1113" s="132">
        <f t="shared" si="104"/>
        <v>0</v>
      </c>
      <c r="V1113" s="126">
        <f t="shared" si="105"/>
        <v>0</v>
      </c>
      <c r="W1113" s="92">
        <f t="shared" si="106"/>
        <v>0</v>
      </c>
      <c r="Y1113" s="210"/>
    </row>
    <row r="1114" spans="1:25" ht="14.4" customHeight="1" thickBot="1" x14ac:dyDescent="0.3">
      <c r="A1114" s="149"/>
      <c r="J1114" s="130">
        <v>1</v>
      </c>
      <c r="K1114" s="132">
        <f t="shared" si="102"/>
        <v>0</v>
      </c>
      <c r="M1114" s="132">
        <v>1</v>
      </c>
      <c r="N1114" s="132">
        <f t="shared" si="103"/>
        <v>0</v>
      </c>
      <c r="P1114" s="132">
        <v>1</v>
      </c>
      <c r="Q1114" s="132">
        <f t="shared" si="107"/>
        <v>0</v>
      </c>
      <c r="S1114" s="132">
        <v>1</v>
      </c>
      <c r="T1114" s="132">
        <f t="shared" si="104"/>
        <v>0</v>
      </c>
      <c r="V1114" s="126">
        <f t="shared" si="105"/>
        <v>0</v>
      </c>
      <c r="W1114" s="92">
        <f t="shared" si="106"/>
        <v>0</v>
      </c>
      <c r="Y1114" s="210"/>
    </row>
    <row r="1115" spans="1:25" ht="14.4" customHeight="1" thickBot="1" x14ac:dyDescent="0.3">
      <c r="A1115" s="149"/>
      <c r="J1115" s="130">
        <v>1</v>
      </c>
      <c r="K1115" s="132">
        <f t="shared" si="102"/>
        <v>0</v>
      </c>
      <c r="M1115" s="132">
        <v>1</v>
      </c>
      <c r="N1115" s="132">
        <f t="shared" si="103"/>
        <v>0</v>
      </c>
      <c r="P1115" s="132">
        <v>1</v>
      </c>
      <c r="Q1115" s="132">
        <f t="shared" si="107"/>
        <v>0</v>
      </c>
      <c r="S1115" s="132">
        <v>1</v>
      </c>
      <c r="T1115" s="132">
        <f t="shared" si="104"/>
        <v>0</v>
      </c>
      <c r="V1115" s="126">
        <f t="shared" si="105"/>
        <v>0</v>
      </c>
      <c r="W1115" s="92">
        <f t="shared" si="106"/>
        <v>0</v>
      </c>
      <c r="Y1115" s="210"/>
    </row>
    <row r="1116" spans="1:25" ht="14.4" customHeight="1" thickBot="1" x14ac:dyDescent="0.3">
      <c r="A1116" s="149"/>
      <c r="J1116" s="130">
        <v>1</v>
      </c>
      <c r="K1116" s="132">
        <f t="shared" si="102"/>
        <v>0</v>
      </c>
      <c r="M1116" s="132">
        <v>1</v>
      </c>
      <c r="N1116" s="132">
        <f t="shared" si="103"/>
        <v>0</v>
      </c>
      <c r="P1116" s="132">
        <v>1</v>
      </c>
      <c r="Q1116" s="132">
        <f t="shared" si="107"/>
        <v>0</v>
      </c>
      <c r="S1116" s="132">
        <v>1</v>
      </c>
      <c r="T1116" s="132">
        <f t="shared" si="104"/>
        <v>0</v>
      </c>
      <c r="V1116" s="126">
        <f t="shared" si="105"/>
        <v>0</v>
      </c>
      <c r="W1116" s="92">
        <f t="shared" si="106"/>
        <v>0</v>
      </c>
      <c r="Y1116" s="210"/>
    </row>
    <row r="1117" spans="1:25" ht="14.4" customHeight="1" thickBot="1" x14ac:dyDescent="0.3">
      <c r="A1117" s="149"/>
      <c r="J1117" s="130">
        <v>1</v>
      </c>
      <c r="K1117" s="132">
        <f t="shared" si="102"/>
        <v>0</v>
      </c>
      <c r="M1117" s="132">
        <v>1</v>
      </c>
      <c r="N1117" s="132">
        <f t="shared" si="103"/>
        <v>0</v>
      </c>
      <c r="P1117" s="132">
        <v>1</v>
      </c>
      <c r="Q1117" s="132">
        <f t="shared" si="107"/>
        <v>0</v>
      </c>
      <c r="S1117" s="132">
        <v>1</v>
      </c>
      <c r="T1117" s="132">
        <f t="shared" si="104"/>
        <v>0</v>
      </c>
      <c r="V1117" s="126">
        <f t="shared" si="105"/>
        <v>0</v>
      </c>
      <c r="W1117" s="92">
        <f t="shared" si="106"/>
        <v>0</v>
      </c>
      <c r="Y1117" s="210"/>
    </row>
    <row r="1118" spans="1:25" ht="14.4" customHeight="1" thickBot="1" x14ac:dyDescent="0.3">
      <c r="A1118" s="149"/>
      <c r="J1118" s="130">
        <v>1</v>
      </c>
      <c r="K1118" s="132">
        <f t="shared" si="102"/>
        <v>0</v>
      </c>
      <c r="M1118" s="132">
        <v>1</v>
      </c>
      <c r="N1118" s="132">
        <f t="shared" si="103"/>
        <v>0</v>
      </c>
      <c r="P1118" s="132">
        <v>1</v>
      </c>
      <c r="Q1118" s="132">
        <f t="shared" si="107"/>
        <v>0</v>
      </c>
      <c r="S1118" s="132">
        <v>1</v>
      </c>
      <c r="T1118" s="132">
        <f t="shared" si="104"/>
        <v>0</v>
      </c>
      <c r="V1118" s="126">
        <f t="shared" si="105"/>
        <v>0</v>
      </c>
      <c r="W1118" s="92">
        <f t="shared" si="106"/>
        <v>0</v>
      </c>
      <c r="Y1118" s="210"/>
    </row>
    <row r="1119" spans="1:25" ht="14.4" customHeight="1" thickBot="1" x14ac:dyDescent="0.3">
      <c r="A1119" s="149"/>
      <c r="J1119" s="130">
        <v>1</v>
      </c>
      <c r="K1119" s="132">
        <f t="shared" si="102"/>
        <v>0</v>
      </c>
      <c r="M1119" s="132">
        <v>1</v>
      </c>
      <c r="N1119" s="132">
        <f t="shared" si="103"/>
        <v>0</v>
      </c>
      <c r="P1119" s="132">
        <v>1</v>
      </c>
      <c r="Q1119" s="132">
        <f t="shared" si="107"/>
        <v>0</v>
      </c>
      <c r="S1119" s="132">
        <v>1</v>
      </c>
      <c r="T1119" s="132">
        <f t="shared" si="104"/>
        <v>0</v>
      </c>
      <c r="V1119" s="126">
        <f t="shared" si="105"/>
        <v>0</v>
      </c>
      <c r="W1119" s="92">
        <f t="shared" si="106"/>
        <v>0</v>
      </c>
      <c r="Y1119" s="210"/>
    </row>
    <row r="1120" spans="1:25" ht="14.4" customHeight="1" thickBot="1" x14ac:dyDescent="0.3">
      <c r="A1120" s="149"/>
      <c r="J1120" s="130">
        <v>1</v>
      </c>
      <c r="K1120" s="132">
        <f t="shared" si="102"/>
        <v>0</v>
      </c>
      <c r="M1120" s="132">
        <v>1</v>
      </c>
      <c r="N1120" s="132">
        <f t="shared" si="103"/>
        <v>0</v>
      </c>
      <c r="P1120" s="132">
        <v>1</v>
      </c>
      <c r="Q1120" s="132">
        <f t="shared" si="107"/>
        <v>0</v>
      </c>
      <c r="S1120" s="132">
        <v>1</v>
      </c>
      <c r="T1120" s="132">
        <f t="shared" si="104"/>
        <v>0</v>
      </c>
      <c r="V1120" s="126">
        <f t="shared" si="105"/>
        <v>0</v>
      </c>
      <c r="W1120" s="92">
        <f t="shared" si="106"/>
        <v>0</v>
      </c>
      <c r="Y1120" s="210"/>
    </row>
    <row r="1121" spans="1:25" ht="14.4" customHeight="1" thickBot="1" x14ac:dyDescent="0.3">
      <c r="A1121" s="149"/>
      <c r="J1121" s="130">
        <v>1</v>
      </c>
      <c r="K1121" s="132">
        <f t="shared" si="102"/>
        <v>0</v>
      </c>
      <c r="M1121" s="132">
        <v>1</v>
      </c>
      <c r="N1121" s="132">
        <f t="shared" si="103"/>
        <v>0</v>
      </c>
      <c r="P1121" s="132">
        <v>1</v>
      </c>
      <c r="Q1121" s="132">
        <f t="shared" si="107"/>
        <v>0</v>
      </c>
      <c r="S1121" s="132">
        <v>1</v>
      </c>
      <c r="T1121" s="132">
        <f t="shared" si="104"/>
        <v>0</v>
      </c>
      <c r="V1121" s="126">
        <f t="shared" si="105"/>
        <v>0</v>
      </c>
      <c r="W1121" s="92">
        <f t="shared" si="106"/>
        <v>0</v>
      </c>
      <c r="Y1121" s="210"/>
    </row>
    <row r="1122" spans="1:25" ht="14.4" customHeight="1" thickBot="1" x14ac:dyDescent="0.3">
      <c r="A1122" s="149"/>
      <c r="J1122" s="130">
        <v>1</v>
      </c>
      <c r="K1122" s="132">
        <f t="shared" si="102"/>
        <v>0</v>
      </c>
      <c r="M1122" s="132">
        <v>1</v>
      </c>
      <c r="N1122" s="132">
        <f t="shared" si="103"/>
        <v>0</v>
      </c>
      <c r="P1122" s="132">
        <v>1</v>
      </c>
      <c r="Q1122" s="132">
        <f t="shared" si="107"/>
        <v>0</v>
      </c>
      <c r="S1122" s="132">
        <v>1</v>
      </c>
      <c r="T1122" s="132">
        <f t="shared" si="104"/>
        <v>0</v>
      </c>
      <c r="V1122" s="126">
        <f t="shared" si="105"/>
        <v>0</v>
      </c>
      <c r="W1122" s="92">
        <f t="shared" si="106"/>
        <v>0</v>
      </c>
      <c r="Y1122" s="210"/>
    </row>
    <row r="1123" spans="1:25" ht="14.4" customHeight="1" thickBot="1" x14ac:dyDescent="0.3">
      <c r="A1123" s="149"/>
      <c r="J1123" s="130">
        <v>1</v>
      </c>
      <c r="K1123" s="132">
        <f t="shared" si="102"/>
        <v>0</v>
      </c>
      <c r="M1123" s="132">
        <v>1</v>
      </c>
      <c r="N1123" s="132">
        <f t="shared" si="103"/>
        <v>0</v>
      </c>
      <c r="P1123" s="132">
        <v>1</v>
      </c>
      <c r="Q1123" s="132">
        <f t="shared" si="107"/>
        <v>0</v>
      </c>
      <c r="S1123" s="132">
        <v>1</v>
      </c>
      <c r="T1123" s="132">
        <f t="shared" si="104"/>
        <v>0</v>
      </c>
      <c r="V1123" s="126">
        <f t="shared" si="105"/>
        <v>0</v>
      </c>
      <c r="W1123" s="92">
        <f t="shared" si="106"/>
        <v>0</v>
      </c>
      <c r="Y1123" s="210"/>
    </row>
    <row r="1124" spans="1:25" ht="14.4" customHeight="1" thickBot="1" x14ac:dyDescent="0.3">
      <c r="A1124" s="149"/>
      <c r="J1124" s="130">
        <v>1</v>
      </c>
      <c r="K1124" s="132">
        <f t="shared" si="102"/>
        <v>0</v>
      </c>
      <c r="M1124" s="132">
        <v>1</v>
      </c>
      <c r="N1124" s="132">
        <f t="shared" si="103"/>
        <v>0</v>
      </c>
      <c r="P1124" s="132">
        <v>1</v>
      </c>
      <c r="Q1124" s="132">
        <f t="shared" si="107"/>
        <v>0</v>
      </c>
      <c r="S1124" s="132">
        <v>1</v>
      </c>
      <c r="T1124" s="132">
        <f t="shared" si="104"/>
        <v>0</v>
      </c>
      <c r="V1124" s="126">
        <f t="shared" si="105"/>
        <v>0</v>
      </c>
      <c r="W1124" s="92">
        <f t="shared" si="106"/>
        <v>0</v>
      </c>
      <c r="Y1124" s="210"/>
    </row>
    <row r="1125" spans="1:25" ht="14.4" customHeight="1" thickBot="1" x14ac:dyDescent="0.3">
      <c r="A1125" s="149"/>
      <c r="J1125" s="130">
        <v>1</v>
      </c>
      <c r="K1125" s="132">
        <f t="shared" si="102"/>
        <v>0</v>
      </c>
      <c r="M1125" s="132">
        <v>1</v>
      </c>
      <c r="N1125" s="132">
        <f t="shared" si="103"/>
        <v>0</v>
      </c>
      <c r="P1125" s="132">
        <v>1</v>
      </c>
      <c r="Q1125" s="132">
        <f t="shared" si="107"/>
        <v>0</v>
      </c>
      <c r="S1125" s="132">
        <v>1</v>
      </c>
      <c r="T1125" s="132">
        <f t="shared" si="104"/>
        <v>0</v>
      </c>
      <c r="V1125" s="126">
        <f t="shared" si="105"/>
        <v>0</v>
      </c>
      <c r="W1125" s="92">
        <f t="shared" si="106"/>
        <v>0</v>
      </c>
      <c r="Y1125" s="210"/>
    </row>
    <row r="1126" spans="1:25" ht="14.4" customHeight="1" thickBot="1" x14ac:dyDescent="0.3">
      <c r="A1126" s="149"/>
      <c r="J1126" s="130">
        <v>1</v>
      </c>
      <c r="K1126" s="132">
        <f t="shared" si="102"/>
        <v>0</v>
      </c>
      <c r="M1126" s="132">
        <v>1</v>
      </c>
      <c r="N1126" s="132">
        <f t="shared" si="103"/>
        <v>0</v>
      </c>
      <c r="P1126" s="132">
        <v>1</v>
      </c>
      <c r="Q1126" s="132">
        <f t="shared" si="107"/>
        <v>0</v>
      </c>
      <c r="S1126" s="132">
        <v>1</v>
      </c>
      <c r="T1126" s="132">
        <f t="shared" si="104"/>
        <v>0</v>
      </c>
      <c r="V1126" s="126">
        <f t="shared" si="105"/>
        <v>0</v>
      </c>
      <c r="W1126" s="92">
        <f t="shared" si="106"/>
        <v>0</v>
      </c>
      <c r="Y1126" s="210"/>
    </row>
    <row r="1127" spans="1:25" ht="14.4" customHeight="1" thickBot="1" x14ac:dyDescent="0.3">
      <c r="A1127" s="149"/>
      <c r="J1127" s="130">
        <v>1</v>
      </c>
      <c r="K1127" s="132">
        <f t="shared" si="102"/>
        <v>0</v>
      </c>
      <c r="M1127" s="132">
        <v>1</v>
      </c>
      <c r="N1127" s="132">
        <f t="shared" si="103"/>
        <v>0</v>
      </c>
      <c r="P1127" s="132">
        <v>1</v>
      </c>
      <c r="Q1127" s="132">
        <f t="shared" si="107"/>
        <v>0</v>
      </c>
      <c r="S1127" s="132">
        <v>1</v>
      </c>
      <c r="T1127" s="132">
        <f t="shared" si="104"/>
        <v>0</v>
      </c>
      <c r="V1127" s="126">
        <f t="shared" si="105"/>
        <v>0</v>
      </c>
      <c r="W1127" s="92">
        <f t="shared" si="106"/>
        <v>0</v>
      </c>
      <c r="Y1127" s="210"/>
    </row>
    <row r="1128" spans="1:25" ht="14.4" customHeight="1" thickBot="1" x14ac:dyDescent="0.3">
      <c r="A1128" s="149"/>
      <c r="J1128" s="130">
        <v>1</v>
      </c>
      <c r="K1128" s="132">
        <f t="shared" si="102"/>
        <v>0</v>
      </c>
      <c r="M1128" s="132">
        <v>1</v>
      </c>
      <c r="N1128" s="132">
        <f t="shared" si="103"/>
        <v>0</v>
      </c>
      <c r="P1128" s="132">
        <v>1</v>
      </c>
      <c r="Q1128" s="132">
        <f t="shared" si="107"/>
        <v>0</v>
      </c>
      <c r="S1128" s="132">
        <v>1</v>
      </c>
      <c r="T1128" s="132">
        <f t="shared" si="104"/>
        <v>0</v>
      </c>
      <c r="V1128" s="126">
        <f t="shared" si="105"/>
        <v>0</v>
      </c>
      <c r="W1128" s="92">
        <f t="shared" si="106"/>
        <v>0</v>
      </c>
      <c r="Y1128" s="210"/>
    </row>
    <row r="1129" spans="1:25" ht="14.4" customHeight="1" thickBot="1" x14ac:dyDescent="0.3">
      <c r="A1129" s="149"/>
      <c r="J1129" s="130">
        <v>1</v>
      </c>
      <c r="K1129" s="132">
        <f t="shared" si="102"/>
        <v>0</v>
      </c>
      <c r="M1129" s="132">
        <v>1</v>
      </c>
      <c r="N1129" s="132">
        <f t="shared" si="103"/>
        <v>0</v>
      </c>
      <c r="P1129" s="132">
        <v>1</v>
      </c>
      <c r="Q1129" s="132">
        <f t="shared" si="107"/>
        <v>0</v>
      </c>
      <c r="S1129" s="132">
        <v>1</v>
      </c>
      <c r="T1129" s="132">
        <f t="shared" si="104"/>
        <v>0</v>
      </c>
      <c r="V1129" s="126">
        <f t="shared" si="105"/>
        <v>0</v>
      </c>
      <c r="W1129" s="92">
        <f t="shared" si="106"/>
        <v>0</v>
      </c>
      <c r="Y1129" s="210"/>
    </row>
    <row r="1130" spans="1:25" ht="14.4" customHeight="1" thickBot="1" x14ac:dyDescent="0.3">
      <c r="A1130" s="149"/>
      <c r="J1130" s="130">
        <v>1</v>
      </c>
      <c r="K1130" s="132">
        <f t="shared" si="102"/>
        <v>0</v>
      </c>
      <c r="M1130" s="132">
        <v>1</v>
      </c>
      <c r="N1130" s="132">
        <f t="shared" si="103"/>
        <v>0</v>
      </c>
      <c r="P1130" s="132">
        <v>1</v>
      </c>
      <c r="Q1130" s="132">
        <f t="shared" si="107"/>
        <v>0</v>
      </c>
      <c r="S1130" s="132">
        <v>1</v>
      </c>
      <c r="T1130" s="132">
        <f t="shared" si="104"/>
        <v>0</v>
      </c>
      <c r="V1130" s="126">
        <f t="shared" si="105"/>
        <v>0</v>
      </c>
      <c r="W1130" s="92">
        <f t="shared" si="106"/>
        <v>0</v>
      </c>
      <c r="Y1130" s="210"/>
    </row>
    <row r="1131" spans="1:25" ht="14.4" customHeight="1" thickBot="1" x14ac:dyDescent="0.3">
      <c r="A1131" s="149"/>
      <c r="J1131" s="130">
        <v>1</v>
      </c>
      <c r="K1131" s="132">
        <f t="shared" si="102"/>
        <v>0</v>
      </c>
      <c r="M1131" s="132">
        <v>1</v>
      </c>
      <c r="N1131" s="132">
        <f t="shared" si="103"/>
        <v>0</v>
      </c>
      <c r="P1131" s="132">
        <v>1</v>
      </c>
      <c r="Q1131" s="132">
        <f t="shared" si="107"/>
        <v>0</v>
      </c>
      <c r="S1131" s="132">
        <v>1</v>
      </c>
      <c r="T1131" s="132">
        <f t="shared" si="104"/>
        <v>0</v>
      </c>
      <c r="V1131" s="126">
        <f t="shared" si="105"/>
        <v>0</v>
      </c>
      <c r="W1131" s="92">
        <f t="shared" si="106"/>
        <v>0</v>
      </c>
      <c r="Y1131" s="210"/>
    </row>
    <row r="1132" spans="1:25" ht="14.4" customHeight="1" thickBot="1" x14ac:dyDescent="0.3">
      <c r="A1132" s="149"/>
      <c r="J1132" s="130">
        <v>1</v>
      </c>
      <c r="K1132" s="132">
        <f t="shared" si="102"/>
        <v>0</v>
      </c>
      <c r="M1132" s="132">
        <v>1</v>
      </c>
      <c r="N1132" s="132">
        <f t="shared" si="103"/>
        <v>0</v>
      </c>
      <c r="P1132" s="132">
        <v>1</v>
      </c>
      <c r="Q1132" s="132">
        <f t="shared" si="107"/>
        <v>0</v>
      </c>
      <c r="S1132" s="132">
        <v>1</v>
      </c>
      <c r="T1132" s="132">
        <f t="shared" si="104"/>
        <v>0</v>
      </c>
      <c r="V1132" s="126">
        <f t="shared" si="105"/>
        <v>0</v>
      </c>
      <c r="W1132" s="92">
        <f t="shared" si="106"/>
        <v>0</v>
      </c>
      <c r="Y1132" s="210"/>
    </row>
    <row r="1133" spans="1:25" ht="14.4" customHeight="1" thickBot="1" x14ac:dyDescent="0.3">
      <c r="A1133" s="149"/>
      <c r="J1133" s="130">
        <v>1</v>
      </c>
      <c r="K1133" s="132">
        <f t="shared" si="102"/>
        <v>0</v>
      </c>
      <c r="M1133" s="132">
        <v>1</v>
      </c>
      <c r="N1133" s="132">
        <f t="shared" si="103"/>
        <v>0</v>
      </c>
      <c r="P1133" s="132">
        <v>1</v>
      </c>
      <c r="Q1133" s="132">
        <f t="shared" si="107"/>
        <v>0</v>
      </c>
      <c r="S1133" s="132">
        <v>1</v>
      </c>
      <c r="T1133" s="132">
        <f t="shared" si="104"/>
        <v>0</v>
      </c>
      <c r="V1133" s="126">
        <f t="shared" si="105"/>
        <v>0</v>
      </c>
      <c r="W1133" s="92">
        <f t="shared" si="106"/>
        <v>0</v>
      </c>
      <c r="Y1133" s="210"/>
    </row>
    <row r="1134" spans="1:25" ht="14.4" customHeight="1" thickBot="1" x14ac:dyDescent="0.3">
      <c r="A1134" s="149"/>
      <c r="J1134" s="130">
        <v>1</v>
      </c>
      <c r="K1134" s="132">
        <f t="shared" si="102"/>
        <v>0</v>
      </c>
      <c r="M1134" s="132">
        <v>1</v>
      </c>
      <c r="N1134" s="132">
        <f t="shared" si="103"/>
        <v>0</v>
      </c>
      <c r="P1134" s="132">
        <v>1</v>
      </c>
      <c r="Q1134" s="132">
        <f t="shared" si="107"/>
        <v>0</v>
      </c>
      <c r="S1134" s="132">
        <v>1</v>
      </c>
      <c r="T1134" s="132">
        <f t="shared" si="104"/>
        <v>0</v>
      </c>
      <c r="V1134" s="126">
        <f t="shared" si="105"/>
        <v>0</v>
      </c>
      <c r="W1134" s="92">
        <f t="shared" si="106"/>
        <v>0</v>
      </c>
      <c r="Y1134" s="210"/>
    </row>
    <row r="1135" spans="1:25" ht="14.4" customHeight="1" thickBot="1" x14ac:dyDescent="0.3">
      <c r="A1135" s="149"/>
      <c r="J1135" s="130">
        <v>1</v>
      </c>
      <c r="K1135" s="132">
        <f t="shared" si="102"/>
        <v>0</v>
      </c>
      <c r="M1135" s="132">
        <v>1</v>
      </c>
      <c r="N1135" s="132">
        <f t="shared" si="103"/>
        <v>0</v>
      </c>
      <c r="P1135" s="132">
        <v>1</v>
      </c>
      <c r="Q1135" s="132">
        <f t="shared" si="107"/>
        <v>0</v>
      </c>
      <c r="S1135" s="132">
        <v>1</v>
      </c>
      <c r="T1135" s="132">
        <f t="shared" si="104"/>
        <v>0</v>
      </c>
      <c r="V1135" s="126">
        <f t="shared" si="105"/>
        <v>0</v>
      </c>
      <c r="W1135" s="92">
        <f t="shared" si="106"/>
        <v>0</v>
      </c>
      <c r="Y1135" s="210"/>
    </row>
    <row r="1136" spans="1:25" ht="14.4" customHeight="1" thickBot="1" x14ac:dyDescent="0.3">
      <c r="A1136" s="149"/>
      <c r="J1136" s="130">
        <v>1</v>
      </c>
      <c r="K1136" s="132">
        <f t="shared" si="102"/>
        <v>0</v>
      </c>
      <c r="M1136" s="132">
        <v>1</v>
      </c>
      <c r="N1136" s="132">
        <f t="shared" si="103"/>
        <v>0</v>
      </c>
      <c r="P1136" s="132">
        <v>1</v>
      </c>
      <c r="Q1136" s="132">
        <f t="shared" si="107"/>
        <v>0</v>
      </c>
      <c r="S1136" s="132">
        <v>1</v>
      </c>
      <c r="T1136" s="132">
        <f t="shared" si="104"/>
        <v>0</v>
      </c>
      <c r="V1136" s="126">
        <f t="shared" si="105"/>
        <v>0</v>
      </c>
      <c r="W1136" s="92">
        <f t="shared" si="106"/>
        <v>0</v>
      </c>
      <c r="Y1136" s="210"/>
    </row>
    <row r="1137" spans="1:25" ht="14.4" customHeight="1" thickBot="1" x14ac:dyDescent="0.3">
      <c r="A1137" s="149"/>
      <c r="J1137" s="130">
        <v>1</v>
      </c>
      <c r="K1137" s="132">
        <f t="shared" si="102"/>
        <v>0</v>
      </c>
      <c r="M1137" s="132">
        <v>1</v>
      </c>
      <c r="N1137" s="132">
        <f t="shared" si="103"/>
        <v>0</v>
      </c>
      <c r="P1137" s="132">
        <v>1</v>
      </c>
      <c r="Q1137" s="132">
        <f t="shared" si="107"/>
        <v>0</v>
      </c>
      <c r="S1137" s="132">
        <v>1</v>
      </c>
      <c r="T1137" s="132">
        <f t="shared" si="104"/>
        <v>0</v>
      </c>
      <c r="V1137" s="126">
        <f t="shared" si="105"/>
        <v>0</v>
      </c>
      <c r="W1137" s="92">
        <f t="shared" si="106"/>
        <v>0</v>
      </c>
      <c r="Y1137" s="210"/>
    </row>
    <row r="1138" spans="1:25" ht="14.4" customHeight="1" thickBot="1" x14ac:dyDescent="0.3">
      <c r="A1138" s="149"/>
      <c r="J1138" s="130">
        <v>1</v>
      </c>
      <c r="K1138" s="132">
        <f t="shared" si="102"/>
        <v>0</v>
      </c>
      <c r="M1138" s="132">
        <v>1</v>
      </c>
      <c r="N1138" s="132">
        <f t="shared" si="103"/>
        <v>0</v>
      </c>
      <c r="P1138" s="132">
        <v>1</v>
      </c>
      <c r="Q1138" s="132">
        <f t="shared" si="107"/>
        <v>0</v>
      </c>
      <c r="S1138" s="132">
        <v>1</v>
      </c>
      <c r="T1138" s="132">
        <f t="shared" si="104"/>
        <v>0</v>
      </c>
      <c r="V1138" s="126">
        <f t="shared" si="105"/>
        <v>0</v>
      </c>
      <c r="W1138" s="92">
        <f t="shared" si="106"/>
        <v>0</v>
      </c>
      <c r="Y1138" s="210"/>
    </row>
    <row r="1139" spans="1:25" ht="14.4" customHeight="1" thickBot="1" x14ac:dyDescent="0.3">
      <c r="A1139" s="149"/>
      <c r="J1139" s="130">
        <v>1</v>
      </c>
      <c r="K1139" s="132">
        <f t="shared" si="102"/>
        <v>0</v>
      </c>
      <c r="M1139" s="132">
        <v>1</v>
      </c>
      <c r="N1139" s="132">
        <f t="shared" si="103"/>
        <v>0</v>
      </c>
      <c r="P1139" s="132">
        <v>1</v>
      </c>
      <c r="Q1139" s="132">
        <f t="shared" si="107"/>
        <v>0</v>
      </c>
      <c r="S1139" s="132">
        <v>1</v>
      </c>
      <c r="T1139" s="132">
        <f t="shared" si="104"/>
        <v>0</v>
      </c>
      <c r="V1139" s="126">
        <f t="shared" si="105"/>
        <v>0</v>
      </c>
      <c r="W1139" s="92">
        <f t="shared" si="106"/>
        <v>0</v>
      </c>
      <c r="Y1139" s="210"/>
    </row>
    <row r="1140" spans="1:25" ht="14.4" customHeight="1" thickBot="1" x14ac:dyDescent="0.3">
      <c r="A1140" s="149"/>
      <c r="J1140" s="130">
        <v>1</v>
      </c>
      <c r="K1140" s="132">
        <f t="shared" si="102"/>
        <v>0</v>
      </c>
      <c r="M1140" s="132">
        <v>1</v>
      </c>
      <c r="N1140" s="132">
        <f t="shared" si="103"/>
        <v>0</v>
      </c>
      <c r="P1140" s="132">
        <v>1</v>
      </c>
      <c r="Q1140" s="132">
        <f t="shared" si="107"/>
        <v>0</v>
      </c>
      <c r="S1140" s="132">
        <v>1</v>
      </c>
      <c r="T1140" s="132">
        <f t="shared" si="104"/>
        <v>0</v>
      </c>
      <c r="V1140" s="126">
        <f t="shared" si="105"/>
        <v>0</v>
      </c>
      <c r="W1140" s="92">
        <f t="shared" si="106"/>
        <v>0</v>
      </c>
      <c r="Y1140" s="210"/>
    </row>
    <row r="1141" spans="1:25" ht="14.4" customHeight="1" thickBot="1" x14ac:dyDescent="0.3">
      <c r="A1141" s="149"/>
      <c r="J1141" s="130">
        <v>1</v>
      </c>
      <c r="K1141" s="132">
        <f t="shared" si="102"/>
        <v>0</v>
      </c>
      <c r="M1141" s="132">
        <v>1</v>
      </c>
      <c r="N1141" s="132">
        <f t="shared" si="103"/>
        <v>0</v>
      </c>
      <c r="P1141" s="132">
        <v>1</v>
      </c>
      <c r="Q1141" s="132">
        <f t="shared" si="107"/>
        <v>0</v>
      </c>
      <c r="S1141" s="132">
        <v>1</v>
      </c>
      <c r="T1141" s="132">
        <f t="shared" si="104"/>
        <v>0</v>
      </c>
      <c r="V1141" s="126">
        <f t="shared" si="105"/>
        <v>0</v>
      </c>
      <c r="W1141" s="92">
        <f t="shared" si="106"/>
        <v>0</v>
      </c>
      <c r="Y1141" s="210"/>
    </row>
    <row r="1142" spans="1:25" ht="14.4" customHeight="1" thickBot="1" x14ac:dyDescent="0.3">
      <c r="A1142" s="149"/>
      <c r="J1142" s="130">
        <v>1</v>
      </c>
      <c r="K1142" s="132">
        <f t="shared" si="102"/>
        <v>0</v>
      </c>
      <c r="M1142" s="132">
        <v>1</v>
      </c>
      <c r="N1142" s="132">
        <f t="shared" si="103"/>
        <v>0</v>
      </c>
      <c r="P1142" s="132">
        <v>1</v>
      </c>
      <c r="Q1142" s="132">
        <f t="shared" si="107"/>
        <v>0</v>
      </c>
      <c r="S1142" s="132">
        <v>1</v>
      </c>
      <c r="T1142" s="132">
        <f t="shared" si="104"/>
        <v>0</v>
      </c>
      <c r="V1142" s="126">
        <f t="shared" si="105"/>
        <v>0</v>
      </c>
      <c r="W1142" s="92">
        <f t="shared" si="106"/>
        <v>0</v>
      </c>
      <c r="Y1142" s="210"/>
    </row>
    <row r="1143" spans="1:25" ht="14.4" customHeight="1" thickBot="1" x14ac:dyDescent="0.3">
      <c r="A1143" s="149"/>
      <c r="J1143" s="130">
        <v>1</v>
      </c>
      <c r="K1143" s="132">
        <f t="shared" si="102"/>
        <v>0</v>
      </c>
      <c r="M1143" s="132">
        <v>1</v>
      </c>
      <c r="N1143" s="132">
        <f t="shared" si="103"/>
        <v>0</v>
      </c>
      <c r="P1143" s="132">
        <v>1</v>
      </c>
      <c r="Q1143" s="132">
        <f t="shared" si="107"/>
        <v>0</v>
      </c>
      <c r="S1143" s="132">
        <v>1</v>
      </c>
      <c r="T1143" s="132">
        <f t="shared" si="104"/>
        <v>0</v>
      </c>
      <c r="V1143" s="126">
        <f t="shared" si="105"/>
        <v>0</v>
      </c>
      <c r="W1143" s="92">
        <f t="shared" si="106"/>
        <v>0</v>
      </c>
      <c r="Y1143" s="210"/>
    </row>
    <row r="1144" spans="1:25" ht="14.4" customHeight="1" thickBot="1" x14ac:dyDescent="0.3">
      <c r="A1144" s="149"/>
      <c r="J1144" s="130">
        <v>1</v>
      </c>
      <c r="K1144" s="132">
        <f t="shared" si="102"/>
        <v>0</v>
      </c>
      <c r="M1144" s="132">
        <v>1</v>
      </c>
      <c r="N1144" s="132">
        <f t="shared" si="103"/>
        <v>0</v>
      </c>
      <c r="P1144" s="132">
        <v>1</v>
      </c>
      <c r="Q1144" s="132">
        <f t="shared" si="107"/>
        <v>0</v>
      </c>
      <c r="S1144" s="132">
        <v>1</v>
      </c>
      <c r="T1144" s="132">
        <f t="shared" si="104"/>
        <v>0</v>
      </c>
      <c r="V1144" s="126">
        <f t="shared" si="105"/>
        <v>0</v>
      </c>
      <c r="W1144" s="92">
        <f t="shared" si="106"/>
        <v>0</v>
      </c>
      <c r="Y1144" s="210"/>
    </row>
    <row r="1145" spans="1:25" ht="14.4" customHeight="1" thickBot="1" x14ac:dyDescent="0.3">
      <c r="A1145" s="149"/>
      <c r="J1145" s="130">
        <v>1</v>
      </c>
      <c r="K1145" s="132">
        <f t="shared" si="102"/>
        <v>0</v>
      </c>
      <c r="M1145" s="132">
        <v>1</v>
      </c>
      <c r="N1145" s="132">
        <f t="shared" si="103"/>
        <v>0</v>
      </c>
      <c r="P1145" s="132">
        <v>1</v>
      </c>
      <c r="Q1145" s="132">
        <f t="shared" si="107"/>
        <v>0</v>
      </c>
      <c r="S1145" s="132">
        <v>1</v>
      </c>
      <c r="T1145" s="132">
        <f t="shared" si="104"/>
        <v>0</v>
      </c>
      <c r="V1145" s="126">
        <f t="shared" si="105"/>
        <v>0</v>
      </c>
      <c r="W1145" s="92">
        <f t="shared" si="106"/>
        <v>0</v>
      </c>
      <c r="Y1145" s="210"/>
    </row>
    <row r="1146" spans="1:25" ht="14.4" customHeight="1" thickBot="1" x14ac:dyDescent="0.3">
      <c r="A1146" s="149"/>
      <c r="J1146" s="130">
        <v>1</v>
      </c>
      <c r="K1146" s="132">
        <f t="shared" si="102"/>
        <v>0</v>
      </c>
      <c r="M1146" s="132">
        <v>1</v>
      </c>
      <c r="N1146" s="132">
        <f t="shared" si="103"/>
        <v>0</v>
      </c>
      <c r="P1146" s="132">
        <v>1</v>
      </c>
      <c r="Q1146" s="132">
        <f t="shared" si="107"/>
        <v>0</v>
      </c>
      <c r="S1146" s="132">
        <v>1</v>
      </c>
      <c r="T1146" s="132">
        <f t="shared" si="104"/>
        <v>0</v>
      </c>
      <c r="V1146" s="126">
        <f t="shared" si="105"/>
        <v>0</v>
      </c>
      <c r="W1146" s="92">
        <f t="shared" si="106"/>
        <v>0</v>
      </c>
      <c r="Y1146" s="210"/>
    </row>
    <row r="1147" spans="1:25" ht="14.4" customHeight="1" thickBot="1" x14ac:dyDescent="0.3">
      <c r="A1147" s="149"/>
      <c r="J1147" s="130">
        <v>1</v>
      </c>
      <c r="K1147" s="132">
        <f t="shared" si="102"/>
        <v>0</v>
      </c>
      <c r="M1147" s="132">
        <v>1</v>
      </c>
      <c r="N1147" s="132">
        <f t="shared" si="103"/>
        <v>0</v>
      </c>
      <c r="P1147" s="132">
        <v>1</v>
      </c>
      <c r="Q1147" s="132">
        <f t="shared" si="107"/>
        <v>0</v>
      </c>
      <c r="S1147" s="132">
        <v>1</v>
      </c>
      <c r="T1147" s="132">
        <f t="shared" si="104"/>
        <v>0</v>
      </c>
      <c r="V1147" s="126">
        <f t="shared" si="105"/>
        <v>0</v>
      </c>
      <c r="W1147" s="92">
        <f t="shared" si="106"/>
        <v>0</v>
      </c>
      <c r="Y1147" s="210"/>
    </row>
    <row r="1148" spans="1:25" ht="14.4" customHeight="1" thickBot="1" x14ac:dyDescent="0.3">
      <c r="A1148" s="149"/>
      <c r="J1148" s="130">
        <v>1</v>
      </c>
      <c r="K1148" s="132">
        <f t="shared" si="102"/>
        <v>0</v>
      </c>
      <c r="M1148" s="132">
        <v>1</v>
      </c>
      <c r="N1148" s="132">
        <f t="shared" si="103"/>
        <v>0</v>
      </c>
      <c r="P1148" s="132">
        <v>1</v>
      </c>
      <c r="Q1148" s="132">
        <f t="shared" si="107"/>
        <v>0</v>
      </c>
      <c r="S1148" s="132">
        <v>1</v>
      </c>
      <c r="T1148" s="132">
        <f t="shared" si="104"/>
        <v>0</v>
      </c>
      <c r="V1148" s="126">
        <f t="shared" si="105"/>
        <v>0</v>
      </c>
      <c r="W1148" s="92">
        <f t="shared" si="106"/>
        <v>0</v>
      </c>
      <c r="Y1148" s="210"/>
    </row>
    <row r="1149" spans="1:25" ht="14.4" customHeight="1" thickBot="1" x14ac:dyDescent="0.3">
      <c r="A1149" s="149"/>
      <c r="J1149" s="130">
        <v>1</v>
      </c>
      <c r="K1149" s="132">
        <f t="shared" si="102"/>
        <v>0</v>
      </c>
      <c r="M1149" s="132">
        <v>1</v>
      </c>
      <c r="N1149" s="132">
        <f t="shared" si="103"/>
        <v>0</v>
      </c>
      <c r="P1149" s="132">
        <v>1</v>
      </c>
      <c r="Q1149" s="132">
        <f t="shared" si="107"/>
        <v>0</v>
      </c>
      <c r="S1149" s="132">
        <v>1</v>
      </c>
      <c r="T1149" s="132">
        <f t="shared" si="104"/>
        <v>0</v>
      </c>
      <c r="V1149" s="126">
        <f t="shared" si="105"/>
        <v>0</v>
      </c>
      <c r="W1149" s="92">
        <f t="shared" si="106"/>
        <v>0</v>
      </c>
      <c r="Y1149" s="210"/>
    </row>
    <row r="1150" spans="1:25" ht="14.4" customHeight="1" thickBot="1" x14ac:dyDescent="0.3">
      <c r="A1150" s="149"/>
      <c r="J1150" s="130">
        <v>1</v>
      </c>
      <c r="K1150" s="132">
        <f t="shared" si="102"/>
        <v>0</v>
      </c>
      <c r="M1150" s="132">
        <v>1</v>
      </c>
      <c r="N1150" s="132">
        <f t="shared" si="103"/>
        <v>0</v>
      </c>
      <c r="P1150" s="132">
        <v>1</v>
      </c>
      <c r="Q1150" s="132">
        <f t="shared" si="107"/>
        <v>0</v>
      </c>
      <c r="S1150" s="132">
        <v>1</v>
      </c>
      <c r="T1150" s="132">
        <f t="shared" si="104"/>
        <v>0</v>
      </c>
      <c r="V1150" s="126">
        <f t="shared" si="105"/>
        <v>0</v>
      </c>
      <c r="W1150" s="92">
        <f t="shared" si="106"/>
        <v>0</v>
      </c>
      <c r="Y1150" s="210"/>
    </row>
    <row r="1151" spans="1:25" ht="14.4" customHeight="1" thickBot="1" x14ac:dyDescent="0.3">
      <c r="A1151" s="149"/>
      <c r="J1151" s="130">
        <v>1</v>
      </c>
      <c r="K1151" s="132">
        <f t="shared" si="102"/>
        <v>0</v>
      </c>
      <c r="M1151" s="132">
        <v>1</v>
      </c>
      <c r="N1151" s="132">
        <f t="shared" si="103"/>
        <v>0</v>
      </c>
      <c r="P1151" s="132">
        <v>1</v>
      </c>
      <c r="Q1151" s="132">
        <f t="shared" si="107"/>
        <v>0</v>
      </c>
      <c r="S1151" s="132">
        <v>1</v>
      </c>
      <c r="T1151" s="132">
        <f t="shared" si="104"/>
        <v>0</v>
      </c>
      <c r="V1151" s="126">
        <f t="shared" si="105"/>
        <v>0</v>
      </c>
      <c r="W1151" s="92">
        <f t="shared" si="106"/>
        <v>0</v>
      </c>
      <c r="Y1151" s="210"/>
    </row>
    <row r="1152" spans="1:25" ht="14.4" customHeight="1" thickBot="1" x14ac:dyDescent="0.3">
      <c r="A1152" s="149"/>
      <c r="J1152" s="130">
        <v>1</v>
      </c>
      <c r="K1152" s="132">
        <f t="shared" si="102"/>
        <v>0</v>
      </c>
      <c r="M1152" s="132">
        <v>1</v>
      </c>
      <c r="N1152" s="132">
        <f t="shared" si="103"/>
        <v>0</v>
      </c>
      <c r="P1152" s="132">
        <v>1</v>
      </c>
      <c r="Q1152" s="132">
        <f t="shared" si="107"/>
        <v>0</v>
      </c>
      <c r="S1152" s="132">
        <v>1</v>
      </c>
      <c r="T1152" s="132">
        <f t="shared" si="104"/>
        <v>0</v>
      </c>
      <c r="V1152" s="126">
        <f t="shared" si="105"/>
        <v>0</v>
      </c>
      <c r="W1152" s="92">
        <f t="shared" si="106"/>
        <v>0</v>
      </c>
      <c r="Y1152" s="210"/>
    </row>
    <row r="1153" spans="1:25" ht="14.4" customHeight="1" thickBot="1" x14ac:dyDescent="0.3">
      <c r="A1153" s="149"/>
      <c r="J1153" s="130">
        <v>1</v>
      </c>
      <c r="K1153" s="132">
        <f t="shared" si="102"/>
        <v>0</v>
      </c>
      <c r="M1153" s="132">
        <v>1</v>
      </c>
      <c r="N1153" s="132">
        <f t="shared" si="103"/>
        <v>0</v>
      </c>
      <c r="P1153" s="132">
        <v>1</v>
      </c>
      <c r="Q1153" s="132">
        <f t="shared" si="107"/>
        <v>0</v>
      </c>
      <c r="S1153" s="132">
        <v>1</v>
      </c>
      <c r="T1153" s="132">
        <f t="shared" si="104"/>
        <v>0</v>
      </c>
      <c r="V1153" s="126">
        <f t="shared" si="105"/>
        <v>0</v>
      </c>
      <c r="W1153" s="92">
        <f t="shared" si="106"/>
        <v>0</v>
      </c>
      <c r="Y1153" s="210"/>
    </row>
    <row r="1154" spans="1:25" ht="14.4" customHeight="1" thickBot="1" x14ac:dyDescent="0.3">
      <c r="A1154" s="149"/>
      <c r="J1154" s="130">
        <v>1</v>
      </c>
      <c r="K1154" s="132">
        <f t="shared" ref="K1154:K1217" si="108">I1154/J1154</f>
        <v>0</v>
      </c>
      <c r="M1154" s="132">
        <v>1</v>
      </c>
      <c r="N1154" s="132">
        <f t="shared" ref="N1154:N1217" si="109">L1154/M1154</f>
        <v>0</v>
      </c>
      <c r="P1154" s="132">
        <v>1</v>
      </c>
      <c r="Q1154" s="132">
        <f t="shared" si="107"/>
        <v>0</v>
      </c>
      <c r="S1154" s="132">
        <v>1</v>
      </c>
      <c r="T1154" s="132">
        <f t="shared" ref="T1154:T1217" si="110">R1154/S1154</f>
        <v>0</v>
      </c>
      <c r="V1154" s="126">
        <f t="shared" ref="V1154:V1217" si="111">D1154+E1154-G1154-I1154/J1154-L1154/M1154-O1154/P1154-R1154/S1154</f>
        <v>0</v>
      </c>
      <c r="W1154" s="92">
        <f t="shared" ref="W1154:W1217" si="112">G1154+I1154/J1154+L1154/M1154+O1154/P1154+R1154/S1154</f>
        <v>0</v>
      </c>
      <c r="Y1154" s="210"/>
    </row>
    <row r="1155" spans="1:25" ht="14.4" customHeight="1" thickBot="1" x14ac:dyDescent="0.3">
      <c r="A1155" s="149"/>
      <c r="J1155" s="130">
        <v>1</v>
      </c>
      <c r="K1155" s="132">
        <f t="shared" si="108"/>
        <v>0</v>
      </c>
      <c r="M1155" s="132">
        <v>1</v>
      </c>
      <c r="N1155" s="132">
        <f t="shared" si="109"/>
        <v>0</v>
      </c>
      <c r="P1155" s="132">
        <v>1</v>
      </c>
      <c r="Q1155" s="132">
        <f t="shared" ref="Q1155:Q1218" si="113">O1155/P1155</f>
        <v>0</v>
      </c>
      <c r="S1155" s="132">
        <v>1</v>
      </c>
      <c r="T1155" s="132">
        <f t="shared" si="110"/>
        <v>0</v>
      </c>
      <c r="V1155" s="126">
        <f t="shared" si="111"/>
        <v>0</v>
      </c>
      <c r="W1155" s="92">
        <f t="shared" si="112"/>
        <v>0</v>
      </c>
      <c r="Y1155" s="210"/>
    </row>
    <row r="1156" spans="1:25" ht="14.4" customHeight="1" thickBot="1" x14ac:dyDescent="0.3">
      <c r="A1156" s="149"/>
      <c r="J1156" s="130">
        <v>1</v>
      </c>
      <c r="K1156" s="132">
        <f t="shared" si="108"/>
        <v>0</v>
      </c>
      <c r="M1156" s="132">
        <v>1</v>
      </c>
      <c r="N1156" s="132">
        <f t="shared" si="109"/>
        <v>0</v>
      </c>
      <c r="P1156" s="132">
        <v>1</v>
      </c>
      <c r="Q1156" s="132">
        <f t="shared" si="113"/>
        <v>0</v>
      </c>
      <c r="S1156" s="132">
        <v>1</v>
      </c>
      <c r="T1156" s="132">
        <f t="shared" si="110"/>
        <v>0</v>
      </c>
      <c r="V1156" s="126">
        <f t="shared" si="111"/>
        <v>0</v>
      </c>
      <c r="W1156" s="92">
        <f t="shared" si="112"/>
        <v>0</v>
      </c>
      <c r="Y1156" s="210"/>
    </row>
    <row r="1157" spans="1:25" ht="14.4" customHeight="1" thickBot="1" x14ac:dyDescent="0.3">
      <c r="A1157" s="149"/>
      <c r="J1157" s="130">
        <v>1</v>
      </c>
      <c r="K1157" s="132">
        <f t="shared" si="108"/>
        <v>0</v>
      </c>
      <c r="M1157" s="132">
        <v>1</v>
      </c>
      <c r="N1157" s="132">
        <f t="shared" si="109"/>
        <v>0</v>
      </c>
      <c r="P1157" s="132">
        <v>1</v>
      </c>
      <c r="Q1157" s="132">
        <f t="shared" si="113"/>
        <v>0</v>
      </c>
      <c r="S1157" s="132">
        <v>1</v>
      </c>
      <c r="T1157" s="132">
        <f t="shared" si="110"/>
        <v>0</v>
      </c>
      <c r="V1157" s="126">
        <f t="shared" si="111"/>
        <v>0</v>
      </c>
      <c r="W1157" s="92">
        <f t="shared" si="112"/>
        <v>0</v>
      </c>
      <c r="Y1157" s="210"/>
    </row>
    <row r="1158" spans="1:25" ht="14.4" customHeight="1" thickBot="1" x14ac:dyDescent="0.3">
      <c r="A1158" s="149"/>
      <c r="J1158" s="130">
        <v>1</v>
      </c>
      <c r="K1158" s="132">
        <f t="shared" si="108"/>
        <v>0</v>
      </c>
      <c r="M1158" s="132">
        <v>1</v>
      </c>
      <c r="N1158" s="132">
        <f t="shared" si="109"/>
        <v>0</v>
      </c>
      <c r="P1158" s="132">
        <v>1</v>
      </c>
      <c r="Q1158" s="132">
        <f t="shared" si="113"/>
        <v>0</v>
      </c>
      <c r="S1158" s="132">
        <v>1</v>
      </c>
      <c r="T1158" s="132">
        <f t="shared" si="110"/>
        <v>0</v>
      </c>
      <c r="V1158" s="126">
        <f t="shared" si="111"/>
        <v>0</v>
      </c>
      <c r="W1158" s="92">
        <f t="shared" si="112"/>
        <v>0</v>
      </c>
      <c r="Y1158" s="210"/>
    </row>
    <row r="1159" spans="1:25" ht="14.4" customHeight="1" thickBot="1" x14ac:dyDescent="0.3">
      <c r="A1159" s="149"/>
      <c r="J1159" s="130">
        <v>1</v>
      </c>
      <c r="K1159" s="132">
        <f t="shared" si="108"/>
        <v>0</v>
      </c>
      <c r="M1159" s="132">
        <v>1</v>
      </c>
      <c r="N1159" s="132">
        <f t="shared" si="109"/>
        <v>0</v>
      </c>
      <c r="P1159" s="132">
        <v>1</v>
      </c>
      <c r="Q1159" s="132">
        <f t="shared" si="113"/>
        <v>0</v>
      </c>
      <c r="S1159" s="132">
        <v>1</v>
      </c>
      <c r="T1159" s="132">
        <f t="shared" si="110"/>
        <v>0</v>
      </c>
      <c r="V1159" s="126">
        <f t="shared" si="111"/>
        <v>0</v>
      </c>
      <c r="W1159" s="92">
        <f t="shared" si="112"/>
        <v>0</v>
      </c>
      <c r="Y1159" s="210"/>
    </row>
    <row r="1160" spans="1:25" ht="14.4" customHeight="1" thickBot="1" x14ac:dyDescent="0.3">
      <c r="A1160" s="149"/>
      <c r="J1160" s="130">
        <v>1</v>
      </c>
      <c r="K1160" s="132">
        <f t="shared" si="108"/>
        <v>0</v>
      </c>
      <c r="M1160" s="132">
        <v>1</v>
      </c>
      <c r="N1160" s="132">
        <f t="shared" si="109"/>
        <v>0</v>
      </c>
      <c r="P1160" s="132">
        <v>1</v>
      </c>
      <c r="Q1160" s="132">
        <f t="shared" si="113"/>
        <v>0</v>
      </c>
      <c r="S1160" s="132">
        <v>1</v>
      </c>
      <c r="T1160" s="132">
        <f t="shared" si="110"/>
        <v>0</v>
      </c>
      <c r="V1160" s="126">
        <f t="shared" si="111"/>
        <v>0</v>
      </c>
      <c r="W1160" s="92">
        <f t="shared" si="112"/>
        <v>0</v>
      </c>
      <c r="Y1160" s="210"/>
    </row>
    <row r="1161" spans="1:25" ht="14.4" customHeight="1" thickBot="1" x14ac:dyDescent="0.3">
      <c r="A1161" s="149"/>
      <c r="J1161" s="130">
        <v>1</v>
      </c>
      <c r="K1161" s="132">
        <f t="shared" si="108"/>
        <v>0</v>
      </c>
      <c r="M1161" s="132">
        <v>1</v>
      </c>
      <c r="N1161" s="132">
        <f t="shared" si="109"/>
        <v>0</v>
      </c>
      <c r="P1161" s="132">
        <v>1</v>
      </c>
      <c r="Q1161" s="132">
        <f t="shared" si="113"/>
        <v>0</v>
      </c>
      <c r="S1161" s="132">
        <v>1</v>
      </c>
      <c r="T1161" s="132">
        <f t="shared" si="110"/>
        <v>0</v>
      </c>
      <c r="V1161" s="126">
        <f t="shared" si="111"/>
        <v>0</v>
      </c>
      <c r="W1161" s="92">
        <f t="shared" si="112"/>
        <v>0</v>
      </c>
      <c r="Y1161" s="210"/>
    </row>
    <row r="1162" spans="1:25" ht="14.4" customHeight="1" thickBot="1" x14ac:dyDescent="0.3">
      <c r="A1162" s="149"/>
      <c r="J1162" s="130">
        <v>1</v>
      </c>
      <c r="K1162" s="132">
        <f t="shared" si="108"/>
        <v>0</v>
      </c>
      <c r="M1162" s="132">
        <v>1</v>
      </c>
      <c r="N1162" s="132">
        <f t="shared" si="109"/>
        <v>0</v>
      </c>
      <c r="P1162" s="132">
        <v>1</v>
      </c>
      <c r="Q1162" s="132">
        <f t="shared" si="113"/>
        <v>0</v>
      </c>
      <c r="S1162" s="132">
        <v>1</v>
      </c>
      <c r="T1162" s="132">
        <f t="shared" si="110"/>
        <v>0</v>
      </c>
      <c r="V1162" s="126">
        <f t="shared" si="111"/>
        <v>0</v>
      </c>
      <c r="W1162" s="92">
        <f t="shared" si="112"/>
        <v>0</v>
      </c>
      <c r="Y1162" s="210"/>
    </row>
    <row r="1163" spans="1:25" ht="14.4" customHeight="1" thickBot="1" x14ac:dyDescent="0.3">
      <c r="A1163" s="149"/>
      <c r="J1163" s="130">
        <v>1</v>
      </c>
      <c r="K1163" s="132">
        <f t="shared" si="108"/>
        <v>0</v>
      </c>
      <c r="M1163" s="132">
        <v>1</v>
      </c>
      <c r="N1163" s="132">
        <f t="shared" si="109"/>
        <v>0</v>
      </c>
      <c r="P1163" s="132">
        <v>1</v>
      </c>
      <c r="Q1163" s="132">
        <f t="shared" si="113"/>
        <v>0</v>
      </c>
      <c r="S1163" s="132">
        <v>1</v>
      </c>
      <c r="T1163" s="132">
        <f t="shared" si="110"/>
        <v>0</v>
      </c>
      <c r="V1163" s="126">
        <f t="shared" si="111"/>
        <v>0</v>
      </c>
      <c r="W1163" s="92">
        <f t="shared" si="112"/>
        <v>0</v>
      </c>
      <c r="Y1163" s="210"/>
    </row>
    <row r="1164" spans="1:25" ht="14.4" customHeight="1" thickBot="1" x14ac:dyDescent="0.3">
      <c r="A1164" s="149"/>
      <c r="J1164" s="130">
        <v>1</v>
      </c>
      <c r="K1164" s="132">
        <f t="shared" si="108"/>
        <v>0</v>
      </c>
      <c r="M1164" s="132">
        <v>1</v>
      </c>
      <c r="N1164" s="132">
        <f t="shared" si="109"/>
        <v>0</v>
      </c>
      <c r="P1164" s="132">
        <v>1</v>
      </c>
      <c r="Q1164" s="132">
        <f t="shared" si="113"/>
        <v>0</v>
      </c>
      <c r="S1164" s="132">
        <v>1</v>
      </c>
      <c r="T1164" s="132">
        <f t="shared" si="110"/>
        <v>0</v>
      </c>
      <c r="V1164" s="126">
        <f t="shared" si="111"/>
        <v>0</v>
      </c>
      <c r="W1164" s="92">
        <f t="shared" si="112"/>
        <v>0</v>
      </c>
      <c r="Y1164" s="210"/>
    </row>
    <row r="1165" spans="1:25" ht="14.4" customHeight="1" thickBot="1" x14ac:dyDescent="0.3">
      <c r="A1165" s="149"/>
      <c r="J1165" s="130">
        <v>1</v>
      </c>
      <c r="K1165" s="132">
        <f t="shared" si="108"/>
        <v>0</v>
      </c>
      <c r="M1165" s="132">
        <v>1</v>
      </c>
      <c r="N1165" s="132">
        <f t="shared" si="109"/>
        <v>0</v>
      </c>
      <c r="P1165" s="132">
        <v>1</v>
      </c>
      <c r="Q1165" s="132">
        <f t="shared" si="113"/>
        <v>0</v>
      </c>
      <c r="S1165" s="132">
        <v>1</v>
      </c>
      <c r="T1165" s="132">
        <f t="shared" si="110"/>
        <v>0</v>
      </c>
      <c r="V1165" s="126">
        <f t="shared" si="111"/>
        <v>0</v>
      </c>
      <c r="W1165" s="92">
        <f t="shared" si="112"/>
        <v>0</v>
      </c>
      <c r="Y1165" s="210"/>
    </row>
    <row r="1166" spans="1:25" ht="14.4" customHeight="1" thickBot="1" x14ac:dyDescent="0.3">
      <c r="A1166" s="149"/>
      <c r="J1166" s="130">
        <v>1</v>
      </c>
      <c r="K1166" s="132">
        <f t="shared" si="108"/>
        <v>0</v>
      </c>
      <c r="M1166" s="132">
        <v>1</v>
      </c>
      <c r="N1166" s="132">
        <f t="shared" si="109"/>
        <v>0</v>
      </c>
      <c r="P1166" s="132">
        <v>1</v>
      </c>
      <c r="Q1166" s="132">
        <f t="shared" si="113"/>
        <v>0</v>
      </c>
      <c r="S1166" s="132">
        <v>1</v>
      </c>
      <c r="T1166" s="132">
        <f t="shared" si="110"/>
        <v>0</v>
      </c>
      <c r="V1166" s="126">
        <f t="shared" si="111"/>
        <v>0</v>
      </c>
      <c r="W1166" s="92">
        <f t="shared" si="112"/>
        <v>0</v>
      </c>
      <c r="Y1166" s="210"/>
    </row>
    <row r="1167" spans="1:25" ht="14.4" customHeight="1" thickBot="1" x14ac:dyDescent="0.3">
      <c r="A1167" s="149"/>
      <c r="J1167" s="130">
        <v>1</v>
      </c>
      <c r="K1167" s="132">
        <f t="shared" si="108"/>
        <v>0</v>
      </c>
      <c r="M1167" s="132">
        <v>1</v>
      </c>
      <c r="N1167" s="132">
        <f t="shared" si="109"/>
        <v>0</v>
      </c>
      <c r="P1167" s="132">
        <v>1</v>
      </c>
      <c r="Q1167" s="132">
        <f t="shared" si="113"/>
        <v>0</v>
      </c>
      <c r="S1167" s="132">
        <v>1</v>
      </c>
      <c r="T1167" s="132">
        <f t="shared" si="110"/>
        <v>0</v>
      </c>
      <c r="V1167" s="126">
        <f t="shared" si="111"/>
        <v>0</v>
      </c>
      <c r="W1167" s="92">
        <f t="shared" si="112"/>
        <v>0</v>
      </c>
      <c r="Y1167" s="210"/>
    </row>
    <row r="1168" spans="1:25" ht="14.4" customHeight="1" thickBot="1" x14ac:dyDescent="0.3">
      <c r="A1168" s="149"/>
      <c r="J1168" s="130">
        <v>1</v>
      </c>
      <c r="K1168" s="132">
        <f t="shared" si="108"/>
        <v>0</v>
      </c>
      <c r="M1168" s="132">
        <v>1</v>
      </c>
      <c r="N1168" s="132">
        <f t="shared" si="109"/>
        <v>0</v>
      </c>
      <c r="P1168" s="132">
        <v>1</v>
      </c>
      <c r="Q1168" s="132">
        <f t="shared" si="113"/>
        <v>0</v>
      </c>
      <c r="S1168" s="132">
        <v>1</v>
      </c>
      <c r="T1168" s="132">
        <f t="shared" si="110"/>
        <v>0</v>
      </c>
      <c r="V1168" s="126">
        <f t="shared" si="111"/>
        <v>0</v>
      </c>
      <c r="W1168" s="92">
        <f t="shared" si="112"/>
        <v>0</v>
      </c>
      <c r="Y1168" s="210"/>
    </row>
    <row r="1169" spans="1:25" ht="14.4" customHeight="1" thickBot="1" x14ac:dyDescent="0.3">
      <c r="A1169" s="149"/>
      <c r="J1169" s="130">
        <v>1</v>
      </c>
      <c r="K1169" s="132">
        <f t="shared" si="108"/>
        <v>0</v>
      </c>
      <c r="M1169" s="132">
        <v>1</v>
      </c>
      <c r="N1169" s="132">
        <f t="shared" si="109"/>
        <v>0</v>
      </c>
      <c r="P1169" s="132">
        <v>1</v>
      </c>
      <c r="Q1169" s="132">
        <f t="shared" si="113"/>
        <v>0</v>
      </c>
      <c r="S1169" s="132">
        <v>1</v>
      </c>
      <c r="T1169" s="132">
        <f t="shared" si="110"/>
        <v>0</v>
      </c>
      <c r="V1169" s="126">
        <f t="shared" si="111"/>
        <v>0</v>
      </c>
      <c r="W1169" s="92">
        <f t="shared" si="112"/>
        <v>0</v>
      </c>
      <c r="Y1169" s="210"/>
    </row>
    <row r="1170" spans="1:25" ht="14.4" customHeight="1" thickBot="1" x14ac:dyDescent="0.3">
      <c r="A1170" s="149"/>
      <c r="J1170" s="130">
        <v>1</v>
      </c>
      <c r="K1170" s="132">
        <f t="shared" si="108"/>
        <v>0</v>
      </c>
      <c r="M1170" s="132">
        <v>1</v>
      </c>
      <c r="N1170" s="132">
        <f t="shared" si="109"/>
        <v>0</v>
      </c>
      <c r="P1170" s="132">
        <v>1</v>
      </c>
      <c r="Q1170" s="132">
        <f t="shared" si="113"/>
        <v>0</v>
      </c>
      <c r="S1170" s="132">
        <v>1</v>
      </c>
      <c r="T1170" s="132">
        <f t="shared" si="110"/>
        <v>0</v>
      </c>
      <c r="V1170" s="126">
        <f t="shared" si="111"/>
        <v>0</v>
      </c>
      <c r="W1170" s="92">
        <f t="shared" si="112"/>
        <v>0</v>
      </c>
      <c r="Y1170" s="210"/>
    </row>
    <row r="1171" spans="1:25" ht="14.4" customHeight="1" thickBot="1" x14ac:dyDescent="0.3">
      <c r="A1171" s="149"/>
      <c r="J1171" s="130">
        <v>1</v>
      </c>
      <c r="K1171" s="132">
        <f t="shared" si="108"/>
        <v>0</v>
      </c>
      <c r="M1171" s="132">
        <v>1</v>
      </c>
      <c r="N1171" s="132">
        <f t="shared" si="109"/>
        <v>0</v>
      </c>
      <c r="P1171" s="132">
        <v>1</v>
      </c>
      <c r="Q1171" s="132">
        <f t="shared" si="113"/>
        <v>0</v>
      </c>
      <c r="S1171" s="132">
        <v>1</v>
      </c>
      <c r="T1171" s="132">
        <f t="shared" si="110"/>
        <v>0</v>
      </c>
      <c r="V1171" s="126">
        <f t="shared" si="111"/>
        <v>0</v>
      </c>
      <c r="W1171" s="92">
        <f t="shared" si="112"/>
        <v>0</v>
      </c>
      <c r="Y1171" s="210"/>
    </row>
    <row r="1172" spans="1:25" ht="14.4" customHeight="1" thickBot="1" x14ac:dyDescent="0.3">
      <c r="A1172" s="149"/>
      <c r="J1172" s="130">
        <v>1</v>
      </c>
      <c r="K1172" s="132">
        <f t="shared" si="108"/>
        <v>0</v>
      </c>
      <c r="M1172" s="132">
        <v>1</v>
      </c>
      <c r="N1172" s="132">
        <f t="shared" si="109"/>
        <v>0</v>
      </c>
      <c r="P1172" s="132">
        <v>1</v>
      </c>
      <c r="Q1172" s="132">
        <f t="shared" si="113"/>
        <v>0</v>
      </c>
      <c r="S1172" s="132">
        <v>1</v>
      </c>
      <c r="T1172" s="132">
        <f t="shared" si="110"/>
        <v>0</v>
      </c>
      <c r="V1172" s="126">
        <f t="shared" si="111"/>
        <v>0</v>
      </c>
      <c r="W1172" s="92">
        <f t="shared" si="112"/>
        <v>0</v>
      </c>
      <c r="Y1172" s="210"/>
    </row>
    <row r="1173" spans="1:25" ht="14.4" customHeight="1" thickBot="1" x14ac:dyDescent="0.3">
      <c r="A1173" s="149"/>
      <c r="J1173" s="130">
        <v>1</v>
      </c>
      <c r="K1173" s="132">
        <f t="shared" si="108"/>
        <v>0</v>
      </c>
      <c r="M1173" s="132">
        <v>1</v>
      </c>
      <c r="N1173" s="132">
        <f t="shared" si="109"/>
        <v>0</v>
      </c>
      <c r="P1173" s="132">
        <v>1</v>
      </c>
      <c r="Q1173" s="132">
        <f t="shared" si="113"/>
        <v>0</v>
      </c>
      <c r="S1173" s="132">
        <v>1</v>
      </c>
      <c r="T1173" s="132">
        <f t="shared" si="110"/>
        <v>0</v>
      </c>
      <c r="V1173" s="126">
        <f t="shared" si="111"/>
        <v>0</v>
      </c>
      <c r="W1173" s="92">
        <f t="shared" si="112"/>
        <v>0</v>
      </c>
      <c r="Y1173" s="210"/>
    </row>
    <row r="1174" spans="1:25" ht="14.4" customHeight="1" thickBot="1" x14ac:dyDescent="0.3">
      <c r="A1174" s="149"/>
      <c r="J1174" s="130">
        <v>1</v>
      </c>
      <c r="K1174" s="132">
        <f t="shared" si="108"/>
        <v>0</v>
      </c>
      <c r="M1174" s="132">
        <v>1</v>
      </c>
      <c r="N1174" s="132">
        <f t="shared" si="109"/>
        <v>0</v>
      </c>
      <c r="P1174" s="132">
        <v>1</v>
      </c>
      <c r="Q1174" s="132">
        <f t="shared" si="113"/>
        <v>0</v>
      </c>
      <c r="S1174" s="132">
        <v>1</v>
      </c>
      <c r="T1174" s="132">
        <f t="shared" si="110"/>
        <v>0</v>
      </c>
      <c r="V1174" s="126">
        <f t="shared" si="111"/>
        <v>0</v>
      </c>
      <c r="W1174" s="92">
        <f t="shared" si="112"/>
        <v>0</v>
      </c>
      <c r="Y1174" s="210"/>
    </row>
    <row r="1175" spans="1:25" ht="14.4" customHeight="1" thickBot="1" x14ac:dyDescent="0.3">
      <c r="A1175" s="149"/>
      <c r="J1175" s="130">
        <v>1</v>
      </c>
      <c r="K1175" s="132">
        <f t="shared" si="108"/>
        <v>0</v>
      </c>
      <c r="M1175" s="132">
        <v>1</v>
      </c>
      <c r="N1175" s="132">
        <f t="shared" si="109"/>
        <v>0</v>
      </c>
      <c r="P1175" s="132">
        <v>1</v>
      </c>
      <c r="Q1175" s="132">
        <f t="shared" si="113"/>
        <v>0</v>
      </c>
      <c r="S1175" s="132">
        <v>1</v>
      </c>
      <c r="T1175" s="132">
        <f t="shared" si="110"/>
        <v>0</v>
      </c>
      <c r="V1175" s="126">
        <f t="shared" si="111"/>
        <v>0</v>
      </c>
      <c r="W1175" s="92">
        <f t="shared" si="112"/>
        <v>0</v>
      </c>
      <c r="Y1175" s="210"/>
    </row>
    <row r="1176" spans="1:25" ht="14.4" customHeight="1" thickBot="1" x14ac:dyDescent="0.3">
      <c r="A1176" s="149"/>
      <c r="J1176" s="130">
        <v>1</v>
      </c>
      <c r="K1176" s="132">
        <f t="shared" si="108"/>
        <v>0</v>
      </c>
      <c r="M1176" s="132">
        <v>1</v>
      </c>
      <c r="N1176" s="132">
        <f t="shared" si="109"/>
        <v>0</v>
      </c>
      <c r="P1176" s="132">
        <v>1</v>
      </c>
      <c r="Q1176" s="132">
        <f t="shared" si="113"/>
        <v>0</v>
      </c>
      <c r="S1176" s="132">
        <v>1</v>
      </c>
      <c r="T1176" s="132">
        <f t="shared" si="110"/>
        <v>0</v>
      </c>
      <c r="V1176" s="126">
        <f t="shared" si="111"/>
        <v>0</v>
      </c>
      <c r="W1176" s="92">
        <f t="shared" si="112"/>
        <v>0</v>
      </c>
      <c r="Y1176" s="210"/>
    </row>
    <row r="1177" spans="1:25" ht="14.4" customHeight="1" thickBot="1" x14ac:dyDescent="0.3">
      <c r="A1177" s="149"/>
      <c r="J1177" s="130">
        <v>1</v>
      </c>
      <c r="K1177" s="132">
        <f t="shared" si="108"/>
        <v>0</v>
      </c>
      <c r="M1177" s="132">
        <v>1</v>
      </c>
      <c r="N1177" s="132">
        <f t="shared" si="109"/>
        <v>0</v>
      </c>
      <c r="P1177" s="132">
        <v>1</v>
      </c>
      <c r="Q1177" s="132">
        <f t="shared" si="113"/>
        <v>0</v>
      </c>
      <c r="S1177" s="132">
        <v>1</v>
      </c>
      <c r="T1177" s="132">
        <f t="shared" si="110"/>
        <v>0</v>
      </c>
      <c r="V1177" s="126">
        <f t="shared" si="111"/>
        <v>0</v>
      </c>
      <c r="W1177" s="92">
        <f t="shared" si="112"/>
        <v>0</v>
      </c>
      <c r="Y1177" s="210"/>
    </row>
    <row r="1178" spans="1:25" ht="14.4" customHeight="1" thickBot="1" x14ac:dyDescent="0.3">
      <c r="A1178" s="149"/>
      <c r="J1178" s="130">
        <v>1</v>
      </c>
      <c r="K1178" s="132">
        <f t="shared" si="108"/>
        <v>0</v>
      </c>
      <c r="M1178" s="132">
        <v>1</v>
      </c>
      <c r="N1178" s="132">
        <f t="shared" si="109"/>
        <v>0</v>
      </c>
      <c r="P1178" s="132">
        <v>1</v>
      </c>
      <c r="Q1178" s="132">
        <f t="shared" si="113"/>
        <v>0</v>
      </c>
      <c r="S1178" s="132">
        <v>1</v>
      </c>
      <c r="T1178" s="132">
        <f t="shared" si="110"/>
        <v>0</v>
      </c>
      <c r="V1178" s="126">
        <f t="shared" si="111"/>
        <v>0</v>
      </c>
      <c r="W1178" s="92">
        <f t="shared" si="112"/>
        <v>0</v>
      </c>
      <c r="Y1178" s="210"/>
    </row>
    <row r="1179" spans="1:25" ht="14.4" customHeight="1" thickBot="1" x14ac:dyDescent="0.3">
      <c r="A1179" s="149"/>
      <c r="J1179" s="130">
        <v>1</v>
      </c>
      <c r="K1179" s="132">
        <f t="shared" si="108"/>
        <v>0</v>
      </c>
      <c r="M1179" s="132">
        <v>1</v>
      </c>
      <c r="N1179" s="132">
        <f t="shared" si="109"/>
        <v>0</v>
      </c>
      <c r="P1179" s="132">
        <v>1</v>
      </c>
      <c r="Q1179" s="132">
        <f t="shared" si="113"/>
        <v>0</v>
      </c>
      <c r="S1179" s="132">
        <v>1</v>
      </c>
      <c r="T1179" s="132">
        <f t="shared" si="110"/>
        <v>0</v>
      </c>
      <c r="V1179" s="126">
        <f t="shared" si="111"/>
        <v>0</v>
      </c>
      <c r="W1179" s="92">
        <f t="shared" si="112"/>
        <v>0</v>
      </c>
      <c r="Y1179" s="210"/>
    </row>
    <row r="1180" spans="1:25" ht="14.4" customHeight="1" thickBot="1" x14ac:dyDescent="0.3">
      <c r="A1180" s="149"/>
      <c r="J1180" s="130">
        <v>1</v>
      </c>
      <c r="K1180" s="132">
        <f t="shared" si="108"/>
        <v>0</v>
      </c>
      <c r="M1180" s="132">
        <v>1</v>
      </c>
      <c r="N1180" s="132">
        <f t="shared" si="109"/>
        <v>0</v>
      </c>
      <c r="P1180" s="132">
        <v>1</v>
      </c>
      <c r="Q1180" s="132">
        <f t="shared" si="113"/>
        <v>0</v>
      </c>
      <c r="S1180" s="132">
        <v>1</v>
      </c>
      <c r="T1180" s="132">
        <f t="shared" si="110"/>
        <v>0</v>
      </c>
      <c r="V1180" s="126">
        <f t="shared" si="111"/>
        <v>0</v>
      </c>
      <c r="W1180" s="92">
        <f t="shared" si="112"/>
        <v>0</v>
      </c>
      <c r="Y1180" s="210"/>
    </row>
    <row r="1181" spans="1:25" ht="14.4" customHeight="1" thickBot="1" x14ac:dyDescent="0.3">
      <c r="A1181" s="149"/>
      <c r="J1181" s="130">
        <v>1</v>
      </c>
      <c r="K1181" s="132">
        <f t="shared" si="108"/>
        <v>0</v>
      </c>
      <c r="M1181" s="132">
        <v>1</v>
      </c>
      <c r="N1181" s="132">
        <f t="shared" si="109"/>
        <v>0</v>
      </c>
      <c r="P1181" s="132">
        <v>1</v>
      </c>
      <c r="Q1181" s="132">
        <f t="shared" si="113"/>
        <v>0</v>
      </c>
      <c r="S1181" s="132">
        <v>1</v>
      </c>
      <c r="T1181" s="132">
        <f t="shared" si="110"/>
        <v>0</v>
      </c>
      <c r="V1181" s="126">
        <f t="shared" si="111"/>
        <v>0</v>
      </c>
      <c r="W1181" s="92">
        <f t="shared" si="112"/>
        <v>0</v>
      </c>
      <c r="Y1181" s="210"/>
    </row>
    <row r="1182" spans="1:25" ht="14.4" customHeight="1" thickBot="1" x14ac:dyDescent="0.3">
      <c r="A1182" s="149"/>
      <c r="J1182" s="130">
        <v>1</v>
      </c>
      <c r="K1182" s="132">
        <f t="shared" si="108"/>
        <v>0</v>
      </c>
      <c r="M1182" s="132">
        <v>1</v>
      </c>
      <c r="N1182" s="132">
        <f t="shared" si="109"/>
        <v>0</v>
      </c>
      <c r="P1182" s="132">
        <v>1</v>
      </c>
      <c r="Q1182" s="132">
        <f t="shared" si="113"/>
        <v>0</v>
      </c>
      <c r="S1182" s="132">
        <v>1</v>
      </c>
      <c r="T1182" s="132">
        <f t="shared" si="110"/>
        <v>0</v>
      </c>
      <c r="V1182" s="126">
        <f t="shared" si="111"/>
        <v>0</v>
      </c>
      <c r="W1182" s="92">
        <f t="shared" si="112"/>
        <v>0</v>
      </c>
      <c r="Y1182" s="210"/>
    </row>
    <row r="1183" spans="1:25" ht="14.4" customHeight="1" thickBot="1" x14ac:dyDescent="0.3">
      <c r="A1183" s="149"/>
      <c r="J1183" s="130">
        <v>1</v>
      </c>
      <c r="K1183" s="132">
        <f t="shared" si="108"/>
        <v>0</v>
      </c>
      <c r="M1183" s="132">
        <v>1</v>
      </c>
      <c r="N1183" s="132">
        <f t="shared" si="109"/>
        <v>0</v>
      </c>
      <c r="P1183" s="132">
        <v>1</v>
      </c>
      <c r="Q1183" s="132">
        <f t="shared" si="113"/>
        <v>0</v>
      </c>
      <c r="S1183" s="132">
        <v>1</v>
      </c>
      <c r="T1183" s="132">
        <f t="shared" si="110"/>
        <v>0</v>
      </c>
      <c r="V1183" s="126">
        <f t="shared" si="111"/>
        <v>0</v>
      </c>
      <c r="W1183" s="92">
        <f t="shared" si="112"/>
        <v>0</v>
      </c>
      <c r="Y1183" s="210"/>
    </row>
    <row r="1184" spans="1:25" ht="14.4" customHeight="1" thickBot="1" x14ac:dyDescent="0.3">
      <c r="A1184" s="149"/>
      <c r="J1184" s="130">
        <v>1</v>
      </c>
      <c r="K1184" s="132">
        <f t="shared" si="108"/>
        <v>0</v>
      </c>
      <c r="M1184" s="132">
        <v>1</v>
      </c>
      <c r="N1184" s="132">
        <f t="shared" si="109"/>
        <v>0</v>
      </c>
      <c r="P1184" s="132">
        <v>1</v>
      </c>
      <c r="Q1184" s="132">
        <f t="shared" si="113"/>
        <v>0</v>
      </c>
      <c r="S1184" s="132">
        <v>1</v>
      </c>
      <c r="T1184" s="132">
        <f t="shared" si="110"/>
        <v>0</v>
      </c>
      <c r="V1184" s="126">
        <f t="shared" si="111"/>
        <v>0</v>
      </c>
      <c r="W1184" s="92">
        <f t="shared" si="112"/>
        <v>0</v>
      </c>
      <c r="Y1184" s="210"/>
    </row>
    <row r="1185" spans="1:25" ht="14.4" customHeight="1" thickBot="1" x14ac:dyDescent="0.3">
      <c r="A1185" s="149"/>
      <c r="J1185" s="130">
        <v>1</v>
      </c>
      <c r="K1185" s="132">
        <f t="shared" si="108"/>
        <v>0</v>
      </c>
      <c r="M1185" s="132">
        <v>1</v>
      </c>
      <c r="N1185" s="132">
        <f t="shared" si="109"/>
        <v>0</v>
      </c>
      <c r="P1185" s="132">
        <v>1</v>
      </c>
      <c r="Q1185" s="132">
        <f t="shared" si="113"/>
        <v>0</v>
      </c>
      <c r="S1185" s="132">
        <v>1</v>
      </c>
      <c r="T1185" s="132">
        <f t="shared" si="110"/>
        <v>0</v>
      </c>
      <c r="V1185" s="126">
        <f t="shared" si="111"/>
        <v>0</v>
      </c>
      <c r="W1185" s="92">
        <f t="shared" si="112"/>
        <v>0</v>
      </c>
      <c r="Y1185" s="210"/>
    </row>
    <row r="1186" spans="1:25" ht="14.4" customHeight="1" thickBot="1" x14ac:dyDescent="0.3">
      <c r="A1186" s="149"/>
      <c r="J1186" s="130">
        <v>1</v>
      </c>
      <c r="K1186" s="132">
        <f t="shared" si="108"/>
        <v>0</v>
      </c>
      <c r="M1186" s="132">
        <v>1</v>
      </c>
      <c r="N1186" s="132">
        <f t="shared" si="109"/>
        <v>0</v>
      </c>
      <c r="P1186" s="132">
        <v>1</v>
      </c>
      <c r="Q1186" s="132">
        <f t="shared" si="113"/>
        <v>0</v>
      </c>
      <c r="S1186" s="132">
        <v>1</v>
      </c>
      <c r="T1186" s="132">
        <f t="shared" si="110"/>
        <v>0</v>
      </c>
      <c r="V1186" s="126">
        <f t="shared" si="111"/>
        <v>0</v>
      </c>
      <c r="W1186" s="92">
        <f t="shared" si="112"/>
        <v>0</v>
      </c>
      <c r="Y1186" s="210"/>
    </row>
    <row r="1187" spans="1:25" ht="14.4" customHeight="1" thickBot="1" x14ac:dyDescent="0.3">
      <c r="A1187" s="149"/>
      <c r="J1187" s="130">
        <v>1</v>
      </c>
      <c r="K1187" s="132">
        <f t="shared" si="108"/>
        <v>0</v>
      </c>
      <c r="M1187" s="132">
        <v>1</v>
      </c>
      <c r="N1187" s="132">
        <f t="shared" si="109"/>
        <v>0</v>
      </c>
      <c r="P1187" s="132">
        <v>1</v>
      </c>
      <c r="Q1187" s="132">
        <f t="shared" si="113"/>
        <v>0</v>
      </c>
      <c r="S1187" s="132">
        <v>1</v>
      </c>
      <c r="T1187" s="132">
        <f t="shared" si="110"/>
        <v>0</v>
      </c>
      <c r="V1187" s="126">
        <f t="shared" si="111"/>
        <v>0</v>
      </c>
      <c r="W1187" s="92">
        <f t="shared" si="112"/>
        <v>0</v>
      </c>
      <c r="Y1187" s="210"/>
    </row>
    <row r="1188" spans="1:25" ht="14.4" customHeight="1" thickBot="1" x14ac:dyDescent="0.3">
      <c r="A1188" s="149"/>
      <c r="J1188" s="130">
        <v>1</v>
      </c>
      <c r="K1188" s="132">
        <f t="shared" si="108"/>
        <v>0</v>
      </c>
      <c r="M1188" s="132">
        <v>1</v>
      </c>
      <c r="N1188" s="132">
        <f t="shared" si="109"/>
        <v>0</v>
      </c>
      <c r="P1188" s="132">
        <v>1</v>
      </c>
      <c r="Q1188" s="132">
        <f t="shared" si="113"/>
        <v>0</v>
      </c>
      <c r="S1188" s="132">
        <v>1</v>
      </c>
      <c r="T1188" s="132">
        <f t="shared" si="110"/>
        <v>0</v>
      </c>
      <c r="V1188" s="126">
        <f t="shared" si="111"/>
        <v>0</v>
      </c>
      <c r="W1188" s="92">
        <f t="shared" si="112"/>
        <v>0</v>
      </c>
      <c r="Y1188" s="210"/>
    </row>
    <row r="1189" spans="1:25" ht="14.4" customHeight="1" thickBot="1" x14ac:dyDescent="0.3">
      <c r="A1189" s="149"/>
      <c r="J1189" s="130">
        <v>1</v>
      </c>
      <c r="K1189" s="132">
        <f t="shared" si="108"/>
        <v>0</v>
      </c>
      <c r="M1189" s="132">
        <v>1</v>
      </c>
      <c r="N1189" s="132">
        <f t="shared" si="109"/>
        <v>0</v>
      </c>
      <c r="P1189" s="132">
        <v>1</v>
      </c>
      <c r="Q1189" s="132">
        <f t="shared" si="113"/>
        <v>0</v>
      </c>
      <c r="S1189" s="132">
        <v>1</v>
      </c>
      <c r="T1189" s="132">
        <f t="shared" si="110"/>
        <v>0</v>
      </c>
      <c r="V1189" s="126">
        <f t="shared" si="111"/>
        <v>0</v>
      </c>
      <c r="W1189" s="92">
        <f t="shared" si="112"/>
        <v>0</v>
      </c>
      <c r="Y1189" s="210"/>
    </row>
    <row r="1190" spans="1:25" ht="14.4" customHeight="1" thickBot="1" x14ac:dyDescent="0.3">
      <c r="A1190" s="149"/>
      <c r="J1190" s="130">
        <v>1</v>
      </c>
      <c r="K1190" s="132">
        <f t="shared" si="108"/>
        <v>0</v>
      </c>
      <c r="M1190" s="132">
        <v>1</v>
      </c>
      <c r="N1190" s="132">
        <f t="shared" si="109"/>
        <v>0</v>
      </c>
      <c r="P1190" s="132">
        <v>1</v>
      </c>
      <c r="Q1190" s="132">
        <f t="shared" si="113"/>
        <v>0</v>
      </c>
      <c r="S1190" s="132">
        <v>1</v>
      </c>
      <c r="T1190" s="132">
        <f t="shared" si="110"/>
        <v>0</v>
      </c>
      <c r="V1190" s="126">
        <f t="shared" si="111"/>
        <v>0</v>
      </c>
      <c r="W1190" s="92">
        <f t="shared" si="112"/>
        <v>0</v>
      </c>
      <c r="Y1190" s="210"/>
    </row>
    <row r="1191" spans="1:25" ht="14.4" customHeight="1" thickBot="1" x14ac:dyDescent="0.3">
      <c r="A1191" s="149"/>
      <c r="J1191" s="130">
        <v>1</v>
      </c>
      <c r="K1191" s="132">
        <f t="shared" si="108"/>
        <v>0</v>
      </c>
      <c r="M1191" s="132">
        <v>1</v>
      </c>
      <c r="N1191" s="132">
        <f t="shared" si="109"/>
        <v>0</v>
      </c>
      <c r="P1191" s="132">
        <v>1</v>
      </c>
      <c r="Q1191" s="132">
        <f t="shared" si="113"/>
        <v>0</v>
      </c>
      <c r="S1191" s="132">
        <v>1</v>
      </c>
      <c r="T1191" s="132">
        <f t="shared" si="110"/>
        <v>0</v>
      </c>
      <c r="V1191" s="126">
        <f t="shared" si="111"/>
        <v>0</v>
      </c>
      <c r="W1191" s="92">
        <f t="shared" si="112"/>
        <v>0</v>
      </c>
      <c r="Y1191" s="210"/>
    </row>
    <row r="1192" spans="1:25" ht="14.4" customHeight="1" thickBot="1" x14ac:dyDescent="0.3">
      <c r="A1192" s="149"/>
      <c r="J1192" s="130">
        <v>1</v>
      </c>
      <c r="K1192" s="132">
        <f t="shared" si="108"/>
        <v>0</v>
      </c>
      <c r="M1192" s="132">
        <v>1</v>
      </c>
      <c r="N1192" s="132">
        <f t="shared" si="109"/>
        <v>0</v>
      </c>
      <c r="P1192" s="132">
        <v>1</v>
      </c>
      <c r="Q1192" s="132">
        <f t="shared" si="113"/>
        <v>0</v>
      </c>
      <c r="S1192" s="132">
        <v>1</v>
      </c>
      <c r="T1192" s="132">
        <f t="shared" si="110"/>
        <v>0</v>
      </c>
      <c r="V1192" s="126">
        <f t="shared" si="111"/>
        <v>0</v>
      </c>
      <c r="W1192" s="92">
        <f t="shared" si="112"/>
        <v>0</v>
      </c>
      <c r="Y1192" s="210"/>
    </row>
    <row r="1193" spans="1:25" ht="14.4" customHeight="1" thickBot="1" x14ac:dyDescent="0.3">
      <c r="A1193" s="149"/>
      <c r="J1193" s="130">
        <v>1</v>
      </c>
      <c r="K1193" s="132">
        <f t="shared" si="108"/>
        <v>0</v>
      </c>
      <c r="M1193" s="132">
        <v>1</v>
      </c>
      <c r="N1193" s="132">
        <f t="shared" si="109"/>
        <v>0</v>
      </c>
      <c r="P1193" s="132">
        <v>1</v>
      </c>
      <c r="Q1193" s="132">
        <f t="shared" si="113"/>
        <v>0</v>
      </c>
      <c r="S1193" s="132">
        <v>1</v>
      </c>
      <c r="T1193" s="132">
        <f t="shared" si="110"/>
        <v>0</v>
      </c>
      <c r="V1193" s="126">
        <f t="shared" si="111"/>
        <v>0</v>
      </c>
      <c r="W1193" s="92">
        <f t="shared" si="112"/>
        <v>0</v>
      </c>
      <c r="Y1193" s="210"/>
    </row>
    <row r="1194" spans="1:25" ht="14.4" customHeight="1" thickBot="1" x14ac:dyDescent="0.3">
      <c r="A1194" s="149"/>
      <c r="J1194" s="130">
        <v>1</v>
      </c>
      <c r="K1194" s="132">
        <f t="shared" si="108"/>
        <v>0</v>
      </c>
      <c r="M1194" s="132">
        <v>1</v>
      </c>
      <c r="N1194" s="132">
        <f t="shared" si="109"/>
        <v>0</v>
      </c>
      <c r="P1194" s="132">
        <v>1</v>
      </c>
      <c r="Q1194" s="132">
        <f t="shared" si="113"/>
        <v>0</v>
      </c>
      <c r="S1194" s="132">
        <v>1</v>
      </c>
      <c r="T1194" s="132">
        <f t="shared" si="110"/>
        <v>0</v>
      </c>
      <c r="V1194" s="126">
        <f t="shared" si="111"/>
        <v>0</v>
      </c>
      <c r="W1194" s="92">
        <f t="shared" si="112"/>
        <v>0</v>
      </c>
      <c r="Y1194" s="210"/>
    </row>
    <row r="1195" spans="1:25" ht="14.4" customHeight="1" thickBot="1" x14ac:dyDescent="0.3">
      <c r="A1195" s="149"/>
      <c r="J1195" s="130">
        <v>1</v>
      </c>
      <c r="K1195" s="132">
        <f t="shared" si="108"/>
        <v>0</v>
      </c>
      <c r="M1195" s="132">
        <v>1</v>
      </c>
      <c r="N1195" s="132">
        <f t="shared" si="109"/>
        <v>0</v>
      </c>
      <c r="P1195" s="132">
        <v>1</v>
      </c>
      <c r="Q1195" s="132">
        <f t="shared" si="113"/>
        <v>0</v>
      </c>
      <c r="S1195" s="132">
        <v>1</v>
      </c>
      <c r="T1195" s="132">
        <f t="shared" si="110"/>
        <v>0</v>
      </c>
      <c r="V1195" s="126">
        <f t="shared" si="111"/>
        <v>0</v>
      </c>
      <c r="W1195" s="92">
        <f t="shared" si="112"/>
        <v>0</v>
      </c>
      <c r="Y1195" s="210"/>
    </row>
    <row r="1196" spans="1:25" ht="14.4" customHeight="1" thickBot="1" x14ac:dyDescent="0.3">
      <c r="A1196" s="149"/>
      <c r="J1196" s="130">
        <v>1</v>
      </c>
      <c r="K1196" s="132">
        <f t="shared" si="108"/>
        <v>0</v>
      </c>
      <c r="M1196" s="132">
        <v>1</v>
      </c>
      <c r="N1196" s="132">
        <f t="shared" si="109"/>
        <v>0</v>
      </c>
      <c r="P1196" s="132">
        <v>1</v>
      </c>
      <c r="Q1196" s="132">
        <f t="shared" si="113"/>
        <v>0</v>
      </c>
      <c r="S1196" s="132">
        <v>1</v>
      </c>
      <c r="T1196" s="132">
        <f t="shared" si="110"/>
        <v>0</v>
      </c>
      <c r="V1196" s="126">
        <f t="shared" si="111"/>
        <v>0</v>
      </c>
      <c r="W1196" s="92">
        <f t="shared" si="112"/>
        <v>0</v>
      </c>
      <c r="Y1196" s="210"/>
    </row>
    <row r="1197" spans="1:25" ht="14.4" customHeight="1" thickBot="1" x14ac:dyDescent="0.3">
      <c r="A1197" s="149"/>
      <c r="J1197" s="130">
        <v>1</v>
      </c>
      <c r="K1197" s="132">
        <f t="shared" si="108"/>
        <v>0</v>
      </c>
      <c r="M1197" s="132">
        <v>1</v>
      </c>
      <c r="N1197" s="132">
        <f t="shared" si="109"/>
        <v>0</v>
      </c>
      <c r="P1197" s="132">
        <v>1</v>
      </c>
      <c r="Q1197" s="132">
        <f t="shared" si="113"/>
        <v>0</v>
      </c>
      <c r="S1197" s="132">
        <v>1</v>
      </c>
      <c r="T1197" s="132">
        <f t="shared" si="110"/>
        <v>0</v>
      </c>
      <c r="V1197" s="126">
        <f t="shared" si="111"/>
        <v>0</v>
      </c>
      <c r="W1197" s="92">
        <f t="shared" si="112"/>
        <v>0</v>
      </c>
      <c r="Y1197" s="210"/>
    </row>
    <row r="1198" spans="1:25" ht="14.4" customHeight="1" thickBot="1" x14ac:dyDescent="0.3">
      <c r="A1198" s="149"/>
      <c r="J1198" s="130">
        <v>1</v>
      </c>
      <c r="K1198" s="132">
        <f t="shared" si="108"/>
        <v>0</v>
      </c>
      <c r="M1198" s="132">
        <v>1</v>
      </c>
      <c r="N1198" s="132">
        <f t="shared" si="109"/>
        <v>0</v>
      </c>
      <c r="P1198" s="132">
        <v>1</v>
      </c>
      <c r="Q1198" s="132">
        <f t="shared" si="113"/>
        <v>0</v>
      </c>
      <c r="S1198" s="132">
        <v>1</v>
      </c>
      <c r="T1198" s="132">
        <f t="shared" si="110"/>
        <v>0</v>
      </c>
      <c r="V1198" s="126">
        <f t="shared" si="111"/>
        <v>0</v>
      </c>
      <c r="W1198" s="92">
        <f t="shared" si="112"/>
        <v>0</v>
      </c>
      <c r="Y1198" s="210"/>
    </row>
    <row r="1199" spans="1:25" ht="14.4" customHeight="1" thickBot="1" x14ac:dyDescent="0.3">
      <c r="A1199" s="149"/>
      <c r="J1199" s="130">
        <v>1</v>
      </c>
      <c r="K1199" s="132">
        <f t="shared" si="108"/>
        <v>0</v>
      </c>
      <c r="M1199" s="132">
        <v>1</v>
      </c>
      <c r="N1199" s="132">
        <f t="shared" si="109"/>
        <v>0</v>
      </c>
      <c r="P1199" s="132">
        <v>1</v>
      </c>
      <c r="Q1199" s="132">
        <f t="shared" si="113"/>
        <v>0</v>
      </c>
      <c r="S1199" s="132">
        <v>1</v>
      </c>
      <c r="T1199" s="132">
        <f t="shared" si="110"/>
        <v>0</v>
      </c>
      <c r="V1199" s="126">
        <f t="shared" si="111"/>
        <v>0</v>
      </c>
      <c r="W1199" s="92">
        <f t="shared" si="112"/>
        <v>0</v>
      </c>
      <c r="Y1199" s="210"/>
    </row>
    <row r="1200" spans="1:25" ht="14.4" customHeight="1" thickBot="1" x14ac:dyDescent="0.3">
      <c r="A1200" s="149"/>
      <c r="J1200" s="130">
        <v>1</v>
      </c>
      <c r="K1200" s="132">
        <f t="shared" si="108"/>
        <v>0</v>
      </c>
      <c r="M1200" s="132">
        <v>1</v>
      </c>
      <c r="N1200" s="132">
        <f t="shared" si="109"/>
        <v>0</v>
      </c>
      <c r="P1200" s="132">
        <v>1</v>
      </c>
      <c r="Q1200" s="132">
        <f t="shared" si="113"/>
        <v>0</v>
      </c>
      <c r="S1200" s="132">
        <v>1</v>
      </c>
      <c r="T1200" s="132">
        <f t="shared" si="110"/>
        <v>0</v>
      </c>
      <c r="V1200" s="126">
        <f t="shared" si="111"/>
        <v>0</v>
      </c>
      <c r="W1200" s="92">
        <f t="shared" si="112"/>
        <v>0</v>
      </c>
      <c r="Y1200" s="210"/>
    </row>
    <row r="1201" spans="1:25" ht="14.4" customHeight="1" thickBot="1" x14ac:dyDescent="0.3">
      <c r="A1201" s="149"/>
      <c r="J1201" s="130">
        <v>1</v>
      </c>
      <c r="K1201" s="132">
        <f t="shared" si="108"/>
        <v>0</v>
      </c>
      <c r="M1201" s="132">
        <v>1</v>
      </c>
      <c r="N1201" s="132">
        <f t="shared" si="109"/>
        <v>0</v>
      </c>
      <c r="P1201" s="132">
        <v>1</v>
      </c>
      <c r="Q1201" s="132">
        <f t="shared" si="113"/>
        <v>0</v>
      </c>
      <c r="S1201" s="132">
        <v>1</v>
      </c>
      <c r="T1201" s="132">
        <f t="shared" si="110"/>
        <v>0</v>
      </c>
      <c r="V1201" s="126">
        <f t="shared" si="111"/>
        <v>0</v>
      </c>
      <c r="W1201" s="92">
        <f t="shared" si="112"/>
        <v>0</v>
      </c>
      <c r="Y1201" s="210"/>
    </row>
    <row r="1202" spans="1:25" ht="14.4" customHeight="1" thickBot="1" x14ac:dyDescent="0.3">
      <c r="A1202" s="149"/>
      <c r="J1202" s="130">
        <v>1</v>
      </c>
      <c r="K1202" s="132">
        <f t="shared" si="108"/>
        <v>0</v>
      </c>
      <c r="M1202" s="132">
        <v>1</v>
      </c>
      <c r="N1202" s="132">
        <f t="shared" si="109"/>
        <v>0</v>
      </c>
      <c r="P1202" s="132">
        <v>1</v>
      </c>
      <c r="Q1202" s="132">
        <f t="shared" si="113"/>
        <v>0</v>
      </c>
      <c r="S1202" s="132">
        <v>1</v>
      </c>
      <c r="T1202" s="132">
        <f t="shared" si="110"/>
        <v>0</v>
      </c>
      <c r="V1202" s="126">
        <f t="shared" si="111"/>
        <v>0</v>
      </c>
      <c r="W1202" s="92">
        <f t="shared" si="112"/>
        <v>0</v>
      </c>
      <c r="Y1202" s="210"/>
    </row>
    <row r="1203" spans="1:25" ht="14.4" customHeight="1" thickBot="1" x14ac:dyDescent="0.3">
      <c r="A1203" s="149"/>
      <c r="J1203" s="130">
        <v>1</v>
      </c>
      <c r="K1203" s="132">
        <f t="shared" si="108"/>
        <v>0</v>
      </c>
      <c r="M1203" s="132">
        <v>1</v>
      </c>
      <c r="N1203" s="132">
        <f t="shared" si="109"/>
        <v>0</v>
      </c>
      <c r="P1203" s="132">
        <v>1</v>
      </c>
      <c r="Q1203" s="132">
        <f t="shared" si="113"/>
        <v>0</v>
      </c>
      <c r="S1203" s="132">
        <v>1</v>
      </c>
      <c r="T1203" s="132">
        <f t="shared" si="110"/>
        <v>0</v>
      </c>
      <c r="V1203" s="126">
        <f t="shared" si="111"/>
        <v>0</v>
      </c>
      <c r="W1203" s="92">
        <f t="shared" si="112"/>
        <v>0</v>
      </c>
      <c r="Y1203" s="210"/>
    </row>
    <row r="1204" spans="1:25" ht="14.4" customHeight="1" thickBot="1" x14ac:dyDescent="0.3">
      <c r="A1204" s="149"/>
      <c r="J1204" s="130">
        <v>1</v>
      </c>
      <c r="K1204" s="132">
        <f t="shared" si="108"/>
        <v>0</v>
      </c>
      <c r="M1204" s="132">
        <v>1</v>
      </c>
      <c r="N1204" s="132">
        <f t="shared" si="109"/>
        <v>0</v>
      </c>
      <c r="P1204" s="132">
        <v>1</v>
      </c>
      <c r="Q1204" s="132">
        <f t="shared" si="113"/>
        <v>0</v>
      </c>
      <c r="S1204" s="132">
        <v>1</v>
      </c>
      <c r="T1204" s="132">
        <f t="shared" si="110"/>
        <v>0</v>
      </c>
      <c r="V1204" s="126">
        <f t="shared" si="111"/>
        <v>0</v>
      </c>
      <c r="W1204" s="92">
        <f t="shared" si="112"/>
        <v>0</v>
      </c>
      <c r="Y1204" s="210"/>
    </row>
    <row r="1205" spans="1:25" ht="14.4" customHeight="1" thickBot="1" x14ac:dyDescent="0.3">
      <c r="A1205" s="149"/>
      <c r="J1205" s="130">
        <v>1</v>
      </c>
      <c r="K1205" s="132">
        <f t="shared" si="108"/>
        <v>0</v>
      </c>
      <c r="M1205" s="132">
        <v>1</v>
      </c>
      <c r="N1205" s="132">
        <f t="shared" si="109"/>
        <v>0</v>
      </c>
      <c r="P1205" s="132">
        <v>1</v>
      </c>
      <c r="Q1205" s="132">
        <f t="shared" si="113"/>
        <v>0</v>
      </c>
      <c r="S1205" s="132">
        <v>1</v>
      </c>
      <c r="T1205" s="132">
        <f t="shared" si="110"/>
        <v>0</v>
      </c>
      <c r="V1205" s="126">
        <f t="shared" si="111"/>
        <v>0</v>
      </c>
      <c r="W1205" s="92">
        <f t="shared" si="112"/>
        <v>0</v>
      </c>
      <c r="Y1205" s="210"/>
    </row>
    <row r="1206" spans="1:25" ht="14.4" customHeight="1" thickBot="1" x14ac:dyDescent="0.3">
      <c r="A1206" s="149"/>
      <c r="J1206" s="130">
        <v>1</v>
      </c>
      <c r="K1206" s="132">
        <f t="shared" si="108"/>
        <v>0</v>
      </c>
      <c r="M1206" s="132">
        <v>1</v>
      </c>
      <c r="N1206" s="132">
        <f t="shared" si="109"/>
        <v>0</v>
      </c>
      <c r="P1206" s="132">
        <v>1</v>
      </c>
      <c r="Q1206" s="132">
        <f t="shared" si="113"/>
        <v>0</v>
      </c>
      <c r="S1206" s="132">
        <v>1</v>
      </c>
      <c r="T1206" s="132">
        <f t="shared" si="110"/>
        <v>0</v>
      </c>
      <c r="V1206" s="126">
        <f t="shared" si="111"/>
        <v>0</v>
      </c>
      <c r="W1206" s="92">
        <f t="shared" si="112"/>
        <v>0</v>
      </c>
      <c r="Y1206" s="210"/>
    </row>
    <row r="1207" spans="1:25" ht="14.4" customHeight="1" thickBot="1" x14ac:dyDescent="0.3">
      <c r="A1207" s="149"/>
      <c r="J1207" s="130">
        <v>1</v>
      </c>
      <c r="K1207" s="132">
        <f t="shared" si="108"/>
        <v>0</v>
      </c>
      <c r="M1207" s="132">
        <v>1</v>
      </c>
      <c r="N1207" s="132">
        <f t="shared" si="109"/>
        <v>0</v>
      </c>
      <c r="P1207" s="132">
        <v>1</v>
      </c>
      <c r="Q1207" s="132">
        <f t="shared" si="113"/>
        <v>0</v>
      </c>
      <c r="S1207" s="132">
        <v>1</v>
      </c>
      <c r="T1207" s="132">
        <f t="shared" si="110"/>
        <v>0</v>
      </c>
      <c r="V1207" s="126">
        <f t="shared" si="111"/>
        <v>0</v>
      </c>
      <c r="W1207" s="92">
        <f t="shared" si="112"/>
        <v>0</v>
      </c>
      <c r="Y1207" s="210"/>
    </row>
    <row r="1208" spans="1:25" ht="14.4" customHeight="1" thickBot="1" x14ac:dyDescent="0.3">
      <c r="A1208" s="149"/>
      <c r="J1208" s="130">
        <v>1</v>
      </c>
      <c r="K1208" s="132">
        <f t="shared" si="108"/>
        <v>0</v>
      </c>
      <c r="M1208" s="132">
        <v>1</v>
      </c>
      <c r="N1208" s="132">
        <f t="shared" si="109"/>
        <v>0</v>
      </c>
      <c r="P1208" s="132">
        <v>1</v>
      </c>
      <c r="Q1208" s="132">
        <f t="shared" si="113"/>
        <v>0</v>
      </c>
      <c r="S1208" s="132">
        <v>1</v>
      </c>
      <c r="T1208" s="132">
        <f t="shared" si="110"/>
        <v>0</v>
      </c>
      <c r="V1208" s="126">
        <f t="shared" si="111"/>
        <v>0</v>
      </c>
      <c r="W1208" s="92">
        <f t="shared" si="112"/>
        <v>0</v>
      </c>
      <c r="Y1208" s="210"/>
    </row>
    <row r="1209" spans="1:25" ht="14.4" customHeight="1" thickBot="1" x14ac:dyDescent="0.3">
      <c r="A1209" s="149"/>
      <c r="J1209" s="130">
        <v>1</v>
      </c>
      <c r="K1209" s="132">
        <f t="shared" si="108"/>
        <v>0</v>
      </c>
      <c r="M1209" s="132">
        <v>1</v>
      </c>
      <c r="N1209" s="132">
        <f t="shared" si="109"/>
        <v>0</v>
      </c>
      <c r="P1209" s="132">
        <v>1</v>
      </c>
      <c r="Q1209" s="132">
        <f t="shared" si="113"/>
        <v>0</v>
      </c>
      <c r="S1209" s="132">
        <v>1</v>
      </c>
      <c r="T1209" s="132">
        <f t="shared" si="110"/>
        <v>0</v>
      </c>
      <c r="V1209" s="126">
        <f t="shared" si="111"/>
        <v>0</v>
      </c>
      <c r="W1209" s="92">
        <f t="shared" si="112"/>
        <v>0</v>
      </c>
      <c r="Y1209" s="210"/>
    </row>
    <row r="1210" spans="1:25" ht="14.4" customHeight="1" thickBot="1" x14ac:dyDescent="0.3">
      <c r="A1210" s="149"/>
      <c r="J1210" s="130">
        <v>1</v>
      </c>
      <c r="K1210" s="132">
        <f t="shared" si="108"/>
        <v>0</v>
      </c>
      <c r="M1210" s="132">
        <v>1</v>
      </c>
      <c r="N1210" s="132">
        <f t="shared" si="109"/>
        <v>0</v>
      </c>
      <c r="P1210" s="132">
        <v>1</v>
      </c>
      <c r="Q1210" s="132">
        <f t="shared" si="113"/>
        <v>0</v>
      </c>
      <c r="S1210" s="132">
        <v>1</v>
      </c>
      <c r="T1210" s="132">
        <f t="shared" si="110"/>
        <v>0</v>
      </c>
      <c r="V1210" s="126">
        <f t="shared" si="111"/>
        <v>0</v>
      </c>
      <c r="W1210" s="92">
        <f t="shared" si="112"/>
        <v>0</v>
      </c>
      <c r="Y1210" s="210"/>
    </row>
    <row r="1211" spans="1:25" ht="14.4" customHeight="1" thickBot="1" x14ac:dyDescent="0.3">
      <c r="A1211" s="149"/>
      <c r="J1211" s="130">
        <v>1</v>
      </c>
      <c r="K1211" s="132">
        <f t="shared" si="108"/>
        <v>0</v>
      </c>
      <c r="M1211" s="132">
        <v>1</v>
      </c>
      <c r="N1211" s="132">
        <f t="shared" si="109"/>
        <v>0</v>
      </c>
      <c r="P1211" s="132">
        <v>1</v>
      </c>
      <c r="Q1211" s="132">
        <f t="shared" si="113"/>
        <v>0</v>
      </c>
      <c r="S1211" s="132">
        <v>1</v>
      </c>
      <c r="T1211" s="132">
        <f t="shared" si="110"/>
        <v>0</v>
      </c>
      <c r="V1211" s="126">
        <f t="shared" si="111"/>
        <v>0</v>
      </c>
      <c r="W1211" s="92">
        <f t="shared" si="112"/>
        <v>0</v>
      </c>
      <c r="Y1211" s="210"/>
    </row>
    <row r="1212" spans="1:25" ht="14.4" customHeight="1" thickBot="1" x14ac:dyDescent="0.3">
      <c r="A1212" s="149"/>
      <c r="J1212" s="130">
        <v>1</v>
      </c>
      <c r="K1212" s="132">
        <f t="shared" si="108"/>
        <v>0</v>
      </c>
      <c r="M1212" s="132">
        <v>1</v>
      </c>
      <c r="N1212" s="132">
        <f t="shared" si="109"/>
        <v>0</v>
      </c>
      <c r="P1212" s="132">
        <v>1</v>
      </c>
      <c r="Q1212" s="132">
        <f t="shared" si="113"/>
        <v>0</v>
      </c>
      <c r="S1212" s="132">
        <v>1</v>
      </c>
      <c r="T1212" s="132">
        <f t="shared" si="110"/>
        <v>0</v>
      </c>
      <c r="V1212" s="126">
        <f t="shared" si="111"/>
        <v>0</v>
      </c>
      <c r="W1212" s="92">
        <f t="shared" si="112"/>
        <v>0</v>
      </c>
      <c r="Y1212" s="210"/>
    </row>
    <row r="1213" spans="1:25" ht="14.4" customHeight="1" thickBot="1" x14ac:dyDescent="0.3">
      <c r="A1213" s="149"/>
      <c r="J1213" s="130">
        <v>1</v>
      </c>
      <c r="K1213" s="132">
        <f t="shared" si="108"/>
        <v>0</v>
      </c>
      <c r="M1213" s="132">
        <v>1</v>
      </c>
      <c r="N1213" s="132">
        <f t="shared" si="109"/>
        <v>0</v>
      </c>
      <c r="P1213" s="132">
        <v>1</v>
      </c>
      <c r="Q1213" s="132">
        <f t="shared" si="113"/>
        <v>0</v>
      </c>
      <c r="S1213" s="132">
        <v>1</v>
      </c>
      <c r="T1213" s="132">
        <f t="shared" si="110"/>
        <v>0</v>
      </c>
      <c r="V1213" s="126">
        <f t="shared" si="111"/>
        <v>0</v>
      </c>
      <c r="W1213" s="92">
        <f t="shared" si="112"/>
        <v>0</v>
      </c>
      <c r="Y1213" s="210"/>
    </row>
    <row r="1214" spans="1:25" ht="14.4" customHeight="1" thickBot="1" x14ac:dyDescent="0.3">
      <c r="A1214" s="149"/>
      <c r="J1214" s="130">
        <v>1</v>
      </c>
      <c r="K1214" s="132">
        <f t="shared" si="108"/>
        <v>0</v>
      </c>
      <c r="M1214" s="132">
        <v>1</v>
      </c>
      <c r="N1214" s="132">
        <f t="shared" si="109"/>
        <v>0</v>
      </c>
      <c r="P1214" s="132">
        <v>1</v>
      </c>
      <c r="Q1214" s="132">
        <f t="shared" si="113"/>
        <v>0</v>
      </c>
      <c r="S1214" s="132">
        <v>1</v>
      </c>
      <c r="T1214" s="132">
        <f t="shared" si="110"/>
        <v>0</v>
      </c>
      <c r="V1214" s="126">
        <f t="shared" si="111"/>
        <v>0</v>
      </c>
      <c r="W1214" s="92">
        <f t="shared" si="112"/>
        <v>0</v>
      </c>
      <c r="Y1214" s="210"/>
    </row>
    <row r="1215" spans="1:25" ht="14.4" customHeight="1" thickBot="1" x14ac:dyDescent="0.3">
      <c r="A1215" s="149"/>
      <c r="J1215" s="130">
        <v>1</v>
      </c>
      <c r="K1215" s="132">
        <f t="shared" si="108"/>
        <v>0</v>
      </c>
      <c r="M1215" s="132">
        <v>1</v>
      </c>
      <c r="N1215" s="132">
        <f t="shared" si="109"/>
        <v>0</v>
      </c>
      <c r="P1215" s="132">
        <v>1</v>
      </c>
      <c r="Q1215" s="132">
        <f t="shared" si="113"/>
        <v>0</v>
      </c>
      <c r="S1215" s="132">
        <v>1</v>
      </c>
      <c r="T1215" s="132">
        <f t="shared" si="110"/>
        <v>0</v>
      </c>
      <c r="V1215" s="126">
        <f t="shared" si="111"/>
        <v>0</v>
      </c>
      <c r="W1215" s="92">
        <f t="shared" si="112"/>
        <v>0</v>
      </c>
      <c r="Y1215" s="210"/>
    </row>
    <row r="1216" spans="1:25" ht="14.4" customHeight="1" thickBot="1" x14ac:dyDescent="0.3">
      <c r="A1216" s="149"/>
      <c r="J1216" s="130">
        <v>1</v>
      </c>
      <c r="K1216" s="132">
        <f t="shared" si="108"/>
        <v>0</v>
      </c>
      <c r="M1216" s="132">
        <v>1</v>
      </c>
      <c r="N1216" s="132">
        <f t="shared" si="109"/>
        <v>0</v>
      </c>
      <c r="P1216" s="132">
        <v>1</v>
      </c>
      <c r="Q1216" s="132">
        <f t="shared" si="113"/>
        <v>0</v>
      </c>
      <c r="S1216" s="132">
        <v>1</v>
      </c>
      <c r="T1216" s="132">
        <f t="shared" si="110"/>
        <v>0</v>
      </c>
      <c r="V1216" s="126">
        <f t="shared" si="111"/>
        <v>0</v>
      </c>
      <c r="W1216" s="92">
        <f t="shared" si="112"/>
        <v>0</v>
      </c>
      <c r="Y1216" s="210"/>
    </row>
    <row r="1217" spans="1:25" ht="14.4" customHeight="1" thickBot="1" x14ac:dyDescent="0.3">
      <c r="A1217" s="149"/>
      <c r="J1217" s="130">
        <v>1</v>
      </c>
      <c r="K1217" s="132">
        <f t="shared" si="108"/>
        <v>0</v>
      </c>
      <c r="M1217" s="132">
        <v>1</v>
      </c>
      <c r="N1217" s="132">
        <f t="shared" si="109"/>
        <v>0</v>
      </c>
      <c r="P1217" s="132">
        <v>1</v>
      </c>
      <c r="Q1217" s="132">
        <f t="shared" si="113"/>
        <v>0</v>
      </c>
      <c r="S1217" s="132">
        <v>1</v>
      </c>
      <c r="T1217" s="132">
        <f t="shared" si="110"/>
        <v>0</v>
      </c>
      <c r="V1217" s="126">
        <f t="shared" si="111"/>
        <v>0</v>
      </c>
      <c r="W1217" s="92">
        <f t="shared" si="112"/>
        <v>0</v>
      </c>
      <c r="Y1217" s="210"/>
    </row>
    <row r="1218" spans="1:25" ht="14.4" customHeight="1" thickBot="1" x14ac:dyDescent="0.3">
      <c r="A1218" s="149"/>
      <c r="J1218" s="130">
        <v>1</v>
      </c>
      <c r="K1218" s="132">
        <f t="shared" ref="K1218:K1281" si="114">I1218/J1218</f>
        <v>0</v>
      </c>
      <c r="M1218" s="132">
        <v>1</v>
      </c>
      <c r="N1218" s="132">
        <f t="shared" ref="N1218:N1281" si="115">L1218/M1218</f>
        <v>0</v>
      </c>
      <c r="P1218" s="132">
        <v>1</v>
      </c>
      <c r="Q1218" s="132">
        <f t="shared" si="113"/>
        <v>0</v>
      </c>
      <c r="S1218" s="132">
        <v>1</v>
      </c>
      <c r="T1218" s="132">
        <f t="shared" ref="T1218:T1281" si="116">R1218/S1218</f>
        <v>0</v>
      </c>
      <c r="V1218" s="126">
        <f t="shared" ref="V1218:V1281" si="117">D1218+E1218-G1218-I1218/J1218-L1218/M1218-O1218/P1218-R1218/S1218</f>
        <v>0</v>
      </c>
      <c r="W1218" s="92">
        <f t="shared" ref="W1218:W1281" si="118">G1218+I1218/J1218+L1218/M1218+O1218/P1218+R1218/S1218</f>
        <v>0</v>
      </c>
      <c r="Y1218" s="210"/>
    </row>
    <row r="1219" spans="1:25" ht="14.4" customHeight="1" thickBot="1" x14ac:dyDescent="0.3">
      <c r="A1219" s="149"/>
      <c r="J1219" s="130">
        <v>1</v>
      </c>
      <c r="K1219" s="132">
        <f t="shared" si="114"/>
        <v>0</v>
      </c>
      <c r="M1219" s="132">
        <v>1</v>
      </c>
      <c r="N1219" s="132">
        <f t="shared" si="115"/>
        <v>0</v>
      </c>
      <c r="P1219" s="132">
        <v>1</v>
      </c>
      <c r="Q1219" s="132">
        <f t="shared" ref="Q1219:Q1282" si="119">O1219/P1219</f>
        <v>0</v>
      </c>
      <c r="S1219" s="132">
        <v>1</v>
      </c>
      <c r="T1219" s="132">
        <f t="shared" si="116"/>
        <v>0</v>
      </c>
      <c r="V1219" s="126">
        <f t="shared" si="117"/>
        <v>0</v>
      </c>
      <c r="W1219" s="92">
        <f t="shared" si="118"/>
        <v>0</v>
      </c>
      <c r="Y1219" s="210"/>
    </row>
    <row r="1220" spans="1:25" ht="14.4" customHeight="1" thickBot="1" x14ac:dyDescent="0.3">
      <c r="A1220" s="149"/>
      <c r="J1220" s="130">
        <v>1</v>
      </c>
      <c r="K1220" s="132">
        <f t="shared" si="114"/>
        <v>0</v>
      </c>
      <c r="M1220" s="132">
        <v>1</v>
      </c>
      <c r="N1220" s="132">
        <f t="shared" si="115"/>
        <v>0</v>
      </c>
      <c r="P1220" s="132">
        <v>1</v>
      </c>
      <c r="Q1220" s="132">
        <f t="shared" si="119"/>
        <v>0</v>
      </c>
      <c r="S1220" s="132">
        <v>1</v>
      </c>
      <c r="T1220" s="132">
        <f t="shared" si="116"/>
        <v>0</v>
      </c>
      <c r="V1220" s="126">
        <f t="shared" si="117"/>
        <v>0</v>
      </c>
      <c r="W1220" s="92">
        <f t="shared" si="118"/>
        <v>0</v>
      </c>
      <c r="Y1220" s="210"/>
    </row>
    <row r="1221" spans="1:25" ht="14.4" customHeight="1" thickBot="1" x14ac:dyDescent="0.3">
      <c r="A1221" s="149"/>
      <c r="J1221" s="130">
        <v>1</v>
      </c>
      <c r="K1221" s="132">
        <f t="shared" si="114"/>
        <v>0</v>
      </c>
      <c r="M1221" s="132">
        <v>1</v>
      </c>
      <c r="N1221" s="132">
        <f t="shared" si="115"/>
        <v>0</v>
      </c>
      <c r="P1221" s="132">
        <v>1</v>
      </c>
      <c r="Q1221" s="132">
        <f t="shared" si="119"/>
        <v>0</v>
      </c>
      <c r="S1221" s="132">
        <v>1</v>
      </c>
      <c r="T1221" s="132">
        <f t="shared" si="116"/>
        <v>0</v>
      </c>
      <c r="V1221" s="126">
        <f t="shared" si="117"/>
        <v>0</v>
      </c>
      <c r="W1221" s="92">
        <f t="shared" si="118"/>
        <v>0</v>
      </c>
      <c r="Y1221" s="210"/>
    </row>
    <row r="1222" spans="1:25" ht="14.4" customHeight="1" thickBot="1" x14ac:dyDescent="0.3">
      <c r="A1222" s="149"/>
      <c r="J1222" s="130">
        <v>1</v>
      </c>
      <c r="K1222" s="132">
        <f t="shared" si="114"/>
        <v>0</v>
      </c>
      <c r="M1222" s="132">
        <v>1</v>
      </c>
      <c r="N1222" s="132">
        <f t="shared" si="115"/>
        <v>0</v>
      </c>
      <c r="P1222" s="132">
        <v>1</v>
      </c>
      <c r="Q1222" s="132">
        <f t="shared" si="119"/>
        <v>0</v>
      </c>
      <c r="S1222" s="132">
        <v>1</v>
      </c>
      <c r="T1222" s="132">
        <f t="shared" si="116"/>
        <v>0</v>
      </c>
      <c r="V1222" s="126">
        <f t="shared" si="117"/>
        <v>0</v>
      </c>
      <c r="W1222" s="92">
        <f t="shared" si="118"/>
        <v>0</v>
      </c>
      <c r="Y1222" s="210"/>
    </row>
    <row r="1223" spans="1:25" ht="14.4" customHeight="1" thickBot="1" x14ac:dyDescent="0.3">
      <c r="A1223" s="149"/>
      <c r="J1223" s="130">
        <v>1</v>
      </c>
      <c r="K1223" s="132">
        <f t="shared" si="114"/>
        <v>0</v>
      </c>
      <c r="M1223" s="132">
        <v>1</v>
      </c>
      <c r="N1223" s="132">
        <f t="shared" si="115"/>
        <v>0</v>
      </c>
      <c r="P1223" s="132">
        <v>1</v>
      </c>
      <c r="Q1223" s="132">
        <f t="shared" si="119"/>
        <v>0</v>
      </c>
      <c r="S1223" s="132">
        <v>1</v>
      </c>
      <c r="T1223" s="132">
        <f t="shared" si="116"/>
        <v>0</v>
      </c>
      <c r="V1223" s="126">
        <f t="shared" si="117"/>
        <v>0</v>
      </c>
      <c r="W1223" s="92">
        <f t="shared" si="118"/>
        <v>0</v>
      </c>
      <c r="Y1223" s="210"/>
    </row>
    <row r="1224" spans="1:25" ht="14.4" customHeight="1" thickBot="1" x14ac:dyDescent="0.3">
      <c r="A1224" s="149"/>
      <c r="J1224" s="130">
        <v>1</v>
      </c>
      <c r="K1224" s="132">
        <f t="shared" si="114"/>
        <v>0</v>
      </c>
      <c r="M1224" s="132">
        <v>1</v>
      </c>
      <c r="N1224" s="132">
        <f t="shared" si="115"/>
        <v>0</v>
      </c>
      <c r="P1224" s="132">
        <v>1</v>
      </c>
      <c r="Q1224" s="132">
        <f t="shared" si="119"/>
        <v>0</v>
      </c>
      <c r="S1224" s="132">
        <v>1</v>
      </c>
      <c r="T1224" s="132">
        <f t="shared" si="116"/>
        <v>0</v>
      </c>
      <c r="V1224" s="126">
        <f t="shared" si="117"/>
        <v>0</v>
      </c>
      <c r="W1224" s="92">
        <f t="shared" si="118"/>
        <v>0</v>
      </c>
      <c r="Y1224" s="210"/>
    </row>
    <row r="1225" spans="1:25" ht="14.4" customHeight="1" thickBot="1" x14ac:dyDescent="0.3">
      <c r="A1225" s="149"/>
      <c r="J1225" s="130">
        <v>1</v>
      </c>
      <c r="K1225" s="132">
        <f t="shared" si="114"/>
        <v>0</v>
      </c>
      <c r="M1225" s="132">
        <v>1</v>
      </c>
      <c r="N1225" s="132">
        <f t="shared" si="115"/>
        <v>0</v>
      </c>
      <c r="P1225" s="132">
        <v>1</v>
      </c>
      <c r="Q1225" s="132">
        <f t="shared" si="119"/>
        <v>0</v>
      </c>
      <c r="S1225" s="132">
        <v>1</v>
      </c>
      <c r="T1225" s="132">
        <f t="shared" si="116"/>
        <v>0</v>
      </c>
      <c r="V1225" s="126">
        <f t="shared" si="117"/>
        <v>0</v>
      </c>
      <c r="W1225" s="92">
        <f t="shared" si="118"/>
        <v>0</v>
      </c>
      <c r="Y1225" s="210"/>
    </row>
    <row r="1226" spans="1:25" ht="14.4" customHeight="1" thickBot="1" x14ac:dyDescent="0.3">
      <c r="A1226" s="149"/>
      <c r="J1226" s="130">
        <v>1</v>
      </c>
      <c r="K1226" s="132">
        <f t="shared" si="114"/>
        <v>0</v>
      </c>
      <c r="M1226" s="132">
        <v>1</v>
      </c>
      <c r="N1226" s="132">
        <f t="shared" si="115"/>
        <v>0</v>
      </c>
      <c r="P1226" s="132">
        <v>1</v>
      </c>
      <c r="Q1226" s="132">
        <f t="shared" si="119"/>
        <v>0</v>
      </c>
      <c r="S1226" s="132">
        <v>1</v>
      </c>
      <c r="T1226" s="132">
        <f t="shared" si="116"/>
        <v>0</v>
      </c>
      <c r="V1226" s="126">
        <f t="shared" si="117"/>
        <v>0</v>
      </c>
      <c r="W1226" s="92">
        <f t="shared" si="118"/>
        <v>0</v>
      </c>
      <c r="Y1226" s="210"/>
    </row>
    <row r="1227" spans="1:25" ht="14.4" customHeight="1" thickBot="1" x14ac:dyDescent="0.3">
      <c r="A1227" s="149"/>
      <c r="J1227" s="130">
        <v>1</v>
      </c>
      <c r="K1227" s="132">
        <f t="shared" si="114"/>
        <v>0</v>
      </c>
      <c r="M1227" s="132">
        <v>1</v>
      </c>
      <c r="N1227" s="132">
        <f t="shared" si="115"/>
        <v>0</v>
      </c>
      <c r="P1227" s="132">
        <v>1</v>
      </c>
      <c r="Q1227" s="132">
        <f t="shared" si="119"/>
        <v>0</v>
      </c>
      <c r="S1227" s="132">
        <v>1</v>
      </c>
      <c r="T1227" s="132">
        <f t="shared" si="116"/>
        <v>0</v>
      </c>
      <c r="V1227" s="126">
        <f t="shared" si="117"/>
        <v>0</v>
      </c>
      <c r="W1227" s="92">
        <f t="shared" si="118"/>
        <v>0</v>
      </c>
      <c r="Y1227" s="210"/>
    </row>
    <row r="1228" spans="1:25" ht="14.4" customHeight="1" thickBot="1" x14ac:dyDescent="0.3">
      <c r="A1228" s="149"/>
      <c r="J1228" s="130">
        <v>1</v>
      </c>
      <c r="K1228" s="132">
        <f t="shared" si="114"/>
        <v>0</v>
      </c>
      <c r="M1228" s="132">
        <v>1</v>
      </c>
      <c r="N1228" s="132">
        <f t="shared" si="115"/>
        <v>0</v>
      </c>
      <c r="P1228" s="132">
        <v>1</v>
      </c>
      <c r="Q1228" s="132">
        <f t="shared" si="119"/>
        <v>0</v>
      </c>
      <c r="S1228" s="132">
        <v>1</v>
      </c>
      <c r="T1228" s="132">
        <f t="shared" si="116"/>
        <v>0</v>
      </c>
      <c r="V1228" s="126">
        <f t="shared" si="117"/>
        <v>0</v>
      </c>
      <c r="W1228" s="92">
        <f t="shared" si="118"/>
        <v>0</v>
      </c>
      <c r="Y1228" s="210"/>
    </row>
    <row r="1229" spans="1:25" ht="14.4" customHeight="1" thickBot="1" x14ac:dyDescent="0.3">
      <c r="A1229" s="149"/>
      <c r="J1229" s="130">
        <v>1</v>
      </c>
      <c r="K1229" s="132">
        <f t="shared" si="114"/>
        <v>0</v>
      </c>
      <c r="M1229" s="132">
        <v>1</v>
      </c>
      <c r="N1229" s="132">
        <f t="shared" si="115"/>
        <v>0</v>
      </c>
      <c r="P1229" s="132">
        <v>1</v>
      </c>
      <c r="Q1229" s="132">
        <f t="shared" si="119"/>
        <v>0</v>
      </c>
      <c r="S1229" s="132">
        <v>1</v>
      </c>
      <c r="T1229" s="132">
        <f t="shared" si="116"/>
        <v>0</v>
      </c>
      <c r="V1229" s="126">
        <f t="shared" si="117"/>
        <v>0</v>
      </c>
      <c r="W1229" s="92">
        <f t="shared" si="118"/>
        <v>0</v>
      </c>
      <c r="Y1229" s="210"/>
    </row>
    <row r="1230" spans="1:25" ht="14.4" customHeight="1" thickBot="1" x14ac:dyDescent="0.3">
      <c r="A1230" s="149"/>
      <c r="J1230" s="130">
        <v>1</v>
      </c>
      <c r="K1230" s="132">
        <f t="shared" si="114"/>
        <v>0</v>
      </c>
      <c r="M1230" s="132">
        <v>1</v>
      </c>
      <c r="N1230" s="132">
        <f t="shared" si="115"/>
        <v>0</v>
      </c>
      <c r="P1230" s="132">
        <v>1</v>
      </c>
      <c r="Q1230" s="132">
        <f t="shared" si="119"/>
        <v>0</v>
      </c>
      <c r="S1230" s="132">
        <v>1</v>
      </c>
      <c r="T1230" s="132">
        <f t="shared" si="116"/>
        <v>0</v>
      </c>
      <c r="V1230" s="126">
        <f t="shared" si="117"/>
        <v>0</v>
      </c>
      <c r="W1230" s="92">
        <f t="shared" si="118"/>
        <v>0</v>
      </c>
      <c r="Y1230" s="210"/>
    </row>
    <row r="1231" spans="1:25" ht="14.4" customHeight="1" thickBot="1" x14ac:dyDescent="0.3">
      <c r="A1231" s="149"/>
      <c r="J1231" s="130">
        <v>1</v>
      </c>
      <c r="K1231" s="132">
        <f t="shared" si="114"/>
        <v>0</v>
      </c>
      <c r="M1231" s="132">
        <v>1</v>
      </c>
      <c r="N1231" s="132">
        <f t="shared" si="115"/>
        <v>0</v>
      </c>
      <c r="P1231" s="132">
        <v>1</v>
      </c>
      <c r="Q1231" s="132">
        <f t="shared" si="119"/>
        <v>0</v>
      </c>
      <c r="S1231" s="132">
        <v>1</v>
      </c>
      <c r="T1231" s="132">
        <f t="shared" si="116"/>
        <v>0</v>
      </c>
      <c r="V1231" s="126">
        <f t="shared" si="117"/>
        <v>0</v>
      </c>
      <c r="W1231" s="92">
        <f t="shared" si="118"/>
        <v>0</v>
      </c>
      <c r="Y1231" s="210"/>
    </row>
    <row r="1232" spans="1:25" ht="14.4" customHeight="1" thickBot="1" x14ac:dyDescent="0.3">
      <c r="A1232" s="149"/>
      <c r="J1232" s="130">
        <v>1</v>
      </c>
      <c r="K1232" s="132">
        <f t="shared" si="114"/>
        <v>0</v>
      </c>
      <c r="M1232" s="132">
        <v>1</v>
      </c>
      <c r="N1232" s="132">
        <f t="shared" si="115"/>
        <v>0</v>
      </c>
      <c r="P1232" s="132">
        <v>1</v>
      </c>
      <c r="Q1232" s="132">
        <f t="shared" si="119"/>
        <v>0</v>
      </c>
      <c r="S1232" s="132">
        <v>1</v>
      </c>
      <c r="T1232" s="132">
        <f t="shared" si="116"/>
        <v>0</v>
      </c>
      <c r="V1232" s="126">
        <f t="shared" si="117"/>
        <v>0</v>
      </c>
      <c r="W1232" s="92">
        <f t="shared" si="118"/>
        <v>0</v>
      </c>
      <c r="Y1232" s="210"/>
    </row>
    <row r="1233" spans="1:25" ht="14.4" customHeight="1" thickBot="1" x14ac:dyDescent="0.3">
      <c r="A1233" s="149"/>
      <c r="J1233" s="130">
        <v>1</v>
      </c>
      <c r="K1233" s="132">
        <f t="shared" si="114"/>
        <v>0</v>
      </c>
      <c r="M1233" s="132">
        <v>1</v>
      </c>
      <c r="N1233" s="132">
        <f t="shared" si="115"/>
        <v>0</v>
      </c>
      <c r="P1233" s="132">
        <v>1</v>
      </c>
      <c r="Q1233" s="132">
        <f t="shared" si="119"/>
        <v>0</v>
      </c>
      <c r="S1233" s="132">
        <v>1</v>
      </c>
      <c r="T1233" s="132">
        <f t="shared" si="116"/>
        <v>0</v>
      </c>
      <c r="V1233" s="126">
        <f t="shared" si="117"/>
        <v>0</v>
      </c>
      <c r="W1233" s="92">
        <f t="shared" si="118"/>
        <v>0</v>
      </c>
      <c r="Y1233" s="210"/>
    </row>
    <row r="1234" spans="1:25" ht="14.4" customHeight="1" thickBot="1" x14ac:dyDescent="0.3">
      <c r="A1234" s="149"/>
      <c r="J1234" s="130">
        <v>1</v>
      </c>
      <c r="K1234" s="132">
        <f t="shared" si="114"/>
        <v>0</v>
      </c>
      <c r="M1234" s="132">
        <v>1</v>
      </c>
      <c r="N1234" s="132">
        <f t="shared" si="115"/>
        <v>0</v>
      </c>
      <c r="P1234" s="132">
        <v>1</v>
      </c>
      <c r="Q1234" s="132">
        <f t="shared" si="119"/>
        <v>0</v>
      </c>
      <c r="S1234" s="132">
        <v>1</v>
      </c>
      <c r="T1234" s="132">
        <f t="shared" si="116"/>
        <v>0</v>
      </c>
      <c r="V1234" s="126">
        <f t="shared" si="117"/>
        <v>0</v>
      </c>
      <c r="W1234" s="92">
        <f t="shared" si="118"/>
        <v>0</v>
      </c>
      <c r="Y1234" s="210"/>
    </row>
    <row r="1235" spans="1:25" ht="14.4" customHeight="1" thickBot="1" x14ac:dyDescent="0.3">
      <c r="A1235" s="149"/>
      <c r="J1235" s="130">
        <v>1</v>
      </c>
      <c r="K1235" s="132">
        <f t="shared" si="114"/>
        <v>0</v>
      </c>
      <c r="M1235" s="132">
        <v>1</v>
      </c>
      <c r="N1235" s="132">
        <f t="shared" si="115"/>
        <v>0</v>
      </c>
      <c r="P1235" s="132">
        <v>1</v>
      </c>
      <c r="Q1235" s="132">
        <f t="shared" si="119"/>
        <v>0</v>
      </c>
      <c r="S1235" s="132">
        <v>1</v>
      </c>
      <c r="T1235" s="132">
        <f t="shared" si="116"/>
        <v>0</v>
      </c>
      <c r="V1235" s="126">
        <f t="shared" si="117"/>
        <v>0</v>
      </c>
      <c r="W1235" s="92">
        <f t="shared" si="118"/>
        <v>0</v>
      </c>
      <c r="Y1235" s="210"/>
    </row>
    <row r="1236" spans="1:25" ht="14.4" customHeight="1" thickBot="1" x14ac:dyDescent="0.3">
      <c r="A1236" s="149"/>
      <c r="J1236" s="130">
        <v>1</v>
      </c>
      <c r="K1236" s="132">
        <f t="shared" si="114"/>
        <v>0</v>
      </c>
      <c r="M1236" s="132">
        <v>1</v>
      </c>
      <c r="N1236" s="132">
        <f t="shared" si="115"/>
        <v>0</v>
      </c>
      <c r="P1236" s="132">
        <v>1</v>
      </c>
      <c r="Q1236" s="132">
        <f t="shared" si="119"/>
        <v>0</v>
      </c>
      <c r="S1236" s="132">
        <v>1</v>
      </c>
      <c r="T1236" s="132">
        <f t="shared" si="116"/>
        <v>0</v>
      </c>
      <c r="V1236" s="126">
        <f t="shared" si="117"/>
        <v>0</v>
      </c>
      <c r="W1236" s="92">
        <f t="shared" si="118"/>
        <v>0</v>
      </c>
      <c r="Y1236" s="210"/>
    </row>
    <row r="1237" spans="1:25" ht="14.4" customHeight="1" thickBot="1" x14ac:dyDescent="0.3">
      <c r="A1237" s="149"/>
      <c r="J1237" s="130">
        <v>1</v>
      </c>
      <c r="K1237" s="132">
        <f t="shared" si="114"/>
        <v>0</v>
      </c>
      <c r="M1237" s="132">
        <v>1</v>
      </c>
      <c r="N1237" s="132">
        <f t="shared" si="115"/>
        <v>0</v>
      </c>
      <c r="P1237" s="132">
        <v>1</v>
      </c>
      <c r="Q1237" s="132">
        <f t="shared" si="119"/>
        <v>0</v>
      </c>
      <c r="S1237" s="132">
        <v>1</v>
      </c>
      <c r="T1237" s="132">
        <f t="shared" si="116"/>
        <v>0</v>
      </c>
      <c r="V1237" s="126">
        <f t="shared" si="117"/>
        <v>0</v>
      </c>
      <c r="W1237" s="92">
        <f t="shared" si="118"/>
        <v>0</v>
      </c>
      <c r="Y1237" s="210"/>
    </row>
    <row r="1238" spans="1:25" ht="14.4" customHeight="1" thickBot="1" x14ac:dyDescent="0.3">
      <c r="A1238" s="149"/>
      <c r="J1238" s="130">
        <v>1</v>
      </c>
      <c r="K1238" s="132">
        <f t="shared" si="114"/>
        <v>0</v>
      </c>
      <c r="M1238" s="132">
        <v>1</v>
      </c>
      <c r="N1238" s="132">
        <f t="shared" si="115"/>
        <v>0</v>
      </c>
      <c r="P1238" s="132">
        <v>1</v>
      </c>
      <c r="Q1238" s="132">
        <f t="shared" si="119"/>
        <v>0</v>
      </c>
      <c r="S1238" s="132">
        <v>1</v>
      </c>
      <c r="T1238" s="132">
        <f t="shared" si="116"/>
        <v>0</v>
      </c>
      <c r="V1238" s="126">
        <f t="shared" si="117"/>
        <v>0</v>
      </c>
      <c r="W1238" s="92">
        <f t="shared" si="118"/>
        <v>0</v>
      </c>
      <c r="Y1238" s="210"/>
    </row>
    <row r="1239" spans="1:25" ht="14.4" customHeight="1" thickBot="1" x14ac:dyDescent="0.3">
      <c r="A1239" s="149"/>
      <c r="J1239" s="130">
        <v>1</v>
      </c>
      <c r="K1239" s="132">
        <f t="shared" si="114"/>
        <v>0</v>
      </c>
      <c r="M1239" s="132">
        <v>1</v>
      </c>
      <c r="N1239" s="132">
        <f t="shared" si="115"/>
        <v>0</v>
      </c>
      <c r="P1239" s="132">
        <v>1</v>
      </c>
      <c r="Q1239" s="132">
        <f t="shared" si="119"/>
        <v>0</v>
      </c>
      <c r="S1239" s="132">
        <v>1</v>
      </c>
      <c r="T1239" s="132">
        <f t="shared" si="116"/>
        <v>0</v>
      </c>
      <c r="V1239" s="126">
        <f t="shared" si="117"/>
        <v>0</v>
      </c>
      <c r="W1239" s="92">
        <f t="shared" si="118"/>
        <v>0</v>
      </c>
      <c r="Y1239" s="210"/>
    </row>
    <row r="1240" spans="1:25" ht="14.4" customHeight="1" thickBot="1" x14ac:dyDescent="0.3">
      <c r="A1240" s="149"/>
      <c r="J1240" s="130">
        <v>1</v>
      </c>
      <c r="K1240" s="132">
        <f t="shared" si="114"/>
        <v>0</v>
      </c>
      <c r="M1240" s="132">
        <v>1</v>
      </c>
      <c r="N1240" s="132">
        <f t="shared" si="115"/>
        <v>0</v>
      </c>
      <c r="P1240" s="132">
        <v>1</v>
      </c>
      <c r="Q1240" s="132">
        <f t="shared" si="119"/>
        <v>0</v>
      </c>
      <c r="S1240" s="132">
        <v>1</v>
      </c>
      <c r="T1240" s="132">
        <f t="shared" si="116"/>
        <v>0</v>
      </c>
      <c r="V1240" s="126">
        <f t="shared" si="117"/>
        <v>0</v>
      </c>
      <c r="W1240" s="92">
        <f t="shared" si="118"/>
        <v>0</v>
      </c>
      <c r="Y1240" s="210"/>
    </row>
    <row r="1241" spans="1:25" ht="14.4" customHeight="1" thickBot="1" x14ac:dyDescent="0.3">
      <c r="A1241" s="149"/>
      <c r="J1241" s="130">
        <v>1</v>
      </c>
      <c r="K1241" s="132">
        <f t="shared" si="114"/>
        <v>0</v>
      </c>
      <c r="M1241" s="132">
        <v>1</v>
      </c>
      <c r="N1241" s="132">
        <f t="shared" si="115"/>
        <v>0</v>
      </c>
      <c r="P1241" s="132">
        <v>1</v>
      </c>
      <c r="Q1241" s="132">
        <f t="shared" si="119"/>
        <v>0</v>
      </c>
      <c r="S1241" s="132">
        <v>1</v>
      </c>
      <c r="T1241" s="132">
        <f t="shared" si="116"/>
        <v>0</v>
      </c>
      <c r="V1241" s="126">
        <f t="shared" si="117"/>
        <v>0</v>
      </c>
      <c r="W1241" s="92">
        <f t="shared" si="118"/>
        <v>0</v>
      </c>
      <c r="Y1241" s="210"/>
    </row>
    <row r="1242" spans="1:25" ht="14.4" customHeight="1" thickBot="1" x14ac:dyDescent="0.3">
      <c r="A1242" s="149"/>
      <c r="J1242" s="130">
        <v>1</v>
      </c>
      <c r="K1242" s="132">
        <f t="shared" si="114"/>
        <v>0</v>
      </c>
      <c r="M1242" s="132">
        <v>1</v>
      </c>
      <c r="N1242" s="132">
        <f t="shared" si="115"/>
        <v>0</v>
      </c>
      <c r="P1242" s="132">
        <v>1</v>
      </c>
      <c r="Q1242" s="132">
        <f t="shared" si="119"/>
        <v>0</v>
      </c>
      <c r="S1242" s="132">
        <v>1</v>
      </c>
      <c r="T1242" s="132">
        <f t="shared" si="116"/>
        <v>0</v>
      </c>
      <c r="V1242" s="126">
        <f t="shared" si="117"/>
        <v>0</v>
      </c>
      <c r="W1242" s="92">
        <f t="shared" si="118"/>
        <v>0</v>
      </c>
      <c r="Y1242" s="210"/>
    </row>
    <row r="1243" spans="1:25" ht="14.4" customHeight="1" thickBot="1" x14ac:dyDescent="0.3">
      <c r="A1243" s="149"/>
      <c r="J1243" s="130">
        <v>1</v>
      </c>
      <c r="K1243" s="132">
        <f t="shared" si="114"/>
        <v>0</v>
      </c>
      <c r="M1243" s="132">
        <v>1</v>
      </c>
      <c r="N1243" s="132">
        <f t="shared" si="115"/>
        <v>0</v>
      </c>
      <c r="P1243" s="132">
        <v>1</v>
      </c>
      <c r="Q1243" s="132">
        <f t="shared" si="119"/>
        <v>0</v>
      </c>
      <c r="S1243" s="132">
        <v>1</v>
      </c>
      <c r="T1243" s="132">
        <f t="shared" si="116"/>
        <v>0</v>
      </c>
      <c r="V1243" s="126">
        <f t="shared" si="117"/>
        <v>0</v>
      </c>
      <c r="W1243" s="92">
        <f t="shared" si="118"/>
        <v>0</v>
      </c>
      <c r="Y1243" s="210"/>
    </row>
    <row r="1244" spans="1:25" ht="14.4" customHeight="1" thickBot="1" x14ac:dyDescent="0.3">
      <c r="A1244" s="149"/>
      <c r="J1244" s="130">
        <v>1</v>
      </c>
      <c r="K1244" s="132">
        <f t="shared" si="114"/>
        <v>0</v>
      </c>
      <c r="M1244" s="132">
        <v>1</v>
      </c>
      <c r="N1244" s="132">
        <f t="shared" si="115"/>
        <v>0</v>
      </c>
      <c r="P1244" s="132">
        <v>1</v>
      </c>
      <c r="Q1244" s="132">
        <f t="shared" si="119"/>
        <v>0</v>
      </c>
      <c r="S1244" s="132">
        <v>1</v>
      </c>
      <c r="T1244" s="132">
        <f t="shared" si="116"/>
        <v>0</v>
      </c>
      <c r="V1244" s="126">
        <f t="shared" si="117"/>
        <v>0</v>
      </c>
      <c r="W1244" s="92">
        <f t="shared" si="118"/>
        <v>0</v>
      </c>
      <c r="Y1244" s="210"/>
    </row>
    <row r="1245" spans="1:25" ht="14.4" customHeight="1" thickBot="1" x14ac:dyDescent="0.3">
      <c r="A1245" s="149"/>
      <c r="J1245" s="130">
        <v>1</v>
      </c>
      <c r="K1245" s="132">
        <f t="shared" si="114"/>
        <v>0</v>
      </c>
      <c r="M1245" s="132">
        <v>1</v>
      </c>
      <c r="N1245" s="132">
        <f t="shared" si="115"/>
        <v>0</v>
      </c>
      <c r="P1245" s="132">
        <v>1</v>
      </c>
      <c r="Q1245" s="132">
        <f t="shared" si="119"/>
        <v>0</v>
      </c>
      <c r="S1245" s="132">
        <v>1</v>
      </c>
      <c r="T1245" s="132">
        <f t="shared" si="116"/>
        <v>0</v>
      </c>
      <c r="V1245" s="126">
        <f t="shared" si="117"/>
        <v>0</v>
      </c>
      <c r="W1245" s="92">
        <f t="shared" si="118"/>
        <v>0</v>
      </c>
      <c r="Y1245" s="210"/>
    </row>
    <row r="1246" spans="1:25" ht="14.4" customHeight="1" thickBot="1" x14ac:dyDescent="0.3">
      <c r="A1246" s="149"/>
      <c r="J1246" s="130">
        <v>1</v>
      </c>
      <c r="K1246" s="132">
        <f t="shared" si="114"/>
        <v>0</v>
      </c>
      <c r="M1246" s="132">
        <v>1</v>
      </c>
      <c r="N1246" s="132">
        <f t="shared" si="115"/>
        <v>0</v>
      </c>
      <c r="P1246" s="132">
        <v>1</v>
      </c>
      <c r="Q1246" s="132">
        <f t="shared" si="119"/>
        <v>0</v>
      </c>
      <c r="S1246" s="132">
        <v>1</v>
      </c>
      <c r="T1246" s="132">
        <f t="shared" si="116"/>
        <v>0</v>
      </c>
      <c r="V1246" s="126">
        <f t="shared" si="117"/>
        <v>0</v>
      </c>
      <c r="W1246" s="92">
        <f t="shared" si="118"/>
        <v>0</v>
      </c>
      <c r="Y1246" s="210"/>
    </row>
    <row r="1247" spans="1:25" ht="14.4" customHeight="1" thickBot="1" x14ac:dyDescent="0.3">
      <c r="A1247" s="149"/>
      <c r="J1247" s="130">
        <v>1</v>
      </c>
      <c r="K1247" s="132">
        <f t="shared" si="114"/>
        <v>0</v>
      </c>
      <c r="M1247" s="132">
        <v>1</v>
      </c>
      <c r="N1247" s="132">
        <f t="shared" si="115"/>
        <v>0</v>
      </c>
      <c r="P1247" s="132">
        <v>1</v>
      </c>
      <c r="Q1247" s="132">
        <f t="shared" si="119"/>
        <v>0</v>
      </c>
      <c r="S1247" s="132">
        <v>1</v>
      </c>
      <c r="T1247" s="132">
        <f t="shared" si="116"/>
        <v>0</v>
      </c>
      <c r="V1247" s="126">
        <f t="shared" si="117"/>
        <v>0</v>
      </c>
      <c r="W1247" s="92">
        <f t="shared" si="118"/>
        <v>0</v>
      </c>
      <c r="Y1247" s="210"/>
    </row>
    <row r="1248" spans="1:25" ht="14.4" customHeight="1" thickBot="1" x14ac:dyDescent="0.3">
      <c r="A1248" s="149"/>
      <c r="J1248" s="130">
        <v>1</v>
      </c>
      <c r="K1248" s="132">
        <f t="shared" si="114"/>
        <v>0</v>
      </c>
      <c r="M1248" s="132">
        <v>1</v>
      </c>
      <c r="N1248" s="132">
        <f t="shared" si="115"/>
        <v>0</v>
      </c>
      <c r="P1248" s="132">
        <v>1</v>
      </c>
      <c r="Q1248" s="132">
        <f t="shared" si="119"/>
        <v>0</v>
      </c>
      <c r="S1248" s="132">
        <v>1</v>
      </c>
      <c r="T1248" s="132">
        <f t="shared" si="116"/>
        <v>0</v>
      </c>
      <c r="V1248" s="126">
        <f t="shared" si="117"/>
        <v>0</v>
      </c>
      <c r="W1248" s="92">
        <f t="shared" si="118"/>
        <v>0</v>
      </c>
      <c r="Y1248" s="210"/>
    </row>
    <row r="1249" spans="1:25" ht="14.4" customHeight="1" thickBot="1" x14ac:dyDescent="0.3">
      <c r="A1249" s="149"/>
      <c r="J1249" s="130">
        <v>1</v>
      </c>
      <c r="K1249" s="132">
        <f t="shared" si="114"/>
        <v>0</v>
      </c>
      <c r="M1249" s="132">
        <v>1</v>
      </c>
      <c r="N1249" s="132">
        <f t="shared" si="115"/>
        <v>0</v>
      </c>
      <c r="P1249" s="132">
        <v>1</v>
      </c>
      <c r="Q1249" s="132">
        <f t="shared" si="119"/>
        <v>0</v>
      </c>
      <c r="S1249" s="132">
        <v>1</v>
      </c>
      <c r="T1249" s="132">
        <f t="shared" si="116"/>
        <v>0</v>
      </c>
      <c r="V1249" s="126">
        <f t="shared" si="117"/>
        <v>0</v>
      </c>
      <c r="W1249" s="92">
        <f t="shared" si="118"/>
        <v>0</v>
      </c>
      <c r="Y1249" s="210"/>
    </row>
    <row r="1250" spans="1:25" ht="14.4" customHeight="1" thickBot="1" x14ac:dyDescent="0.3">
      <c r="A1250" s="149"/>
      <c r="J1250" s="130">
        <v>1</v>
      </c>
      <c r="K1250" s="132">
        <f t="shared" si="114"/>
        <v>0</v>
      </c>
      <c r="M1250" s="132">
        <v>1</v>
      </c>
      <c r="N1250" s="132">
        <f t="shared" si="115"/>
        <v>0</v>
      </c>
      <c r="P1250" s="132">
        <v>1</v>
      </c>
      <c r="Q1250" s="132">
        <f t="shared" si="119"/>
        <v>0</v>
      </c>
      <c r="S1250" s="132">
        <v>1</v>
      </c>
      <c r="T1250" s="132">
        <f t="shared" si="116"/>
        <v>0</v>
      </c>
      <c r="V1250" s="126">
        <f t="shared" si="117"/>
        <v>0</v>
      </c>
      <c r="W1250" s="92">
        <f t="shared" si="118"/>
        <v>0</v>
      </c>
      <c r="Y1250" s="210"/>
    </row>
    <row r="1251" spans="1:25" ht="14.4" customHeight="1" thickBot="1" x14ac:dyDescent="0.3">
      <c r="A1251" s="149"/>
      <c r="J1251" s="130">
        <v>1</v>
      </c>
      <c r="K1251" s="132">
        <f t="shared" si="114"/>
        <v>0</v>
      </c>
      <c r="M1251" s="132">
        <v>1</v>
      </c>
      <c r="N1251" s="132">
        <f t="shared" si="115"/>
        <v>0</v>
      </c>
      <c r="P1251" s="132">
        <v>1</v>
      </c>
      <c r="Q1251" s="132">
        <f t="shared" si="119"/>
        <v>0</v>
      </c>
      <c r="S1251" s="132">
        <v>1</v>
      </c>
      <c r="T1251" s="132">
        <f t="shared" si="116"/>
        <v>0</v>
      </c>
      <c r="V1251" s="126">
        <f t="shared" si="117"/>
        <v>0</v>
      </c>
      <c r="W1251" s="92">
        <f t="shared" si="118"/>
        <v>0</v>
      </c>
      <c r="Y1251" s="210"/>
    </row>
    <row r="1252" spans="1:25" ht="14.4" customHeight="1" thickBot="1" x14ac:dyDescent="0.3">
      <c r="A1252" s="149"/>
      <c r="J1252" s="130">
        <v>1</v>
      </c>
      <c r="K1252" s="132">
        <f t="shared" si="114"/>
        <v>0</v>
      </c>
      <c r="M1252" s="132">
        <v>1</v>
      </c>
      <c r="N1252" s="132">
        <f t="shared" si="115"/>
        <v>0</v>
      </c>
      <c r="P1252" s="132">
        <v>1</v>
      </c>
      <c r="Q1252" s="132">
        <f t="shared" si="119"/>
        <v>0</v>
      </c>
      <c r="S1252" s="132">
        <v>1</v>
      </c>
      <c r="T1252" s="132">
        <f t="shared" si="116"/>
        <v>0</v>
      </c>
      <c r="V1252" s="126">
        <f t="shared" si="117"/>
        <v>0</v>
      </c>
      <c r="W1252" s="92">
        <f t="shared" si="118"/>
        <v>0</v>
      </c>
      <c r="Y1252" s="210"/>
    </row>
    <row r="1253" spans="1:25" ht="14.4" customHeight="1" thickBot="1" x14ac:dyDescent="0.3">
      <c r="A1253" s="149"/>
      <c r="J1253" s="130">
        <v>1</v>
      </c>
      <c r="K1253" s="132">
        <f t="shared" si="114"/>
        <v>0</v>
      </c>
      <c r="M1253" s="132">
        <v>1</v>
      </c>
      <c r="N1253" s="132">
        <f t="shared" si="115"/>
        <v>0</v>
      </c>
      <c r="P1253" s="132">
        <v>1</v>
      </c>
      <c r="Q1253" s="132">
        <f t="shared" si="119"/>
        <v>0</v>
      </c>
      <c r="S1253" s="132">
        <v>1</v>
      </c>
      <c r="T1253" s="132">
        <f t="shared" si="116"/>
        <v>0</v>
      </c>
      <c r="V1253" s="126">
        <f t="shared" si="117"/>
        <v>0</v>
      </c>
      <c r="W1253" s="92">
        <f t="shared" si="118"/>
        <v>0</v>
      </c>
      <c r="Y1253" s="210"/>
    </row>
    <row r="1254" spans="1:25" ht="14.4" customHeight="1" thickBot="1" x14ac:dyDescent="0.3">
      <c r="A1254" s="149"/>
      <c r="J1254" s="130">
        <v>1</v>
      </c>
      <c r="K1254" s="132">
        <f t="shared" si="114"/>
        <v>0</v>
      </c>
      <c r="M1254" s="132">
        <v>1</v>
      </c>
      <c r="N1254" s="132">
        <f t="shared" si="115"/>
        <v>0</v>
      </c>
      <c r="P1254" s="132">
        <v>1</v>
      </c>
      <c r="Q1254" s="132">
        <f t="shared" si="119"/>
        <v>0</v>
      </c>
      <c r="S1254" s="132">
        <v>1</v>
      </c>
      <c r="T1254" s="132">
        <f t="shared" si="116"/>
        <v>0</v>
      </c>
      <c r="V1254" s="126">
        <f t="shared" si="117"/>
        <v>0</v>
      </c>
      <c r="W1254" s="92">
        <f t="shared" si="118"/>
        <v>0</v>
      </c>
      <c r="Y1254" s="210"/>
    </row>
    <row r="1255" spans="1:25" ht="14.4" customHeight="1" thickBot="1" x14ac:dyDescent="0.3">
      <c r="A1255" s="149"/>
      <c r="J1255" s="130">
        <v>1</v>
      </c>
      <c r="K1255" s="132">
        <f t="shared" si="114"/>
        <v>0</v>
      </c>
      <c r="M1255" s="132">
        <v>1</v>
      </c>
      <c r="N1255" s="132">
        <f t="shared" si="115"/>
        <v>0</v>
      </c>
      <c r="P1255" s="132">
        <v>1</v>
      </c>
      <c r="Q1255" s="132">
        <f t="shared" si="119"/>
        <v>0</v>
      </c>
      <c r="S1255" s="132">
        <v>1</v>
      </c>
      <c r="T1255" s="132">
        <f t="shared" si="116"/>
        <v>0</v>
      </c>
      <c r="V1255" s="126">
        <f t="shared" si="117"/>
        <v>0</v>
      </c>
      <c r="W1255" s="92">
        <f t="shared" si="118"/>
        <v>0</v>
      </c>
      <c r="Y1255" s="210"/>
    </row>
    <row r="1256" spans="1:25" ht="14.4" customHeight="1" thickBot="1" x14ac:dyDescent="0.3">
      <c r="A1256" s="149"/>
      <c r="J1256" s="130">
        <v>1</v>
      </c>
      <c r="K1256" s="132">
        <f t="shared" si="114"/>
        <v>0</v>
      </c>
      <c r="M1256" s="132">
        <v>1</v>
      </c>
      <c r="N1256" s="132">
        <f t="shared" si="115"/>
        <v>0</v>
      </c>
      <c r="P1256" s="132">
        <v>1</v>
      </c>
      <c r="Q1256" s="132">
        <f t="shared" si="119"/>
        <v>0</v>
      </c>
      <c r="S1256" s="132">
        <v>1</v>
      </c>
      <c r="T1256" s="132">
        <f t="shared" si="116"/>
        <v>0</v>
      </c>
      <c r="V1256" s="126">
        <f t="shared" si="117"/>
        <v>0</v>
      </c>
      <c r="W1256" s="92">
        <f t="shared" si="118"/>
        <v>0</v>
      </c>
      <c r="Y1256" s="210"/>
    </row>
    <row r="1257" spans="1:25" ht="14.4" customHeight="1" thickBot="1" x14ac:dyDescent="0.3">
      <c r="A1257" s="149"/>
      <c r="J1257" s="130">
        <v>1</v>
      </c>
      <c r="K1257" s="132">
        <f t="shared" si="114"/>
        <v>0</v>
      </c>
      <c r="M1257" s="132">
        <v>1</v>
      </c>
      <c r="N1257" s="132">
        <f t="shared" si="115"/>
        <v>0</v>
      </c>
      <c r="P1257" s="132">
        <v>1</v>
      </c>
      <c r="Q1257" s="132">
        <f t="shared" si="119"/>
        <v>0</v>
      </c>
      <c r="S1257" s="132">
        <v>1</v>
      </c>
      <c r="T1257" s="132">
        <f t="shared" si="116"/>
        <v>0</v>
      </c>
      <c r="V1257" s="126">
        <f t="shared" si="117"/>
        <v>0</v>
      </c>
      <c r="W1257" s="92">
        <f t="shared" si="118"/>
        <v>0</v>
      </c>
      <c r="Y1257" s="210"/>
    </row>
    <row r="1258" spans="1:25" ht="14.4" customHeight="1" thickBot="1" x14ac:dyDescent="0.3">
      <c r="A1258" s="149"/>
      <c r="J1258" s="130">
        <v>1</v>
      </c>
      <c r="K1258" s="132">
        <f t="shared" si="114"/>
        <v>0</v>
      </c>
      <c r="M1258" s="132">
        <v>1</v>
      </c>
      <c r="N1258" s="132">
        <f t="shared" si="115"/>
        <v>0</v>
      </c>
      <c r="P1258" s="132">
        <v>1</v>
      </c>
      <c r="Q1258" s="132">
        <f t="shared" si="119"/>
        <v>0</v>
      </c>
      <c r="S1258" s="132">
        <v>1</v>
      </c>
      <c r="T1258" s="132">
        <f t="shared" si="116"/>
        <v>0</v>
      </c>
      <c r="V1258" s="126">
        <f t="shared" si="117"/>
        <v>0</v>
      </c>
      <c r="W1258" s="92">
        <f t="shared" si="118"/>
        <v>0</v>
      </c>
      <c r="Y1258" s="210"/>
    </row>
    <row r="1259" spans="1:25" ht="14.4" customHeight="1" thickBot="1" x14ac:dyDescent="0.3">
      <c r="A1259" s="149"/>
      <c r="J1259" s="130">
        <v>1</v>
      </c>
      <c r="K1259" s="132">
        <f t="shared" si="114"/>
        <v>0</v>
      </c>
      <c r="M1259" s="132">
        <v>1</v>
      </c>
      <c r="N1259" s="132">
        <f t="shared" si="115"/>
        <v>0</v>
      </c>
      <c r="P1259" s="132">
        <v>1</v>
      </c>
      <c r="Q1259" s="132">
        <f t="shared" si="119"/>
        <v>0</v>
      </c>
      <c r="S1259" s="132">
        <v>1</v>
      </c>
      <c r="T1259" s="132">
        <f t="shared" si="116"/>
        <v>0</v>
      </c>
      <c r="V1259" s="126">
        <f t="shared" si="117"/>
        <v>0</v>
      </c>
      <c r="W1259" s="92">
        <f t="shared" si="118"/>
        <v>0</v>
      </c>
      <c r="Y1259" s="210"/>
    </row>
    <row r="1260" spans="1:25" ht="14.4" customHeight="1" thickBot="1" x14ac:dyDescent="0.3">
      <c r="A1260" s="149"/>
      <c r="J1260" s="130">
        <v>1</v>
      </c>
      <c r="K1260" s="132">
        <f t="shared" si="114"/>
        <v>0</v>
      </c>
      <c r="M1260" s="132">
        <v>1</v>
      </c>
      <c r="N1260" s="132">
        <f t="shared" si="115"/>
        <v>0</v>
      </c>
      <c r="P1260" s="132">
        <v>1</v>
      </c>
      <c r="Q1260" s="132">
        <f t="shared" si="119"/>
        <v>0</v>
      </c>
      <c r="S1260" s="132">
        <v>1</v>
      </c>
      <c r="T1260" s="132">
        <f t="shared" si="116"/>
        <v>0</v>
      </c>
      <c r="V1260" s="126">
        <f t="shared" si="117"/>
        <v>0</v>
      </c>
      <c r="W1260" s="92">
        <f t="shared" si="118"/>
        <v>0</v>
      </c>
      <c r="Y1260" s="210"/>
    </row>
    <row r="1261" spans="1:25" ht="14.4" customHeight="1" thickBot="1" x14ac:dyDescent="0.3">
      <c r="A1261" s="149"/>
      <c r="J1261" s="130">
        <v>1</v>
      </c>
      <c r="K1261" s="132">
        <f t="shared" si="114"/>
        <v>0</v>
      </c>
      <c r="M1261" s="132">
        <v>1</v>
      </c>
      <c r="N1261" s="132">
        <f t="shared" si="115"/>
        <v>0</v>
      </c>
      <c r="P1261" s="132">
        <v>1</v>
      </c>
      <c r="Q1261" s="132">
        <f t="shared" si="119"/>
        <v>0</v>
      </c>
      <c r="S1261" s="132">
        <v>1</v>
      </c>
      <c r="T1261" s="132">
        <f t="shared" si="116"/>
        <v>0</v>
      </c>
      <c r="V1261" s="126">
        <f t="shared" si="117"/>
        <v>0</v>
      </c>
      <c r="W1261" s="92">
        <f t="shared" si="118"/>
        <v>0</v>
      </c>
      <c r="Y1261" s="210"/>
    </row>
    <row r="1262" spans="1:25" ht="14.4" customHeight="1" thickBot="1" x14ac:dyDescent="0.3">
      <c r="A1262" s="149"/>
      <c r="J1262" s="130">
        <v>1</v>
      </c>
      <c r="K1262" s="132">
        <f t="shared" si="114"/>
        <v>0</v>
      </c>
      <c r="M1262" s="132">
        <v>1</v>
      </c>
      <c r="N1262" s="132">
        <f t="shared" si="115"/>
        <v>0</v>
      </c>
      <c r="P1262" s="132">
        <v>1</v>
      </c>
      <c r="Q1262" s="132">
        <f t="shared" si="119"/>
        <v>0</v>
      </c>
      <c r="S1262" s="132">
        <v>1</v>
      </c>
      <c r="T1262" s="132">
        <f t="shared" si="116"/>
        <v>0</v>
      </c>
      <c r="V1262" s="126">
        <f t="shared" si="117"/>
        <v>0</v>
      </c>
      <c r="W1262" s="92">
        <f t="shared" si="118"/>
        <v>0</v>
      </c>
      <c r="Y1262" s="210"/>
    </row>
    <row r="1263" spans="1:25" ht="14.4" customHeight="1" thickBot="1" x14ac:dyDescent="0.3">
      <c r="A1263" s="149"/>
      <c r="J1263" s="130">
        <v>1</v>
      </c>
      <c r="K1263" s="132">
        <f t="shared" si="114"/>
        <v>0</v>
      </c>
      <c r="M1263" s="132">
        <v>1</v>
      </c>
      <c r="N1263" s="132">
        <f t="shared" si="115"/>
        <v>0</v>
      </c>
      <c r="P1263" s="132">
        <v>1</v>
      </c>
      <c r="Q1263" s="132">
        <f t="shared" si="119"/>
        <v>0</v>
      </c>
      <c r="S1263" s="132">
        <v>1</v>
      </c>
      <c r="T1263" s="132">
        <f t="shared" si="116"/>
        <v>0</v>
      </c>
      <c r="V1263" s="126">
        <f t="shared" si="117"/>
        <v>0</v>
      </c>
      <c r="W1263" s="92">
        <f t="shared" si="118"/>
        <v>0</v>
      </c>
      <c r="Y1263" s="210"/>
    </row>
    <row r="1264" spans="1:25" ht="14.4" customHeight="1" thickBot="1" x14ac:dyDescent="0.3">
      <c r="A1264" s="149"/>
      <c r="J1264" s="130">
        <v>1</v>
      </c>
      <c r="K1264" s="132">
        <f t="shared" si="114"/>
        <v>0</v>
      </c>
      <c r="M1264" s="132">
        <v>1</v>
      </c>
      <c r="N1264" s="132">
        <f t="shared" si="115"/>
        <v>0</v>
      </c>
      <c r="P1264" s="132">
        <v>1</v>
      </c>
      <c r="Q1264" s="132">
        <f t="shared" si="119"/>
        <v>0</v>
      </c>
      <c r="S1264" s="132">
        <v>1</v>
      </c>
      <c r="T1264" s="132">
        <f t="shared" si="116"/>
        <v>0</v>
      </c>
      <c r="V1264" s="126">
        <f t="shared" si="117"/>
        <v>0</v>
      </c>
      <c r="W1264" s="92">
        <f t="shared" si="118"/>
        <v>0</v>
      </c>
      <c r="Y1264" s="210"/>
    </row>
    <row r="1265" spans="1:25" ht="14.4" customHeight="1" thickBot="1" x14ac:dyDescent="0.3">
      <c r="A1265" s="149"/>
      <c r="J1265" s="130">
        <v>1</v>
      </c>
      <c r="K1265" s="132">
        <f t="shared" si="114"/>
        <v>0</v>
      </c>
      <c r="M1265" s="132">
        <v>1</v>
      </c>
      <c r="N1265" s="132">
        <f t="shared" si="115"/>
        <v>0</v>
      </c>
      <c r="P1265" s="132">
        <v>1</v>
      </c>
      <c r="Q1265" s="132">
        <f t="shared" si="119"/>
        <v>0</v>
      </c>
      <c r="S1265" s="132">
        <v>1</v>
      </c>
      <c r="T1265" s="132">
        <f t="shared" si="116"/>
        <v>0</v>
      </c>
      <c r="V1265" s="126">
        <f t="shared" si="117"/>
        <v>0</v>
      </c>
      <c r="W1265" s="92">
        <f t="shared" si="118"/>
        <v>0</v>
      </c>
      <c r="Y1265" s="210"/>
    </row>
    <row r="1266" spans="1:25" ht="14.4" customHeight="1" thickBot="1" x14ac:dyDescent="0.3">
      <c r="A1266" s="149"/>
      <c r="J1266" s="130">
        <v>1</v>
      </c>
      <c r="K1266" s="132">
        <f t="shared" si="114"/>
        <v>0</v>
      </c>
      <c r="M1266" s="132">
        <v>1</v>
      </c>
      <c r="N1266" s="132">
        <f t="shared" si="115"/>
        <v>0</v>
      </c>
      <c r="P1266" s="132">
        <v>1</v>
      </c>
      <c r="Q1266" s="132">
        <f t="shared" si="119"/>
        <v>0</v>
      </c>
      <c r="S1266" s="132">
        <v>1</v>
      </c>
      <c r="T1266" s="132">
        <f t="shared" si="116"/>
        <v>0</v>
      </c>
      <c r="V1266" s="126">
        <f t="shared" si="117"/>
        <v>0</v>
      </c>
      <c r="W1266" s="92">
        <f t="shared" si="118"/>
        <v>0</v>
      </c>
      <c r="Y1266" s="210"/>
    </row>
    <row r="1267" spans="1:25" ht="14.4" customHeight="1" thickBot="1" x14ac:dyDescent="0.3">
      <c r="A1267" s="149"/>
      <c r="J1267" s="130">
        <v>1</v>
      </c>
      <c r="K1267" s="132">
        <f t="shared" si="114"/>
        <v>0</v>
      </c>
      <c r="M1267" s="132">
        <v>1</v>
      </c>
      <c r="N1267" s="132">
        <f t="shared" si="115"/>
        <v>0</v>
      </c>
      <c r="P1267" s="132">
        <v>1</v>
      </c>
      <c r="Q1267" s="132">
        <f t="shared" si="119"/>
        <v>0</v>
      </c>
      <c r="S1267" s="132">
        <v>1</v>
      </c>
      <c r="T1267" s="132">
        <f t="shared" si="116"/>
        <v>0</v>
      </c>
      <c r="V1267" s="126">
        <f t="shared" si="117"/>
        <v>0</v>
      </c>
      <c r="W1267" s="92">
        <f t="shared" si="118"/>
        <v>0</v>
      </c>
      <c r="Y1267" s="210"/>
    </row>
    <row r="1268" spans="1:25" ht="14.4" customHeight="1" thickBot="1" x14ac:dyDescent="0.3">
      <c r="A1268" s="149"/>
      <c r="J1268" s="130">
        <v>1</v>
      </c>
      <c r="K1268" s="132">
        <f t="shared" si="114"/>
        <v>0</v>
      </c>
      <c r="M1268" s="132">
        <v>1</v>
      </c>
      <c r="N1268" s="132">
        <f t="shared" si="115"/>
        <v>0</v>
      </c>
      <c r="P1268" s="132">
        <v>1</v>
      </c>
      <c r="Q1268" s="132">
        <f t="shared" si="119"/>
        <v>0</v>
      </c>
      <c r="S1268" s="132">
        <v>1</v>
      </c>
      <c r="T1268" s="132">
        <f t="shared" si="116"/>
        <v>0</v>
      </c>
      <c r="V1268" s="126">
        <f t="shared" si="117"/>
        <v>0</v>
      </c>
      <c r="W1268" s="92">
        <f t="shared" si="118"/>
        <v>0</v>
      </c>
      <c r="Y1268" s="210"/>
    </row>
    <row r="1269" spans="1:25" ht="14.4" customHeight="1" thickBot="1" x14ac:dyDescent="0.3">
      <c r="A1269" s="149"/>
      <c r="J1269" s="130">
        <v>1</v>
      </c>
      <c r="K1269" s="132">
        <f t="shared" si="114"/>
        <v>0</v>
      </c>
      <c r="M1269" s="132">
        <v>1</v>
      </c>
      <c r="N1269" s="132">
        <f t="shared" si="115"/>
        <v>0</v>
      </c>
      <c r="P1269" s="132">
        <v>1</v>
      </c>
      <c r="Q1269" s="132">
        <f t="shared" si="119"/>
        <v>0</v>
      </c>
      <c r="S1269" s="132">
        <v>1</v>
      </c>
      <c r="T1269" s="132">
        <f t="shared" si="116"/>
        <v>0</v>
      </c>
      <c r="V1269" s="126">
        <f t="shared" si="117"/>
        <v>0</v>
      </c>
      <c r="W1269" s="92">
        <f t="shared" si="118"/>
        <v>0</v>
      </c>
      <c r="Y1269" s="210"/>
    </row>
    <row r="1270" spans="1:25" ht="14.4" customHeight="1" thickBot="1" x14ac:dyDescent="0.3">
      <c r="A1270" s="149"/>
      <c r="J1270" s="130">
        <v>1</v>
      </c>
      <c r="K1270" s="132">
        <f t="shared" si="114"/>
        <v>0</v>
      </c>
      <c r="M1270" s="132">
        <v>1</v>
      </c>
      <c r="N1270" s="132">
        <f t="shared" si="115"/>
        <v>0</v>
      </c>
      <c r="P1270" s="132">
        <v>1</v>
      </c>
      <c r="Q1270" s="132">
        <f t="shared" si="119"/>
        <v>0</v>
      </c>
      <c r="S1270" s="132">
        <v>1</v>
      </c>
      <c r="T1270" s="132">
        <f t="shared" si="116"/>
        <v>0</v>
      </c>
      <c r="V1270" s="126">
        <f t="shared" si="117"/>
        <v>0</v>
      </c>
      <c r="W1270" s="92">
        <f t="shared" si="118"/>
        <v>0</v>
      </c>
      <c r="Y1270" s="210"/>
    </row>
    <row r="1271" spans="1:25" ht="14.4" customHeight="1" thickBot="1" x14ac:dyDescent="0.3">
      <c r="A1271" s="149"/>
      <c r="J1271" s="130">
        <v>1</v>
      </c>
      <c r="K1271" s="132">
        <f t="shared" si="114"/>
        <v>0</v>
      </c>
      <c r="M1271" s="132">
        <v>1</v>
      </c>
      <c r="N1271" s="132">
        <f t="shared" si="115"/>
        <v>0</v>
      </c>
      <c r="P1271" s="132">
        <v>1</v>
      </c>
      <c r="Q1271" s="132">
        <f t="shared" si="119"/>
        <v>0</v>
      </c>
      <c r="S1271" s="132">
        <v>1</v>
      </c>
      <c r="T1271" s="132">
        <f t="shared" si="116"/>
        <v>0</v>
      </c>
      <c r="V1271" s="126">
        <f t="shared" si="117"/>
        <v>0</v>
      </c>
      <c r="W1271" s="92">
        <f t="shared" si="118"/>
        <v>0</v>
      </c>
      <c r="Y1271" s="210"/>
    </row>
    <row r="1272" spans="1:25" ht="14.4" customHeight="1" thickBot="1" x14ac:dyDescent="0.3">
      <c r="A1272" s="149"/>
      <c r="J1272" s="130">
        <v>1</v>
      </c>
      <c r="K1272" s="132">
        <f t="shared" si="114"/>
        <v>0</v>
      </c>
      <c r="M1272" s="132">
        <v>1</v>
      </c>
      <c r="N1272" s="132">
        <f t="shared" si="115"/>
        <v>0</v>
      </c>
      <c r="P1272" s="132">
        <v>1</v>
      </c>
      <c r="Q1272" s="132">
        <f t="shared" si="119"/>
        <v>0</v>
      </c>
      <c r="S1272" s="132">
        <v>1</v>
      </c>
      <c r="T1272" s="132">
        <f t="shared" si="116"/>
        <v>0</v>
      </c>
      <c r="V1272" s="126">
        <f t="shared" si="117"/>
        <v>0</v>
      </c>
      <c r="W1272" s="92">
        <f t="shared" si="118"/>
        <v>0</v>
      </c>
      <c r="Y1272" s="210"/>
    </row>
    <row r="1273" spans="1:25" ht="14.4" customHeight="1" thickBot="1" x14ac:dyDescent="0.3">
      <c r="A1273" s="149"/>
      <c r="J1273" s="130">
        <v>1</v>
      </c>
      <c r="K1273" s="132">
        <f t="shared" si="114"/>
        <v>0</v>
      </c>
      <c r="M1273" s="132">
        <v>1</v>
      </c>
      <c r="N1273" s="132">
        <f t="shared" si="115"/>
        <v>0</v>
      </c>
      <c r="P1273" s="132">
        <v>1</v>
      </c>
      <c r="Q1273" s="132">
        <f t="shared" si="119"/>
        <v>0</v>
      </c>
      <c r="S1273" s="132">
        <v>1</v>
      </c>
      <c r="T1273" s="132">
        <f t="shared" si="116"/>
        <v>0</v>
      </c>
      <c r="V1273" s="126">
        <f t="shared" si="117"/>
        <v>0</v>
      </c>
      <c r="W1273" s="92">
        <f t="shared" si="118"/>
        <v>0</v>
      </c>
      <c r="Y1273" s="210"/>
    </row>
    <row r="1274" spans="1:25" ht="14.4" customHeight="1" thickBot="1" x14ac:dyDescent="0.3">
      <c r="A1274" s="149"/>
      <c r="J1274" s="130">
        <v>1</v>
      </c>
      <c r="K1274" s="132">
        <f t="shared" si="114"/>
        <v>0</v>
      </c>
      <c r="M1274" s="132">
        <v>1</v>
      </c>
      <c r="N1274" s="132">
        <f t="shared" si="115"/>
        <v>0</v>
      </c>
      <c r="P1274" s="132">
        <v>1</v>
      </c>
      <c r="Q1274" s="132">
        <f t="shared" si="119"/>
        <v>0</v>
      </c>
      <c r="S1274" s="132">
        <v>1</v>
      </c>
      <c r="T1274" s="132">
        <f t="shared" si="116"/>
        <v>0</v>
      </c>
      <c r="V1274" s="126">
        <f t="shared" si="117"/>
        <v>0</v>
      </c>
      <c r="W1274" s="92">
        <f t="shared" si="118"/>
        <v>0</v>
      </c>
      <c r="Y1274" s="210"/>
    </row>
    <row r="1275" spans="1:25" ht="14.4" customHeight="1" thickBot="1" x14ac:dyDescent="0.3">
      <c r="A1275" s="149"/>
      <c r="J1275" s="130">
        <v>1</v>
      </c>
      <c r="K1275" s="132">
        <f t="shared" si="114"/>
        <v>0</v>
      </c>
      <c r="M1275" s="132">
        <v>1</v>
      </c>
      <c r="N1275" s="132">
        <f t="shared" si="115"/>
        <v>0</v>
      </c>
      <c r="P1275" s="132">
        <v>1</v>
      </c>
      <c r="Q1275" s="132">
        <f t="shared" si="119"/>
        <v>0</v>
      </c>
      <c r="S1275" s="132">
        <v>1</v>
      </c>
      <c r="T1275" s="132">
        <f t="shared" si="116"/>
        <v>0</v>
      </c>
      <c r="V1275" s="126">
        <f t="shared" si="117"/>
        <v>0</v>
      </c>
      <c r="W1275" s="92">
        <f t="shared" si="118"/>
        <v>0</v>
      </c>
      <c r="Y1275" s="210"/>
    </row>
    <row r="1276" spans="1:25" ht="14.4" customHeight="1" thickBot="1" x14ac:dyDescent="0.3">
      <c r="A1276" s="149"/>
      <c r="J1276" s="130">
        <v>1</v>
      </c>
      <c r="K1276" s="132">
        <f t="shared" si="114"/>
        <v>0</v>
      </c>
      <c r="M1276" s="132">
        <v>1</v>
      </c>
      <c r="N1276" s="132">
        <f t="shared" si="115"/>
        <v>0</v>
      </c>
      <c r="P1276" s="132">
        <v>1</v>
      </c>
      <c r="Q1276" s="132">
        <f t="shared" si="119"/>
        <v>0</v>
      </c>
      <c r="S1276" s="132">
        <v>1</v>
      </c>
      <c r="T1276" s="132">
        <f t="shared" si="116"/>
        <v>0</v>
      </c>
      <c r="V1276" s="126">
        <f t="shared" si="117"/>
        <v>0</v>
      </c>
      <c r="W1276" s="92">
        <f t="shared" si="118"/>
        <v>0</v>
      </c>
      <c r="Y1276" s="210"/>
    </row>
    <row r="1277" spans="1:25" ht="14.4" customHeight="1" thickBot="1" x14ac:dyDescent="0.3">
      <c r="A1277" s="149"/>
      <c r="J1277" s="130">
        <v>1</v>
      </c>
      <c r="K1277" s="132">
        <f t="shared" si="114"/>
        <v>0</v>
      </c>
      <c r="M1277" s="132">
        <v>1</v>
      </c>
      <c r="N1277" s="132">
        <f t="shared" si="115"/>
        <v>0</v>
      </c>
      <c r="P1277" s="132">
        <v>1</v>
      </c>
      <c r="Q1277" s="132">
        <f t="shared" si="119"/>
        <v>0</v>
      </c>
      <c r="S1277" s="132">
        <v>1</v>
      </c>
      <c r="T1277" s="132">
        <f t="shared" si="116"/>
        <v>0</v>
      </c>
      <c r="V1277" s="126">
        <f t="shared" si="117"/>
        <v>0</v>
      </c>
      <c r="W1277" s="92">
        <f t="shared" si="118"/>
        <v>0</v>
      </c>
      <c r="Y1277" s="210"/>
    </row>
    <row r="1278" spans="1:25" ht="14.4" customHeight="1" thickBot="1" x14ac:dyDescent="0.3">
      <c r="A1278" s="149"/>
      <c r="J1278" s="130">
        <v>1</v>
      </c>
      <c r="K1278" s="132">
        <f t="shared" si="114"/>
        <v>0</v>
      </c>
      <c r="M1278" s="132">
        <v>1</v>
      </c>
      <c r="N1278" s="132">
        <f t="shared" si="115"/>
        <v>0</v>
      </c>
      <c r="P1278" s="132">
        <v>1</v>
      </c>
      <c r="Q1278" s="132">
        <f t="shared" si="119"/>
        <v>0</v>
      </c>
      <c r="S1278" s="132">
        <v>1</v>
      </c>
      <c r="T1278" s="132">
        <f t="shared" si="116"/>
        <v>0</v>
      </c>
      <c r="V1278" s="126">
        <f t="shared" si="117"/>
        <v>0</v>
      </c>
      <c r="W1278" s="92">
        <f t="shared" si="118"/>
        <v>0</v>
      </c>
      <c r="Y1278" s="210"/>
    </row>
    <row r="1279" spans="1:25" ht="14.4" customHeight="1" thickBot="1" x14ac:dyDescent="0.3">
      <c r="A1279" s="149"/>
      <c r="J1279" s="130">
        <v>1</v>
      </c>
      <c r="K1279" s="132">
        <f t="shared" si="114"/>
        <v>0</v>
      </c>
      <c r="M1279" s="132">
        <v>1</v>
      </c>
      <c r="N1279" s="132">
        <f t="shared" si="115"/>
        <v>0</v>
      </c>
      <c r="P1279" s="132">
        <v>1</v>
      </c>
      <c r="Q1279" s="132">
        <f t="shared" si="119"/>
        <v>0</v>
      </c>
      <c r="S1279" s="132">
        <v>1</v>
      </c>
      <c r="T1279" s="132">
        <f t="shared" si="116"/>
        <v>0</v>
      </c>
      <c r="V1279" s="126">
        <f t="shared" si="117"/>
        <v>0</v>
      </c>
      <c r="W1279" s="92">
        <f t="shared" si="118"/>
        <v>0</v>
      </c>
      <c r="Y1279" s="210"/>
    </row>
    <row r="1280" spans="1:25" ht="14.4" customHeight="1" thickBot="1" x14ac:dyDescent="0.3">
      <c r="A1280" s="149"/>
      <c r="J1280" s="130">
        <v>1</v>
      </c>
      <c r="K1280" s="132">
        <f t="shared" si="114"/>
        <v>0</v>
      </c>
      <c r="M1280" s="132">
        <v>1</v>
      </c>
      <c r="N1280" s="132">
        <f t="shared" si="115"/>
        <v>0</v>
      </c>
      <c r="P1280" s="132">
        <v>1</v>
      </c>
      <c r="Q1280" s="132">
        <f t="shared" si="119"/>
        <v>0</v>
      </c>
      <c r="S1280" s="132">
        <v>1</v>
      </c>
      <c r="T1280" s="132">
        <f t="shared" si="116"/>
        <v>0</v>
      </c>
      <c r="V1280" s="126">
        <f t="shared" si="117"/>
        <v>0</v>
      </c>
      <c r="W1280" s="92">
        <f t="shared" si="118"/>
        <v>0</v>
      </c>
      <c r="Y1280" s="210"/>
    </row>
    <row r="1281" spans="1:25" ht="14.4" customHeight="1" thickBot="1" x14ac:dyDescent="0.3">
      <c r="A1281" s="149"/>
      <c r="J1281" s="130">
        <v>1</v>
      </c>
      <c r="K1281" s="132">
        <f t="shared" si="114"/>
        <v>0</v>
      </c>
      <c r="M1281" s="132">
        <v>1</v>
      </c>
      <c r="N1281" s="132">
        <f t="shared" si="115"/>
        <v>0</v>
      </c>
      <c r="P1281" s="132">
        <v>1</v>
      </c>
      <c r="Q1281" s="132">
        <f t="shared" si="119"/>
        <v>0</v>
      </c>
      <c r="S1281" s="132">
        <v>1</v>
      </c>
      <c r="T1281" s="132">
        <f t="shared" si="116"/>
        <v>0</v>
      </c>
      <c r="V1281" s="126">
        <f t="shared" si="117"/>
        <v>0</v>
      </c>
      <c r="W1281" s="92">
        <f t="shared" si="118"/>
        <v>0</v>
      </c>
      <c r="Y1281" s="210"/>
    </row>
    <row r="1282" spans="1:25" ht="14.4" customHeight="1" thickBot="1" x14ac:dyDescent="0.3">
      <c r="A1282" s="149"/>
      <c r="J1282" s="130">
        <v>1</v>
      </c>
      <c r="K1282" s="132">
        <f t="shared" ref="K1282:K1345" si="120">I1282/J1282</f>
        <v>0</v>
      </c>
      <c r="M1282" s="132">
        <v>1</v>
      </c>
      <c r="N1282" s="132">
        <f t="shared" ref="N1282:N1345" si="121">L1282/M1282</f>
        <v>0</v>
      </c>
      <c r="P1282" s="132">
        <v>1</v>
      </c>
      <c r="Q1282" s="132">
        <f t="shared" si="119"/>
        <v>0</v>
      </c>
      <c r="S1282" s="132">
        <v>1</v>
      </c>
      <c r="T1282" s="132">
        <f t="shared" ref="T1282:T1345" si="122">R1282/S1282</f>
        <v>0</v>
      </c>
      <c r="V1282" s="126">
        <f t="shared" ref="V1282:V1345" si="123">D1282+E1282-G1282-I1282/J1282-L1282/M1282-O1282/P1282-R1282/S1282</f>
        <v>0</v>
      </c>
      <c r="W1282" s="92">
        <f t="shared" ref="W1282:W1345" si="124">G1282+I1282/J1282+L1282/M1282+O1282/P1282+R1282/S1282</f>
        <v>0</v>
      </c>
      <c r="Y1282" s="210"/>
    </row>
    <row r="1283" spans="1:25" ht="14.4" customHeight="1" thickBot="1" x14ac:dyDescent="0.3">
      <c r="A1283" s="149"/>
      <c r="J1283" s="130">
        <v>1</v>
      </c>
      <c r="K1283" s="132">
        <f t="shared" si="120"/>
        <v>0</v>
      </c>
      <c r="M1283" s="132">
        <v>1</v>
      </c>
      <c r="N1283" s="132">
        <f t="shared" si="121"/>
        <v>0</v>
      </c>
      <c r="P1283" s="132">
        <v>1</v>
      </c>
      <c r="Q1283" s="132">
        <f t="shared" ref="Q1283:Q1346" si="125">O1283/P1283</f>
        <v>0</v>
      </c>
      <c r="S1283" s="132">
        <v>1</v>
      </c>
      <c r="T1283" s="132">
        <f t="shared" si="122"/>
        <v>0</v>
      </c>
      <c r="V1283" s="126">
        <f t="shared" si="123"/>
        <v>0</v>
      </c>
      <c r="W1283" s="92">
        <f t="shared" si="124"/>
        <v>0</v>
      </c>
      <c r="Y1283" s="210"/>
    </row>
    <row r="1284" spans="1:25" ht="14.4" customHeight="1" thickBot="1" x14ac:dyDescent="0.3">
      <c r="A1284" s="149"/>
      <c r="J1284" s="130">
        <v>1</v>
      </c>
      <c r="K1284" s="132">
        <f t="shared" si="120"/>
        <v>0</v>
      </c>
      <c r="M1284" s="132">
        <v>1</v>
      </c>
      <c r="N1284" s="132">
        <f t="shared" si="121"/>
        <v>0</v>
      </c>
      <c r="P1284" s="132">
        <v>1</v>
      </c>
      <c r="Q1284" s="132">
        <f t="shared" si="125"/>
        <v>0</v>
      </c>
      <c r="S1284" s="132">
        <v>1</v>
      </c>
      <c r="T1284" s="132">
        <f t="shared" si="122"/>
        <v>0</v>
      </c>
      <c r="V1284" s="126">
        <f t="shared" si="123"/>
        <v>0</v>
      </c>
      <c r="W1284" s="92">
        <f t="shared" si="124"/>
        <v>0</v>
      </c>
      <c r="Y1284" s="210"/>
    </row>
    <row r="1285" spans="1:25" ht="14.4" customHeight="1" thickBot="1" x14ac:dyDescent="0.3">
      <c r="A1285" s="149"/>
      <c r="J1285" s="130">
        <v>1</v>
      </c>
      <c r="K1285" s="132">
        <f t="shared" si="120"/>
        <v>0</v>
      </c>
      <c r="M1285" s="132">
        <v>1</v>
      </c>
      <c r="N1285" s="132">
        <f t="shared" si="121"/>
        <v>0</v>
      </c>
      <c r="P1285" s="132">
        <v>1</v>
      </c>
      <c r="Q1285" s="132">
        <f t="shared" si="125"/>
        <v>0</v>
      </c>
      <c r="S1285" s="132">
        <v>1</v>
      </c>
      <c r="T1285" s="132">
        <f t="shared" si="122"/>
        <v>0</v>
      </c>
      <c r="V1285" s="126">
        <f t="shared" si="123"/>
        <v>0</v>
      </c>
      <c r="W1285" s="92">
        <f t="shared" si="124"/>
        <v>0</v>
      </c>
      <c r="Y1285" s="210"/>
    </row>
    <row r="1286" spans="1:25" ht="14.4" customHeight="1" thickBot="1" x14ac:dyDescent="0.3">
      <c r="A1286" s="149"/>
      <c r="J1286" s="130">
        <v>1</v>
      </c>
      <c r="K1286" s="132">
        <f t="shared" si="120"/>
        <v>0</v>
      </c>
      <c r="M1286" s="132">
        <v>1</v>
      </c>
      <c r="N1286" s="132">
        <f t="shared" si="121"/>
        <v>0</v>
      </c>
      <c r="P1286" s="132">
        <v>1</v>
      </c>
      <c r="Q1286" s="132">
        <f t="shared" si="125"/>
        <v>0</v>
      </c>
      <c r="S1286" s="132">
        <v>1</v>
      </c>
      <c r="T1286" s="132">
        <f t="shared" si="122"/>
        <v>0</v>
      </c>
      <c r="V1286" s="126">
        <f t="shared" si="123"/>
        <v>0</v>
      </c>
      <c r="W1286" s="92">
        <f t="shared" si="124"/>
        <v>0</v>
      </c>
      <c r="Y1286" s="210"/>
    </row>
    <row r="1287" spans="1:25" ht="14.4" customHeight="1" thickBot="1" x14ac:dyDescent="0.3">
      <c r="A1287" s="149"/>
      <c r="J1287" s="130">
        <v>1</v>
      </c>
      <c r="K1287" s="132">
        <f t="shared" si="120"/>
        <v>0</v>
      </c>
      <c r="M1287" s="132">
        <v>1</v>
      </c>
      <c r="N1287" s="132">
        <f t="shared" si="121"/>
        <v>0</v>
      </c>
      <c r="P1287" s="132">
        <v>1</v>
      </c>
      <c r="Q1287" s="132">
        <f t="shared" si="125"/>
        <v>0</v>
      </c>
      <c r="S1287" s="132">
        <v>1</v>
      </c>
      <c r="T1287" s="132">
        <f t="shared" si="122"/>
        <v>0</v>
      </c>
      <c r="V1287" s="126">
        <f t="shared" si="123"/>
        <v>0</v>
      </c>
      <c r="W1287" s="92">
        <f t="shared" si="124"/>
        <v>0</v>
      </c>
      <c r="Y1287" s="210"/>
    </row>
    <row r="1288" spans="1:25" ht="14.4" customHeight="1" thickBot="1" x14ac:dyDescent="0.3">
      <c r="A1288" s="149"/>
      <c r="J1288" s="130">
        <v>1</v>
      </c>
      <c r="K1288" s="132">
        <f t="shared" si="120"/>
        <v>0</v>
      </c>
      <c r="M1288" s="132">
        <v>1</v>
      </c>
      <c r="N1288" s="132">
        <f t="shared" si="121"/>
        <v>0</v>
      </c>
      <c r="P1288" s="132">
        <v>1</v>
      </c>
      <c r="Q1288" s="132">
        <f t="shared" si="125"/>
        <v>0</v>
      </c>
      <c r="S1288" s="132">
        <v>1</v>
      </c>
      <c r="T1288" s="132">
        <f t="shared" si="122"/>
        <v>0</v>
      </c>
      <c r="V1288" s="126">
        <f t="shared" si="123"/>
        <v>0</v>
      </c>
      <c r="W1288" s="92">
        <f t="shared" si="124"/>
        <v>0</v>
      </c>
      <c r="Y1288" s="210"/>
    </row>
    <row r="1289" spans="1:25" ht="14.4" customHeight="1" thickBot="1" x14ac:dyDescent="0.3">
      <c r="A1289" s="149"/>
      <c r="J1289" s="130">
        <v>1</v>
      </c>
      <c r="K1289" s="132">
        <f t="shared" si="120"/>
        <v>0</v>
      </c>
      <c r="M1289" s="132">
        <v>1</v>
      </c>
      <c r="N1289" s="132">
        <f t="shared" si="121"/>
        <v>0</v>
      </c>
      <c r="P1289" s="132">
        <v>1</v>
      </c>
      <c r="Q1289" s="132">
        <f t="shared" si="125"/>
        <v>0</v>
      </c>
      <c r="S1289" s="132">
        <v>1</v>
      </c>
      <c r="T1289" s="132">
        <f t="shared" si="122"/>
        <v>0</v>
      </c>
      <c r="V1289" s="126">
        <f t="shared" si="123"/>
        <v>0</v>
      </c>
      <c r="W1289" s="92">
        <f t="shared" si="124"/>
        <v>0</v>
      </c>
      <c r="Y1289" s="210"/>
    </row>
    <row r="1290" spans="1:25" ht="14.4" customHeight="1" thickBot="1" x14ac:dyDescent="0.3">
      <c r="A1290" s="149"/>
      <c r="J1290" s="130">
        <v>1</v>
      </c>
      <c r="K1290" s="132">
        <f t="shared" si="120"/>
        <v>0</v>
      </c>
      <c r="M1290" s="132">
        <v>1</v>
      </c>
      <c r="N1290" s="132">
        <f t="shared" si="121"/>
        <v>0</v>
      </c>
      <c r="P1290" s="132">
        <v>1</v>
      </c>
      <c r="Q1290" s="132">
        <f t="shared" si="125"/>
        <v>0</v>
      </c>
      <c r="S1290" s="132">
        <v>1</v>
      </c>
      <c r="T1290" s="132">
        <f t="shared" si="122"/>
        <v>0</v>
      </c>
      <c r="V1290" s="126">
        <f t="shared" si="123"/>
        <v>0</v>
      </c>
      <c r="W1290" s="92">
        <f t="shared" si="124"/>
        <v>0</v>
      </c>
      <c r="Y1290" s="210"/>
    </row>
    <row r="1291" spans="1:25" ht="14.4" customHeight="1" thickBot="1" x14ac:dyDescent="0.3">
      <c r="A1291" s="149"/>
      <c r="J1291" s="130">
        <v>1</v>
      </c>
      <c r="K1291" s="132">
        <f t="shared" si="120"/>
        <v>0</v>
      </c>
      <c r="M1291" s="132">
        <v>1</v>
      </c>
      <c r="N1291" s="132">
        <f t="shared" si="121"/>
        <v>0</v>
      </c>
      <c r="P1291" s="132">
        <v>1</v>
      </c>
      <c r="Q1291" s="132">
        <f t="shared" si="125"/>
        <v>0</v>
      </c>
      <c r="S1291" s="132">
        <v>1</v>
      </c>
      <c r="T1291" s="132">
        <f t="shared" si="122"/>
        <v>0</v>
      </c>
      <c r="V1291" s="126">
        <f t="shared" si="123"/>
        <v>0</v>
      </c>
      <c r="W1291" s="92">
        <f t="shared" si="124"/>
        <v>0</v>
      </c>
      <c r="Y1291" s="210"/>
    </row>
    <row r="1292" spans="1:25" ht="14.4" customHeight="1" thickBot="1" x14ac:dyDescent="0.3">
      <c r="A1292" s="149"/>
      <c r="J1292" s="130">
        <v>1</v>
      </c>
      <c r="K1292" s="132">
        <f t="shared" si="120"/>
        <v>0</v>
      </c>
      <c r="M1292" s="132">
        <v>1</v>
      </c>
      <c r="N1292" s="132">
        <f t="shared" si="121"/>
        <v>0</v>
      </c>
      <c r="P1292" s="132">
        <v>1</v>
      </c>
      <c r="Q1292" s="132">
        <f t="shared" si="125"/>
        <v>0</v>
      </c>
      <c r="S1292" s="132">
        <v>1</v>
      </c>
      <c r="T1292" s="132">
        <f t="shared" si="122"/>
        <v>0</v>
      </c>
      <c r="V1292" s="126">
        <f t="shared" si="123"/>
        <v>0</v>
      </c>
      <c r="W1292" s="92">
        <f t="shared" si="124"/>
        <v>0</v>
      </c>
      <c r="Y1292" s="210"/>
    </row>
    <row r="1293" spans="1:25" ht="14.4" customHeight="1" thickBot="1" x14ac:dyDescent="0.3">
      <c r="A1293" s="149"/>
      <c r="J1293" s="130">
        <v>1</v>
      </c>
      <c r="K1293" s="132">
        <f t="shared" si="120"/>
        <v>0</v>
      </c>
      <c r="M1293" s="132">
        <v>1</v>
      </c>
      <c r="N1293" s="132">
        <f t="shared" si="121"/>
        <v>0</v>
      </c>
      <c r="P1293" s="132">
        <v>1</v>
      </c>
      <c r="Q1293" s="132">
        <f t="shared" si="125"/>
        <v>0</v>
      </c>
      <c r="S1293" s="132">
        <v>1</v>
      </c>
      <c r="T1293" s="132">
        <f t="shared" si="122"/>
        <v>0</v>
      </c>
      <c r="V1293" s="126">
        <f t="shared" si="123"/>
        <v>0</v>
      </c>
      <c r="W1293" s="92">
        <f t="shared" si="124"/>
        <v>0</v>
      </c>
      <c r="Y1293" s="210"/>
    </row>
    <row r="1294" spans="1:25" ht="14.4" customHeight="1" thickBot="1" x14ac:dyDescent="0.3">
      <c r="A1294" s="149"/>
      <c r="J1294" s="130">
        <v>1</v>
      </c>
      <c r="K1294" s="132">
        <f t="shared" si="120"/>
        <v>0</v>
      </c>
      <c r="M1294" s="132">
        <v>1</v>
      </c>
      <c r="N1294" s="132">
        <f t="shared" si="121"/>
        <v>0</v>
      </c>
      <c r="P1294" s="132">
        <v>1</v>
      </c>
      <c r="Q1294" s="132">
        <f t="shared" si="125"/>
        <v>0</v>
      </c>
      <c r="S1294" s="132">
        <v>1</v>
      </c>
      <c r="T1294" s="132">
        <f t="shared" si="122"/>
        <v>0</v>
      </c>
      <c r="V1294" s="126">
        <f t="shared" si="123"/>
        <v>0</v>
      </c>
      <c r="W1294" s="92">
        <f t="shared" si="124"/>
        <v>0</v>
      </c>
      <c r="Y1294" s="210"/>
    </row>
    <row r="1295" spans="1:25" ht="14.4" customHeight="1" thickBot="1" x14ac:dyDescent="0.3">
      <c r="A1295" s="149"/>
      <c r="J1295" s="130">
        <v>1</v>
      </c>
      <c r="K1295" s="132">
        <f t="shared" si="120"/>
        <v>0</v>
      </c>
      <c r="M1295" s="132">
        <v>1</v>
      </c>
      <c r="N1295" s="132">
        <f t="shared" si="121"/>
        <v>0</v>
      </c>
      <c r="P1295" s="132">
        <v>1</v>
      </c>
      <c r="Q1295" s="132">
        <f t="shared" si="125"/>
        <v>0</v>
      </c>
      <c r="S1295" s="132">
        <v>1</v>
      </c>
      <c r="T1295" s="132">
        <f t="shared" si="122"/>
        <v>0</v>
      </c>
      <c r="V1295" s="126">
        <f t="shared" si="123"/>
        <v>0</v>
      </c>
      <c r="W1295" s="92">
        <f t="shared" si="124"/>
        <v>0</v>
      </c>
      <c r="Y1295" s="210"/>
    </row>
    <row r="1296" spans="1:25" ht="14.4" customHeight="1" thickBot="1" x14ac:dyDescent="0.3">
      <c r="A1296" s="149"/>
      <c r="J1296" s="130">
        <v>1</v>
      </c>
      <c r="K1296" s="132">
        <f t="shared" si="120"/>
        <v>0</v>
      </c>
      <c r="M1296" s="132">
        <v>1</v>
      </c>
      <c r="N1296" s="132">
        <f t="shared" si="121"/>
        <v>0</v>
      </c>
      <c r="P1296" s="132">
        <v>1</v>
      </c>
      <c r="Q1296" s="132">
        <f t="shared" si="125"/>
        <v>0</v>
      </c>
      <c r="S1296" s="132">
        <v>1</v>
      </c>
      <c r="T1296" s="132">
        <f t="shared" si="122"/>
        <v>0</v>
      </c>
      <c r="V1296" s="126">
        <f t="shared" si="123"/>
        <v>0</v>
      </c>
      <c r="W1296" s="92">
        <f t="shared" si="124"/>
        <v>0</v>
      </c>
      <c r="Y1296" s="210"/>
    </row>
    <row r="1297" spans="1:25" ht="14.4" customHeight="1" thickBot="1" x14ac:dyDescent="0.3">
      <c r="A1297" s="149"/>
      <c r="J1297" s="130">
        <v>1</v>
      </c>
      <c r="K1297" s="132">
        <f t="shared" si="120"/>
        <v>0</v>
      </c>
      <c r="M1297" s="132">
        <v>1</v>
      </c>
      <c r="N1297" s="132">
        <f t="shared" si="121"/>
        <v>0</v>
      </c>
      <c r="P1297" s="132">
        <v>1</v>
      </c>
      <c r="Q1297" s="132">
        <f t="shared" si="125"/>
        <v>0</v>
      </c>
      <c r="S1297" s="132">
        <v>1</v>
      </c>
      <c r="T1297" s="132">
        <f t="shared" si="122"/>
        <v>0</v>
      </c>
      <c r="V1297" s="126">
        <f t="shared" si="123"/>
        <v>0</v>
      </c>
      <c r="W1297" s="92">
        <f t="shared" si="124"/>
        <v>0</v>
      </c>
      <c r="Y1297" s="210"/>
    </row>
    <row r="1298" spans="1:25" ht="14.4" customHeight="1" thickBot="1" x14ac:dyDescent="0.3">
      <c r="A1298" s="149"/>
      <c r="J1298" s="130">
        <v>1</v>
      </c>
      <c r="K1298" s="132">
        <f t="shared" si="120"/>
        <v>0</v>
      </c>
      <c r="M1298" s="132">
        <v>1</v>
      </c>
      <c r="N1298" s="132">
        <f t="shared" si="121"/>
        <v>0</v>
      </c>
      <c r="P1298" s="132">
        <v>1</v>
      </c>
      <c r="Q1298" s="132">
        <f t="shared" si="125"/>
        <v>0</v>
      </c>
      <c r="S1298" s="132">
        <v>1</v>
      </c>
      <c r="T1298" s="132">
        <f t="shared" si="122"/>
        <v>0</v>
      </c>
      <c r="V1298" s="126">
        <f t="shared" si="123"/>
        <v>0</v>
      </c>
      <c r="W1298" s="92">
        <f t="shared" si="124"/>
        <v>0</v>
      </c>
      <c r="Y1298" s="210"/>
    </row>
    <row r="1299" spans="1:25" ht="14.4" customHeight="1" thickBot="1" x14ac:dyDescent="0.3">
      <c r="A1299" s="149"/>
      <c r="J1299" s="130">
        <v>1</v>
      </c>
      <c r="K1299" s="132">
        <f t="shared" si="120"/>
        <v>0</v>
      </c>
      <c r="M1299" s="132">
        <v>1</v>
      </c>
      <c r="N1299" s="132">
        <f t="shared" si="121"/>
        <v>0</v>
      </c>
      <c r="P1299" s="132">
        <v>1</v>
      </c>
      <c r="Q1299" s="132">
        <f t="shared" si="125"/>
        <v>0</v>
      </c>
      <c r="S1299" s="132">
        <v>1</v>
      </c>
      <c r="T1299" s="132">
        <f t="shared" si="122"/>
        <v>0</v>
      </c>
      <c r="V1299" s="126">
        <f t="shared" si="123"/>
        <v>0</v>
      </c>
      <c r="W1299" s="92">
        <f t="shared" si="124"/>
        <v>0</v>
      </c>
      <c r="Y1299" s="210"/>
    </row>
    <row r="1300" spans="1:25" ht="14.4" customHeight="1" thickBot="1" x14ac:dyDescent="0.3">
      <c r="A1300" s="149"/>
      <c r="J1300" s="130">
        <v>1</v>
      </c>
      <c r="K1300" s="132">
        <f t="shared" si="120"/>
        <v>0</v>
      </c>
      <c r="M1300" s="132">
        <v>1</v>
      </c>
      <c r="N1300" s="132">
        <f t="shared" si="121"/>
        <v>0</v>
      </c>
      <c r="P1300" s="132">
        <v>1</v>
      </c>
      <c r="Q1300" s="132">
        <f t="shared" si="125"/>
        <v>0</v>
      </c>
      <c r="S1300" s="132">
        <v>1</v>
      </c>
      <c r="T1300" s="132">
        <f t="shared" si="122"/>
        <v>0</v>
      </c>
      <c r="V1300" s="126">
        <f t="shared" si="123"/>
        <v>0</v>
      </c>
      <c r="W1300" s="92">
        <f t="shared" si="124"/>
        <v>0</v>
      </c>
      <c r="Y1300" s="210"/>
    </row>
    <row r="1301" spans="1:25" ht="14.4" customHeight="1" thickBot="1" x14ac:dyDescent="0.3">
      <c r="A1301" s="149"/>
      <c r="J1301" s="130">
        <v>1</v>
      </c>
      <c r="K1301" s="132">
        <f t="shared" si="120"/>
        <v>0</v>
      </c>
      <c r="M1301" s="132">
        <v>1</v>
      </c>
      <c r="N1301" s="132">
        <f t="shared" si="121"/>
        <v>0</v>
      </c>
      <c r="P1301" s="132">
        <v>1</v>
      </c>
      <c r="Q1301" s="132">
        <f t="shared" si="125"/>
        <v>0</v>
      </c>
      <c r="S1301" s="132">
        <v>1</v>
      </c>
      <c r="T1301" s="132">
        <f t="shared" si="122"/>
        <v>0</v>
      </c>
      <c r="V1301" s="126">
        <f t="shared" si="123"/>
        <v>0</v>
      </c>
      <c r="W1301" s="92">
        <f t="shared" si="124"/>
        <v>0</v>
      </c>
      <c r="Y1301" s="210"/>
    </row>
    <row r="1302" spans="1:25" ht="14.4" customHeight="1" thickBot="1" x14ac:dyDescent="0.3">
      <c r="A1302" s="149"/>
      <c r="J1302" s="130">
        <v>1</v>
      </c>
      <c r="K1302" s="132">
        <f t="shared" si="120"/>
        <v>0</v>
      </c>
      <c r="M1302" s="132">
        <v>1</v>
      </c>
      <c r="N1302" s="132">
        <f t="shared" si="121"/>
        <v>0</v>
      </c>
      <c r="P1302" s="132">
        <v>1</v>
      </c>
      <c r="Q1302" s="132">
        <f t="shared" si="125"/>
        <v>0</v>
      </c>
      <c r="S1302" s="132">
        <v>1</v>
      </c>
      <c r="T1302" s="132">
        <f t="shared" si="122"/>
        <v>0</v>
      </c>
      <c r="V1302" s="126">
        <f t="shared" si="123"/>
        <v>0</v>
      </c>
      <c r="W1302" s="92">
        <f t="shared" si="124"/>
        <v>0</v>
      </c>
      <c r="Y1302" s="210"/>
    </row>
    <row r="1303" spans="1:25" ht="14.4" customHeight="1" thickBot="1" x14ac:dyDescent="0.3">
      <c r="A1303" s="149"/>
      <c r="J1303" s="130">
        <v>1</v>
      </c>
      <c r="K1303" s="132">
        <f t="shared" si="120"/>
        <v>0</v>
      </c>
      <c r="M1303" s="132">
        <v>1</v>
      </c>
      <c r="N1303" s="132">
        <f t="shared" si="121"/>
        <v>0</v>
      </c>
      <c r="P1303" s="132">
        <v>1</v>
      </c>
      <c r="Q1303" s="132">
        <f t="shared" si="125"/>
        <v>0</v>
      </c>
      <c r="S1303" s="132">
        <v>1</v>
      </c>
      <c r="T1303" s="132">
        <f t="shared" si="122"/>
        <v>0</v>
      </c>
      <c r="V1303" s="126">
        <f t="shared" si="123"/>
        <v>0</v>
      </c>
      <c r="W1303" s="92">
        <f t="shared" si="124"/>
        <v>0</v>
      </c>
      <c r="Y1303" s="210"/>
    </row>
    <row r="1304" spans="1:25" ht="14.4" customHeight="1" thickBot="1" x14ac:dyDescent="0.3">
      <c r="A1304" s="149"/>
      <c r="J1304" s="130">
        <v>1</v>
      </c>
      <c r="K1304" s="132">
        <f t="shared" si="120"/>
        <v>0</v>
      </c>
      <c r="M1304" s="132">
        <v>1</v>
      </c>
      <c r="N1304" s="132">
        <f t="shared" si="121"/>
        <v>0</v>
      </c>
      <c r="P1304" s="132">
        <v>1</v>
      </c>
      <c r="Q1304" s="132">
        <f t="shared" si="125"/>
        <v>0</v>
      </c>
      <c r="S1304" s="132">
        <v>1</v>
      </c>
      <c r="T1304" s="132">
        <f t="shared" si="122"/>
        <v>0</v>
      </c>
      <c r="V1304" s="126">
        <f t="shared" si="123"/>
        <v>0</v>
      </c>
      <c r="W1304" s="92">
        <f t="shared" si="124"/>
        <v>0</v>
      </c>
      <c r="Y1304" s="210"/>
    </row>
    <row r="1305" spans="1:25" ht="14.4" customHeight="1" thickBot="1" x14ac:dyDescent="0.3">
      <c r="A1305" s="149"/>
      <c r="J1305" s="130">
        <v>1</v>
      </c>
      <c r="K1305" s="132">
        <f t="shared" si="120"/>
        <v>0</v>
      </c>
      <c r="M1305" s="132">
        <v>1</v>
      </c>
      <c r="N1305" s="132">
        <f t="shared" si="121"/>
        <v>0</v>
      </c>
      <c r="P1305" s="132">
        <v>1</v>
      </c>
      <c r="Q1305" s="132">
        <f t="shared" si="125"/>
        <v>0</v>
      </c>
      <c r="S1305" s="132">
        <v>1</v>
      </c>
      <c r="T1305" s="132">
        <f t="shared" si="122"/>
        <v>0</v>
      </c>
      <c r="V1305" s="126">
        <f t="shared" si="123"/>
        <v>0</v>
      </c>
      <c r="W1305" s="92">
        <f t="shared" si="124"/>
        <v>0</v>
      </c>
      <c r="Y1305" s="210"/>
    </row>
    <row r="1306" spans="1:25" ht="14.4" customHeight="1" thickBot="1" x14ac:dyDescent="0.3">
      <c r="A1306" s="149"/>
      <c r="J1306" s="130">
        <v>1</v>
      </c>
      <c r="K1306" s="132">
        <f t="shared" si="120"/>
        <v>0</v>
      </c>
      <c r="M1306" s="132">
        <v>1</v>
      </c>
      <c r="N1306" s="132">
        <f t="shared" si="121"/>
        <v>0</v>
      </c>
      <c r="P1306" s="132">
        <v>1</v>
      </c>
      <c r="Q1306" s="132">
        <f t="shared" si="125"/>
        <v>0</v>
      </c>
      <c r="S1306" s="132">
        <v>1</v>
      </c>
      <c r="T1306" s="132">
        <f t="shared" si="122"/>
        <v>0</v>
      </c>
      <c r="V1306" s="126">
        <f t="shared" si="123"/>
        <v>0</v>
      </c>
      <c r="W1306" s="92">
        <f t="shared" si="124"/>
        <v>0</v>
      </c>
      <c r="Y1306" s="210"/>
    </row>
    <row r="1307" spans="1:25" ht="14.4" customHeight="1" thickBot="1" x14ac:dyDescent="0.3">
      <c r="A1307" s="149"/>
      <c r="J1307" s="130">
        <v>1</v>
      </c>
      <c r="K1307" s="132">
        <f t="shared" si="120"/>
        <v>0</v>
      </c>
      <c r="M1307" s="132">
        <v>1</v>
      </c>
      <c r="N1307" s="132">
        <f t="shared" si="121"/>
        <v>0</v>
      </c>
      <c r="P1307" s="132">
        <v>1</v>
      </c>
      <c r="Q1307" s="132">
        <f t="shared" si="125"/>
        <v>0</v>
      </c>
      <c r="S1307" s="132">
        <v>1</v>
      </c>
      <c r="T1307" s="132">
        <f t="shared" si="122"/>
        <v>0</v>
      </c>
      <c r="V1307" s="126">
        <f t="shared" si="123"/>
        <v>0</v>
      </c>
      <c r="W1307" s="92">
        <f t="shared" si="124"/>
        <v>0</v>
      </c>
      <c r="Y1307" s="210"/>
    </row>
    <row r="1308" spans="1:25" ht="14.4" customHeight="1" thickBot="1" x14ac:dyDescent="0.3">
      <c r="A1308" s="149"/>
      <c r="J1308" s="130">
        <v>1</v>
      </c>
      <c r="K1308" s="132">
        <f t="shared" si="120"/>
        <v>0</v>
      </c>
      <c r="M1308" s="132">
        <v>1</v>
      </c>
      <c r="N1308" s="132">
        <f t="shared" si="121"/>
        <v>0</v>
      </c>
      <c r="P1308" s="132">
        <v>1</v>
      </c>
      <c r="Q1308" s="132">
        <f t="shared" si="125"/>
        <v>0</v>
      </c>
      <c r="S1308" s="132">
        <v>1</v>
      </c>
      <c r="T1308" s="132">
        <f t="shared" si="122"/>
        <v>0</v>
      </c>
      <c r="V1308" s="126">
        <f t="shared" si="123"/>
        <v>0</v>
      </c>
      <c r="W1308" s="92">
        <f t="shared" si="124"/>
        <v>0</v>
      </c>
      <c r="Y1308" s="210"/>
    </row>
    <row r="1309" spans="1:25" ht="14.4" customHeight="1" thickBot="1" x14ac:dyDescent="0.3">
      <c r="A1309" s="149"/>
      <c r="J1309" s="130">
        <v>1</v>
      </c>
      <c r="K1309" s="132">
        <f t="shared" si="120"/>
        <v>0</v>
      </c>
      <c r="M1309" s="132">
        <v>1</v>
      </c>
      <c r="N1309" s="132">
        <f t="shared" si="121"/>
        <v>0</v>
      </c>
      <c r="P1309" s="132">
        <v>1</v>
      </c>
      <c r="Q1309" s="132">
        <f t="shared" si="125"/>
        <v>0</v>
      </c>
      <c r="S1309" s="132">
        <v>1</v>
      </c>
      <c r="T1309" s="132">
        <f t="shared" si="122"/>
        <v>0</v>
      </c>
      <c r="V1309" s="126">
        <f t="shared" si="123"/>
        <v>0</v>
      </c>
      <c r="W1309" s="92">
        <f t="shared" si="124"/>
        <v>0</v>
      </c>
      <c r="Y1309" s="210"/>
    </row>
    <row r="1310" spans="1:25" ht="14.4" customHeight="1" thickBot="1" x14ac:dyDescent="0.3">
      <c r="A1310" s="149"/>
      <c r="J1310" s="130">
        <v>1</v>
      </c>
      <c r="K1310" s="132">
        <f t="shared" si="120"/>
        <v>0</v>
      </c>
      <c r="M1310" s="132">
        <v>1</v>
      </c>
      <c r="N1310" s="132">
        <f t="shared" si="121"/>
        <v>0</v>
      </c>
      <c r="P1310" s="132">
        <v>1</v>
      </c>
      <c r="Q1310" s="132">
        <f t="shared" si="125"/>
        <v>0</v>
      </c>
      <c r="S1310" s="132">
        <v>1</v>
      </c>
      <c r="T1310" s="132">
        <f t="shared" si="122"/>
        <v>0</v>
      </c>
      <c r="V1310" s="126">
        <f t="shared" si="123"/>
        <v>0</v>
      </c>
      <c r="W1310" s="92">
        <f t="shared" si="124"/>
        <v>0</v>
      </c>
      <c r="Y1310" s="210"/>
    </row>
    <row r="1311" spans="1:25" ht="14.4" customHeight="1" thickBot="1" x14ac:dyDescent="0.3">
      <c r="A1311" s="149"/>
      <c r="J1311" s="130">
        <v>1</v>
      </c>
      <c r="K1311" s="132">
        <f t="shared" si="120"/>
        <v>0</v>
      </c>
      <c r="M1311" s="132">
        <v>1</v>
      </c>
      <c r="N1311" s="132">
        <f t="shared" si="121"/>
        <v>0</v>
      </c>
      <c r="P1311" s="132">
        <v>1</v>
      </c>
      <c r="Q1311" s="132">
        <f t="shared" si="125"/>
        <v>0</v>
      </c>
      <c r="S1311" s="132">
        <v>1</v>
      </c>
      <c r="T1311" s="132">
        <f t="shared" si="122"/>
        <v>0</v>
      </c>
      <c r="V1311" s="126">
        <f t="shared" si="123"/>
        <v>0</v>
      </c>
      <c r="W1311" s="92">
        <f t="shared" si="124"/>
        <v>0</v>
      </c>
      <c r="Y1311" s="210"/>
    </row>
    <row r="1312" spans="1:25" ht="14.4" customHeight="1" thickBot="1" x14ac:dyDescent="0.3">
      <c r="A1312" s="149"/>
      <c r="J1312" s="130">
        <v>1</v>
      </c>
      <c r="K1312" s="132">
        <f t="shared" si="120"/>
        <v>0</v>
      </c>
      <c r="M1312" s="132">
        <v>1</v>
      </c>
      <c r="N1312" s="132">
        <f t="shared" si="121"/>
        <v>0</v>
      </c>
      <c r="P1312" s="132">
        <v>1</v>
      </c>
      <c r="Q1312" s="132">
        <f t="shared" si="125"/>
        <v>0</v>
      </c>
      <c r="S1312" s="132">
        <v>1</v>
      </c>
      <c r="T1312" s="132">
        <f t="shared" si="122"/>
        <v>0</v>
      </c>
      <c r="V1312" s="126">
        <f t="shared" si="123"/>
        <v>0</v>
      </c>
      <c r="W1312" s="92">
        <f t="shared" si="124"/>
        <v>0</v>
      </c>
      <c r="Y1312" s="210"/>
    </row>
    <row r="1313" spans="1:25" ht="14.4" customHeight="1" thickBot="1" x14ac:dyDescent="0.3">
      <c r="A1313" s="149"/>
      <c r="J1313" s="130">
        <v>1</v>
      </c>
      <c r="K1313" s="132">
        <f t="shared" si="120"/>
        <v>0</v>
      </c>
      <c r="M1313" s="132">
        <v>1</v>
      </c>
      <c r="N1313" s="132">
        <f t="shared" si="121"/>
        <v>0</v>
      </c>
      <c r="P1313" s="132">
        <v>1</v>
      </c>
      <c r="Q1313" s="132">
        <f t="shared" si="125"/>
        <v>0</v>
      </c>
      <c r="S1313" s="132">
        <v>1</v>
      </c>
      <c r="T1313" s="132">
        <f t="shared" si="122"/>
        <v>0</v>
      </c>
      <c r="V1313" s="126">
        <f t="shared" si="123"/>
        <v>0</v>
      </c>
      <c r="W1313" s="92">
        <f t="shared" si="124"/>
        <v>0</v>
      </c>
      <c r="Y1313" s="210"/>
    </row>
    <row r="1314" spans="1:25" ht="14.4" customHeight="1" thickBot="1" x14ac:dyDescent="0.3">
      <c r="A1314" s="149"/>
      <c r="J1314" s="130">
        <v>1</v>
      </c>
      <c r="K1314" s="132">
        <f t="shared" si="120"/>
        <v>0</v>
      </c>
      <c r="M1314" s="132">
        <v>1</v>
      </c>
      <c r="N1314" s="132">
        <f t="shared" si="121"/>
        <v>0</v>
      </c>
      <c r="P1314" s="132">
        <v>1</v>
      </c>
      <c r="Q1314" s="132">
        <f t="shared" si="125"/>
        <v>0</v>
      </c>
      <c r="S1314" s="132">
        <v>1</v>
      </c>
      <c r="T1314" s="132">
        <f t="shared" si="122"/>
        <v>0</v>
      </c>
      <c r="V1314" s="126">
        <f t="shared" si="123"/>
        <v>0</v>
      </c>
      <c r="W1314" s="92">
        <f t="shared" si="124"/>
        <v>0</v>
      </c>
      <c r="Y1314" s="210"/>
    </row>
    <row r="1315" spans="1:25" ht="14.4" customHeight="1" thickBot="1" x14ac:dyDescent="0.3">
      <c r="A1315" s="149"/>
      <c r="J1315" s="130">
        <v>1</v>
      </c>
      <c r="K1315" s="132">
        <f t="shared" si="120"/>
        <v>0</v>
      </c>
      <c r="M1315" s="132">
        <v>1</v>
      </c>
      <c r="N1315" s="132">
        <f t="shared" si="121"/>
        <v>0</v>
      </c>
      <c r="P1315" s="132">
        <v>1</v>
      </c>
      <c r="Q1315" s="132">
        <f t="shared" si="125"/>
        <v>0</v>
      </c>
      <c r="S1315" s="132">
        <v>1</v>
      </c>
      <c r="T1315" s="132">
        <f t="shared" si="122"/>
        <v>0</v>
      </c>
      <c r="V1315" s="126">
        <f t="shared" si="123"/>
        <v>0</v>
      </c>
      <c r="W1315" s="92">
        <f t="shared" si="124"/>
        <v>0</v>
      </c>
      <c r="Y1315" s="210"/>
    </row>
    <row r="1316" spans="1:25" ht="14.4" customHeight="1" thickBot="1" x14ac:dyDescent="0.3">
      <c r="A1316" s="149"/>
      <c r="J1316" s="130">
        <v>1</v>
      </c>
      <c r="K1316" s="132">
        <f t="shared" si="120"/>
        <v>0</v>
      </c>
      <c r="M1316" s="132">
        <v>1</v>
      </c>
      <c r="N1316" s="132">
        <f t="shared" si="121"/>
        <v>0</v>
      </c>
      <c r="P1316" s="132">
        <v>1</v>
      </c>
      <c r="Q1316" s="132">
        <f t="shared" si="125"/>
        <v>0</v>
      </c>
      <c r="S1316" s="132">
        <v>1</v>
      </c>
      <c r="T1316" s="132">
        <f t="shared" si="122"/>
        <v>0</v>
      </c>
      <c r="V1316" s="126">
        <f t="shared" si="123"/>
        <v>0</v>
      </c>
      <c r="W1316" s="92">
        <f t="shared" si="124"/>
        <v>0</v>
      </c>
      <c r="Y1316" s="210"/>
    </row>
    <row r="1317" spans="1:25" ht="14.4" customHeight="1" thickBot="1" x14ac:dyDescent="0.3">
      <c r="A1317" s="149"/>
      <c r="J1317" s="130">
        <v>1</v>
      </c>
      <c r="K1317" s="132">
        <f t="shared" si="120"/>
        <v>0</v>
      </c>
      <c r="M1317" s="132">
        <v>1</v>
      </c>
      <c r="N1317" s="132">
        <f t="shared" si="121"/>
        <v>0</v>
      </c>
      <c r="P1317" s="132">
        <v>1</v>
      </c>
      <c r="Q1317" s="132">
        <f t="shared" si="125"/>
        <v>0</v>
      </c>
      <c r="S1317" s="132">
        <v>1</v>
      </c>
      <c r="T1317" s="132">
        <f t="shared" si="122"/>
        <v>0</v>
      </c>
      <c r="V1317" s="126">
        <f t="shared" si="123"/>
        <v>0</v>
      </c>
      <c r="W1317" s="92">
        <f t="shared" si="124"/>
        <v>0</v>
      </c>
      <c r="Y1317" s="210"/>
    </row>
    <row r="1318" spans="1:25" ht="14.4" customHeight="1" thickBot="1" x14ac:dyDescent="0.3">
      <c r="A1318" s="149"/>
      <c r="J1318" s="130">
        <v>1</v>
      </c>
      <c r="K1318" s="132">
        <f t="shared" si="120"/>
        <v>0</v>
      </c>
      <c r="M1318" s="132">
        <v>1</v>
      </c>
      <c r="N1318" s="132">
        <f t="shared" si="121"/>
        <v>0</v>
      </c>
      <c r="P1318" s="132">
        <v>1</v>
      </c>
      <c r="Q1318" s="132">
        <f t="shared" si="125"/>
        <v>0</v>
      </c>
      <c r="S1318" s="132">
        <v>1</v>
      </c>
      <c r="T1318" s="132">
        <f t="shared" si="122"/>
        <v>0</v>
      </c>
      <c r="V1318" s="126">
        <f t="shared" si="123"/>
        <v>0</v>
      </c>
      <c r="W1318" s="92">
        <f t="shared" si="124"/>
        <v>0</v>
      </c>
      <c r="Y1318" s="210"/>
    </row>
    <row r="1319" spans="1:25" ht="14.4" customHeight="1" thickBot="1" x14ac:dyDescent="0.3">
      <c r="A1319" s="149"/>
      <c r="J1319" s="130">
        <v>1</v>
      </c>
      <c r="K1319" s="132">
        <f t="shared" si="120"/>
        <v>0</v>
      </c>
      <c r="M1319" s="132">
        <v>1</v>
      </c>
      <c r="N1319" s="132">
        <f t="shared" si="121"/>
        <v>0</v>
      </c>
      <c r="P1319" s="132">
        <v>1</v>
      </c>
      <c r="Q1319" s="132">
        <f t="shared" si="125"/>
        <v>0</v>
      </c>
      <c r="S1319" s="132">
        <v>1</v>
      </c>
      <c r="T1319" s="132">
        <f t="shared" si="122"/>
        <v>0</v>
      </c>
      <c r="V1319" s="126">
        <f t="shared" si="123"/>
        <v>0</v>
      </c>
      <c r="W1319" s="92">
        <f t="shared" si="124"/>
        <v>0</v>
      </c>
      <c r="Y1319" s="210"/>
    </row>
    <row r="1320" spans="1:25" ht="14.4" customHeight="1" thickBot="1" x14ac:dyDescent="0.3">
      <c r="A1320" s="149"/>
      <c r="J1320" s="130">
        <v>1</v>
      </c>
      <c r="K1320" s="132">
        <f t="shared" si="120"/>
        <v>0</v>
      </c>
      <c r="M1320" s="132">
        <v>1</v>
      </c>
      <c r="N1320" s="132">
        <f t="shared" si="121"/>
        <v>0</v>
      </c>
      <c r="P1320" s="132">
        <v>1</v>
      </c>
      <c r="Q1320" s="132">
        <f t="shared" si="125"/>
        <v>0</v>
      </c>
      <c r="S1320" s="132">
        <v>1</v>
      </c>
      <c r="T1320" s="132">
        <f t="shared" si="122"/>
        <v>0</v>
      </c>
      <c r="V1320" s="126">
        <f t="shared" si="123"/>
        <v>0</v>
      </c>
      <c r="W1320" s="92">
        <f t="shared" si="124"/>
        <v>0</v>
      </c>
      <c r="Y1320" s="210"/>
    </row>
    <row r="1321" spans="1:25" ht="14.4" customHeight="1" thickBot="1" x14ac:dyDescent="0.3">
      <c r="A1321" s="149"/>
      <c r="J1321" s="130">
        <v>1</v>
      </c>
      <c r="K1321" s="132">
        <f t="shared" si="120"/>
        <v>0</v>
      </c>
      <c r="M1321" s="132">
        <v>1</v>
      </c>
      <c r="N1321" s="132">
        <f t="shared" si="121"/>
        <v>0</v>
      </c>
      <c r="P1321" s="132">
        <v>1</v>
      </c>
      <c r="Q1321" s="132">
        <f t="shared" si="125"/>
        <v>0</v>
      </c>
      <c r="S1321" s="132">
        <v>1</v>
      </c>
      <c r="T1321" s="132">
        <f t="shared" si="122"/>
        <v>0</v>
      </c>
      <c r="V1321" s="126">
        <f t="shared" si="123"/>
        <v>0</v>
      </c>
      <c r="W1321" s="92">
        <f t="shared" si="124"/>
        <v>0</v>
      </c>
      <c r="Y1321" s="210"/>
    </row>
    <row r="1322" spans="1:25" ht="14.4" customHeight="1" thickBot="1" x14ac:dyDescent="0.3">
      <c r="A1322" s="149"/>
      <c r="J1322" s="130">
        <v>1</v>
      </c>
      <c r="K1322" s="132">
        <f t="shared" si="120"/>
        <v>0</v>
      </c>
      <c r="M1322" s="132">
        <v>1</v>
      </c>
      <c r="N1322" s="132">
        <f t="shared" si="121"/>
        <v>0</v>
      </c>
      <c r="P1322" s="132">
        <v>1</v>
      </c>
      <c r="Q1322" s="132">
        <f t="shared" si="125"/>
        <v>0</v>
      </c>
      <c r="S1322" s="132">
        <v>1</v>
      </c>
      <c r="T1322" s="132">
        <f t="shared" si="122"/>
        <v>0</v>
      </c>
      <c r="V1322" s="126">
        <f t="shared" si="123"/>
        <v>0</v>
      </c>
      <c r="W1322" s="92">
        <f t="shared" si="124"/>
        <v>0</v>
      </c>
      <c r="Y1322" s="210"/>
    </row>
    <row r="1323" spans="1:25" ht="14.4" customHeight="1" thickBot="1" x14ac:dyDescent="0.3">
      <c r="A1323" s="149"/>
      <c r="J1323" s="130">
        <v>1</v>
      </c>
      <c r="K1323" s="132">
        <f t="shared" si="120"/>
        <v>0</v>
      </c>
      <c r="M1323" s="132">
        <v>1</v>
      </c>
      <c r="N1323" s="132">
        <f t="shared" si="121"/>
        <v>0</v>
      </c>
      <c r="P1323" s="132">
        <v>1</v>
      </c>
      <c r="Q1323" s="132">
        <f t="shared" si="125"/>
        <v>0</v>
      </c>
      <c r="S1323" s="132">
        <v>1</v>
      </c>
      <c r="T1323" s="132">
        <f t="shared" si="122"/>
        <v>0</v>
      </c>
      <c r="V1323" s="126">
        <f t="shared" si="123"/>
        <v>0</v>
      </c>
      <c r="W1323" s="92">
        <f t="shared" si="124"/>
        <v>0</v>
      </c>
      <c r="Y1323" s="210"/>
    </row>
    <row r="1324" spans="1:25" ht="14.4" customHeight="1" thickBot="1" x14ac:dyDescent="0.3">
      <c r="A1324" s="149"/>
      <c r="J1324" s="130">
        <v>1</v>
      </c>
      <c r="K1324" s="132">
        <f t="shared" si="120"/>
        <v>0</v>
      </c>
      <c r="M1324" s="132">
        <v>1</v>
      </c>
      <c r="N1324" s="132">
        <f t="shared" si="121"/>
        <v>0</v>
      </c>
      <c r="P1324" s="132">
        <v>1</v>
      </c>
      <c r="Q1324" s="132">
        <f t="shared" si="125"/>
        <v>0</v>
      </c>
      <c r="S1324" s="132">
        <v>1</v>
      </c>
      <c r="T1324" s="132">
        <f t="shared" si="122"/>
        <v>0</v>
      </c>
      <c r="V1324" s="126">
        <f t="shared" si="123"/>
        <v>0</v>
      </c>
      <c r="W1324" s="92">
        <f t="shared" si="124"/>
        <v>0</v>
      </c>
      <c r="Y1324" s="210"/>
    </row>
    <row r="1325" spans="1:25" ht="14.4" customHeight="1" thickBot="1" x14ac:dyDescent="0.3">
      <c r="A1325" s="149"/>
      <c r="J1325" s="130">
        <v>1</v>
      </c>
      <c r="K1325" s="132">
        <f t="shared" si="120"/>
        <v>0</v>
      </c>
      <c r="M1325" s="132">
        <v>1</v>
      </c>
      <c r="N1325" s="132">
        <f t="shared" si="121"/>
        <v>0</v>
      </c>
      <c r="P1325" s="132">
        <v>1</v>
      </c>
      <c r="Q1325" s="132">
        <f t="shared" si="125"/>
        <v>0</v>
      </c>
      <c r="S1325" s="132">
        <v>1</v>
      </c>
      <c r="T1325" s="132">
        <f t="shared" si="122"/>
        <v>0</v>
      </c>
      <c r="V1325" s="126">
        <f t="shared" si="123"/>
        <v>0</v>
      </c>
      <c r="W1325" s="92">
        <f t="shared" si="124"/>
        <v>0</v>
      </c>
      <c r="Y1325" s="210"/>
    </row>
    <row r="1326" spans="1:25" ht="14.4" customHeight="1" thickBot="1" x14ac:dyDescent="0.3">
      <c r="A1326" s="149"/>
      <c r="J1326" s="130">
        <v>1</v>
      </c>
      <c r="K1326" s="132">
        <f t="shared" si="120"/>
        <v>0</v>
      </c>
      <c r="M1326" s="132">
        <v>1</v>
      </c>
      <c r="N1326" s="132">
        <f t="shared" si="121"/>
        <v>0</v>
      </c>
      <c r="P1326" s="132">
        <v>1</v>
      </c>
      <c r="Q1326" s="132">
        <f t="shared" si="125"/>
        <v>0</v>
      </c>
      <c r="S1326" s="132">
        <v>1</v>
      </c>
      <c r="T1326" s="132">
        <f t="shared" si="122"/>
        <v>0</v>
      </c>
      <c r="V1326" s="126">
        <f t="shared" si="123"/>
        <v>0</v>
      </c>
      <c r="W1326" s="92">
        <f t="shared" si="124"/>
        <v>0</v>
      </c>
      <c r="Y1326" s="210"/>
    </row>
    <row r="1327" spans="1:25" ht="14.4" customHeight="1" thickBot="1" x14ac:dyDescent="0.3">
      <c r="A1327" s="149"/>
      <c r="J1327" s="130">
        <v>1</v>
      </c>
      <c r="K1327" s="132">
        <f t="shared" si="120"/>
        <v>0</v>
      </c>
      <c r="M1327" s="132">
        <v>1</v>
      </c>
      <c r="N1327" s="132">
        <f t="shared" si="121"/>
        <v>0</v>
      </c>
      <c r="P1327" s="132">
        <v>1</v>
      </c>
      <c r="Q1327" s="132">
        <f t="shared" si="125"/>
        <v>0</v>
      </c>
      <c r="S1327" s="132">
        <v>1</v>
      </c>
      <c r="T1327" s="132">
        <f t="shared" si="122"/>
        <v>0</v>
      </c>
      <c r="V1327" s="126">
        <f t="shared" si="123"/>
        <v>0</v>
      </c>
      <c r="W1327" s="92">
        <f t="shared" si="124"/>
        <v>0</v>
      </c>
      <c r="Y1327" s="210"/>
    </row>
    <row r="1328" spans="1:25" ht="14.4" customHeight="1" thickBot="1" x14ac:dyDescent="0.3">
      <c r="A1328" s="149"/>
      <c r="J1328" s="130">
        <v>1</v>
      </c>
      <c r="K1328" s="132">
        <f t="shared" si="120"/>
        <v>0</v>
      </c>
      <c r="M1328" s="132">
        <v>1</v>
      </c>
      <c r="N1328" s="132">
        <f t="shared" si="121"/>
        <v>0</v>
      </c>
      <c r="P1328" s="132">
        <v>1</v>
      </c>
      <c r="Q1328" s="132">
        <f t="shared" si="125"/>
        <v>0</v>
      </c>
      <c r="S1328" s="132">
        <v>1</v>
      </c>
      <c r="T1328" s="132">
        <f t="shared" si="122"/>
        <v>0</v>
      </c>
      <c r="V1328" s="126">
        <f t="shared" si="123"/>
        <v>0</v>
      </c>
      <c r="W1328" s="92">
        <f t="shared" si="124"/>
        <v>0</v>
      </c>
      <c r="Y1328" s="210"/>
    </row>
    <row r="1329" spans="1:25" ht="14.4" customHeight="1" thickBot="1" x14ac:dyDescent="0.3">
      <c r="A1329" s="149"/>
      <c r="J1329" s="130">
        <v>1</v>
      </c>
      <c r="K1329" s="132">
        <f t="shared" si="120"/>
        <v>0</v>
      </c>
      <c r="M1329" s="132">
        <v>1</v>
      </c>
      <c r="N1329" s="132">
        <f t="shared" si="121"/>
        <v>0</v>
      </c>
      <c r="P1329" s="132">
        <v>1</v>
      </c>
      <c r="Q1329" s="132">
        <f t="shared" si="125"/>
        <v>0</v>
      </c>
      <c r="S1329" s="132">
        <v>1</v>
      </c>
      <c r="T1329" s="132">
        <f t="shared" si="122"/>
        <v>0</v>
      </c>
      <c r="V1329" s="126">
        <f t="shared" si="123"/>
        <v>0</v>
      </c>
      <c r="W1329" s="92">
        <f t="shared" si="124"/>
        <v>0</v>
      </c>
      <c r="Y1329" s="210"/>
    </row>
    <row r="1330" spans="1:25" ht="14.4" customHeight="1" thickBot="1" x14ac:dyDescent="0.3">
      <c r="A1330" s="149"/>
      <c r="J1330" s="130">
        <v>1</v>
      </c>
      <c r="K1330" s="132">
        <f t="shared" si="120"/>
        <v>0</v>
      </c>
      <c r="M1330" s="132">
        <v>1</v>
      </c>
      <c r="N1330" s="132">
        <f t="shared" si="121"/>
        <v>0</v>
      </c>
      <c r="P1330" s="132">
        <v>1</v>
      </c>
      <c r="Q1330" s="132">
        <f t="shared" si="125"/>
        <v>0</v>
      </c>
      <c r="S1330" s="132">
        <v>1</v>
      </c>
      <c r="T1330" s="132">
        <f t="shared" si="122"/>
        <v>0</v>
      </c>
      <c r="V1330" s="126">
        <f t="shared" si="123"/>
        <v>0</v>
      </c>
      <c r="W1330" s="92">
        <f t="shared" si="124"/>
        <v>0</v>
      </c>
      <c r="Y1330" s="210"/>
    </row>
    <row r="1331" spans="1:25" ht="14.4" customHeight="1" thickBot="1" x14ac:dyDescent="0.3">
      <c r="A1331" s="149"/>
      <c r="J1331" s="130">
        <v>1</v>
      </c>
      <c r="K1331" s="132">
        <f t="shared" si="120"/>
        <v>0</v>
      </c>
      <c r="M1331" s="132">
        <v>1</v>
      </c>
      <c r="N1331" s="132">
        <f t="shared" si="121"/>
        <v>0</v>
      </c>
      <c r="P1331" s="132">
        <v>1</v>
      </c>
      <c r="Q1331" s="132">
        <f t="shared" si="125"/>
        <v>0</v>
      </c>
      <c r="S1331" s="132">
        <v>1</v>
      </c>
      <c r="T1331" s="132">
        <f t="shared" si="122"/>
        <v>0</v>
      </c>
      <c r="V1331" s="126">
        <f t="shared" si="123"/>
        <v>0</v>
      </c>
      <c r="W1331" s="92">
        <f t="shared" si="124"/>
        <v>0</v>
      </c>
      <c r="Y1331" s="210"/>
    </row>
    <row r="1332" spans="1:25" ht="14.4" customHeight="1" thickBot="1" x14ac:dyDescent="0.3">
      <c r="A1332" s="149"/>
      <c r="J1332" s="130">
        <v>1</v>
      </c>
      <c r="K1332" s="132">
        <f t="shared" si="120"/>
        <v>0</v>
      </c>
      <c r="M1332" s="132">
        <v>1</v>
      </c>
      <c r="N1332" s="132">
        <f t="shared" si="121"/>
        <v>0</v>
      </c>
      <c r="P1332" s="132">
        <v>1</v>
      </c>
      <c r="Q1332" s="132">
        <f t="shared" si="125"/>
        <v>0</v>
      </c>
      <c r="S1332" s="132">
        <v>1</v>
      </c>
      <c r="T1332" s="132">
        <f t="shared" si="122"/>
        <v>0</v>
      </c>
      <c r="V1332" s="126">
        <f t="shared" si="123"/>
        <v>0</v>
      </c>
      <c r="W1332" s="92">
        <f t="shared" si="124"/>
        <v>0</v>
      </c>
      <c r="Y1332" s="210"/>
    </row>
    <row r="1333" spans="1:25" ht="14.4" customHeight="1" thickBot="1" x14ac:dyDescent="0.3">
      <c r="A1333" s="149"/>
      <c r="J1333" s="130">
        <v>1</v>
      </c>
      <c r="K1333" s="132">
        <f t="shared" si="120"/>
        <v>0</v>
      </c>
      <c r="M1333" s="132">
        <v>1</v>
      </c>
      <c r="N1333" s="132">
        <f t="shared" si="121"/>
        <v>0</v>
      </c>
      <c r="P1333" s="132">
        <v>1</v>
      </c>
      <c r="Q1333" s="132">
        <f t="shared" si="125"/>
        <v>0</v>
      </c>
      <c r="S1333" s="132">
        <v>1</v>
      </c>
      <c r="T1333" s="132">
        <f t="shared" si="122"/>
        <v>0</v>
      </c>
      <c r="V1333" s="126">
        <f t="shared" si="123"/>
        <v>0</v>
      </c>
      <c r="W1333" s="92">
        <f t="shared" si="124"/>
        <v>0</v>
      </c>
      <c r="Y1333" s="210"/>
    </row>
    <row r="1334" spans="1:25" ht="14.4" customHeight="1" thickBot="1" x14ac:dyDescent="0.3">
      <c r="A1334" s="149"/>
      <c r="J1334" s="130">
        <v>1</v>
      </c>
      <c r="K1334" s="132">
        <f t="shared" si="120"/>
        <v>0</v>
      </c>
      <c r="M1334" s="132">
        <v>1</v>
      </c>
      <c r="N1334" s="132">
        <f t="shared" si="121"/>
        <v>0</v>
      </c>
      <c r="P1334" s="132">
        <v>1</v>
      </c>
      <c r="Q1334" s="132">
        <f t="shared" si="125"/>
        <v>0</v>
      </c>
      <c r="S1334" s="132">
        <v>1</v>
      </c>
      <c r="T1334" s="132">
        <f t="shared" si="122"/>
        <v>0</v>
      </c>
      <c r="V1334" s="126">
        <f t="shared" si="123"/>
        <v>0</v>
      </c>
      <c r="W1334" s="92">
        <f t="shared" si="124"/>
        <v>0</v>
      </c>
      <c r="Y1334" s="210"/>
    </row>
    <row r="1335" spans="1:25" ht="14.4" customHeight="1" thickBot="1" x14ac:dyDescent="0.3">
      <c r="A1335" s="149"/>
      <c r="J1335" s="130">
        <v>1</v>
      </c>
      <c r="K1335" s="132">
        <f t="shared" si="120"/>
        <v>0</v>
      </c>
      <c r="M1335" s="132">
        <v>1</v>
      </c>
      <c r="N1335" s="132">
        <f t="shared" si="121"/>
        <v>0</v>
      </c>
      <c r="P1335" s="132">
        <v>1</v>
      </c>
      <c r="Q1335" s="132">
        <f t="shared" si="125"/>
        <v>0</v>
      </c>
      <c r="S1335" s="132">
        <v>1</v>
      </c>
      <c r="T1335" s="132">
        <f t="shared" si="122"/>
        <v>0</v>
      </c>
      <c r="V1335" s="126">
        <f t="shared" si="123"/>
        <v>0</v>
      </c>
      <c r="W1335" s="92">
        <f t="shared" si="124"/>
        <v>0</v>
      </c>
      <c r="Y1335" s="210"/>
    </row>
    <row r="1336" spans="1:25" ht="14.4" customHeight="1" thickBot="1" x14ac:dyDescent="0.3">
      <c r="A1336" s="149"/>
      <c r="J1336" s="130">
        <v>1</v>
      </c>
      <c r="K1336" s="132">
        <f t="shared" si="120"/>
        <v>0</v>
      </c>
      <c r="M1336" s="132">
        <v>1</v>
      </c>
      <c r="N1336" s="132">
        <f t="shared" si="121"/>
        <v>0</v>
      </c>
      <c r="P1336" s="132">
        <v>1</v>
      </c>
      <c r="Q1336" s="132">
        <f t="shared" si="125"/>
        <v>0</v>
      </c>
      <c r="S1336" s="132">
        <v>1</v>
      </c>
      <c r="T1336" s="132">
        <f t="shared" si="122"/>
        <v>0</v>
      </c>
      <c r="V1336" s="126">
        <f t="shared" si="123"/>
        <v>0</v>
      </c>
      <c r="W1336" s="92">
        <f t="shared" si="124"/>
        <v>0</v>
      </c>
      <c r="Y1336" s="210"/>
    </row>
    <row r="1337" spans="1:25" ht="14.4" customHeight="1" thickBot="1" x14ac:dyDescent="0.3">
      <c r="A1337" s="149"/>
      <c r="J1337" s="130">
        <v>1</v>
      </c>
      <c r="K1337" s="132">
        <f t="shared" si="120"/>
        <v>0</v>
      </c>
      <c r="M1337" s="132">
        <v>1</v>
      </c>
      <c r="N1337" s="132">
        <f t="shared" si="121"/>
        <v>0</v>
      </c>
      <c r="P1337" s="132">
        <v>1</v>
      </c>
      <c r="Q1337" s="132">
        <f t="shared" si="125"/>
        <v>0</v>
      </c>
      <c r="S1337" s="132">
        <v>1</v>
      </c>
      <c r="T1337" s="132">
        <f t="shared" si="122"/>
        <v>0</v>
      </c>
      <c r="V1337" s="126">
        <f t="shared" si="123"/>
        <v>0</v>
      </c>
      <c r="W1337" s="92">
        <f t="shared" si="124"/>
        <v>0</v>
      </c>
      <c r="Y1337" s="210"/>
    </row>
    <row r="1338" spans="1:25" ht="14.4" customHeight="1" thickBot="1" x14ac:dyDescent="0.3">
      <c r="A1338" s="149"/>
      <c r="J1338" s="130">
        <v>1</v>
      </c>
      <c r="K1338" s="132">
        <f t="shared" si="120"/>
        <v>0</v>
      </c>
      <c r="M1338" s="132">
        <v>1</v>
      </c>
      <c r="N1338" s="132">
        <f t="shared" si="121"/>
        <v>0</v>
      </c>
      <c r="P1338" s="132">
        <v>1</v>
      </c>
      <c r="Q1338" s="132">
        <f t="shared" si="125"/>
        <v>0</v>
      </c>
      <c r="S1338" s="132">
        <v>1</v>
      </c>
      <c r="T1338" s="132">
        <f t="shared" si="122"/>
        <v>0</v>
      </c>
      <c r="V1338" s="126">
        <f t="shared" si="123"/>
        <v>0</v>
      </c>
      <c r="W1338" s="92">
        <f t="shared" si="124"/>
        <v>0</v>
      </c>
      <c r="Y1338" s="210"/>
    </row>
    <row r="1339" spans="1:25" ht="14.4" customHeight="1" thickBot="1" x14ac:dyDescent="0.3">
      <c r="A1339" s="149"/>
      <c r="J1339" s="130">
        <v>1</v>
      </c>
      <c r="K1339" s="132">
        <f t="shared" si="120"/>
        <v>0</v>
      </c>
      <c r="M1339" s="132">
        <v>1</v>
      </c>
      <c r="N1339" s="132">
        <f t="shared" si="121"/>
        <v>0</v>
      </c>
      <c r="P1339" s="132">
        <v>1</v>
      </c>
      <c r="Q1339" s="132">
        <f t="shared" si="125"/>
        <v>0</v>
      </c>
      <c r="S1339" s="132">
        <v>1</v>
      </c>
      <c r="T1339" s="132">
        <f t="shared" si="122"/>
        <v>0</v>
      </c>
      <c r="V1339" s="126">
        <f t="shared" si="123"/>
        <v>0</v>
      </c>
      <c r="W1339" s="92">
        <f t="shared" si="124"/>
        <v>0</v>
      </c>
      <c r="Y1339" s="210"/>
    </row>
    <row r="1340" spans="1:25" ht="14.4" customHeight="1" thickBot="1" x14ac:dyDescent="0.3">
      <c r="A1340" s="149"/>
      <c r="J1340" s="130">
        <v>1</v>
      </c>
      <c r="K1340" s="132">
        <f t="shared" si="120"/>
        <v>0</v>
      </c>
      <c r="M1340" s="132">
        <v>1</v>
      </c>
      <c r="N1340" s="132">
        <f t="shared" si="121"/>
        <v>0</v>
      </c>
      <c r="P1340" s="132">
        <v>1</v>
      </c>
      <c r="Q1340" s="132">
        <f t="shared" si="125"/>
        <v>0</v>
      </c>
      <c r="S1340" s="132">
        <v>1</v>
      </c>
      <c r="T1340" s="132">
        <f t="shared" si="122"/>
        <v>0</v>
      </c>
      <c r="V1340" s="126">
        <f t="shared" si="123"/>
        <v>0</v>
      </c>
      <c r="W1340" s="92">
        <f t="shared" si="124"/>
        <v>0</v>
      </c>
      <c r="Y1340" s="210"/>
    </row>
    <row r="1341" spans="1:25" ht="14.4" customHeight="1" thickBot="1" x14ac:dyDescent="0.3">
      <c r="A1341" s="149"/>
      <c r="J1341" s="130">
        <v>1</v>
      </c>
      <c r="K1341" s="132">
        <f t="shared" si="120"/>
        <v>0</v>
      </c>
      <c r="M1341" s="132">
        <v>1</v>
      </c>
      <c r="N1341" s="132">
        <f t="shared" si="121"/>
        <v>0</v>
      </c>
      <c r="P1341" s="132">
        <v>1</v>
      </c>
      <c r="Q1341" s="132">
        <f t="shared" si="125"/>
        <v>0</v>
      </c>
      <c r="S1341" s="132">
        <v>1</v>
      </c>
      <c r="T1341" s="132">
        <f t="shared" si="122"/>
        <v>0</v>
      </c>
      <c r="V1341" s="126">
        <f t="shared" si="123"/>
        <v>0</v>
      </c>
      <c r="W1341" s="92">
        <f t="shared" si="124"/>
        <v>0</v>
      </c>
      <c r="Y1341" s="210"/>
    </row>
    <row r="1342" spans="1:25" ht="14.4" customHeight="1" thickBot="1" x14ac:dyDescent="0.3">
      <c r="A1342" s="149"/>
      <c r="J1342" s="130">
        <v>1</v>
      </c>
      <c r="K1342" s="132">
        <f t="shared" si="120"/>
        <v>0</v>
      </c>
      <c r="M1342" s="132">
        <v>1</v>
      </c>
      <c r="N1342" s="132">
        <f t="shared" si="121"/>
        <v>0</v>
      </c>
      <c r="P1342" s="132">
        <v>1</v>
      </c>
      <c r="Q1342" s="132">
        <f t="shared" si="125"/>
        <v>0</v>
      </c>
      <c r="S1342" s="132">
        <v>1</v>
      </c>
      <c r="T1342" s="132">
        <f t="shared" si="122"/>
        <v>0</v>
      </c>
      <c r="V1342" s="126">
        <f t="shared" si="123"/>
        <v>0</v>
      </c>
      <c r="W1342" s="92">
        <f t="shared" si="124"/>
        <v>0</v>
      </c>
      <c r="Y1342" s="210"/>
    </row>
    <row r="1343" spans="1:25" ht="14.4" customHeight="1" thickBot="1" x14ac:dyDescent="0.3">
      <c r="A1343" s="149"/>
      <c r="J1343" s="130">
        <v>1</v>
      </c>
      <c r="K1343" s="132">
        <f t="shared" si="120"/>
        <v>0</v>
      </c>
      <c r="M1343" s="132">
        <v>1</v>
      </c>
      <c r="N1343" s="132">
        <f t="shared" si="121"/>
        <v>0</v>
      </c>
      <c r="P1343" s="132">
        <v>1</v>
      </c>
      <c r="Q1343" s="132">
        <f t="shared" si="125"/>
        <v>0</v>
      </c>
      <c r="S1343" s="132">
        <v>1</v>
      </c>
      <c r="T1343" s="132">
        <f t="shared" si="122"/>
        <v>0</v>
      </c>
      <c r="V1343" s="126">
        <f t="shared" si="123"/>
        <v>0</v>
      </c>
      <c r="W1343" s="92">
        <f t="shared" si="124"/>
        <v>0</v>
      </c>
      <c r="Y1343" s="210"/>
    </row>
    <row r="1344" spans="1:25" ht="14.4" customHeight="1" thickBot="1" x14ac:dyDescent="0.3">
      <c r="A1344" s="149"/>
      <c r="J1344" s="130">
        <v>1</v>
      </c>
      <c r="K1344" s="132">
        <f t="shared" si="120"/>
        <v>0</v>
      </c>
      <c r="M1344" s="132">
        <v>1</v>
      </c>
      <c r="N1344" s="132">
        <f t="shared" si="121"/>
        <v>0</v>
      </c>
      <c r="P1344" s="132">
        <v>1</v>
      </c>
      <c r="Q1344" s="132">
        <f t="shared" si="125"/>
        <v>0</v>
      </c>
      <c r="S1344" s="132">
        <v>1</v>
      </c>
      <c r="T1344" s="132">
        <f t="shared" si="122"/>
        <v>0</v>
      </c>
      <c r="V1344" s="126">
        <f t="shared" si="123"/>
        <v>0</v>
      </c>
      <c r="W1344" s="92">
        <f t="shared" si="124"/>
        <v>0</v>
      </c>
      <c r="Y1344" s="210"/>
    </row>
    <row r="1345" spans="1:25" ht="14.4" customHeight="1" thickBot="1" x14ac:dyDescent="0.3">
      <c r="A1345" s="149"/>
      <c r="J1345" s="130">
        <v>1</v>
      </c>
      <c r="K1345" s="132">
        <f t="shared" si="120"/>
        <v>0</v>
      </c>
      <c r="M1345" s="132">
        <v>1</v>
      </c>
      <c r="N1345" s="132">
        <f t="shared" si="121"/>
        <v>0</v>
      </c>
      <c r="P1345" s="132">
        <v>1</v>
      </c>
      <c r="Q1345" s="132">
        <f t="shared" si="125"/>
        <v>0</v>
      </c>
      <c r="S1345" s="132">
        <v>1</v>
      </c>
      <c r="T1345" s="132">
        <f t="shared" si="122"/>
        <v>0</v>
      </c>
      <c r="V1345" s="126">
        <f t="shared" si="123"/>
        <v>0</v>
      </c>
      <c r="W1345" s="92">
        <f t="shared" si="124"/>
        <v>0</v>
      </c>
      <c r="Y1345" s="210"/>
    </row>
    <row r="1346" spans="1:25" ht="14.4" customHeight="1" thickBot="1" x14ac:dyDescent="0.3">
      <c r="A1346" s="149"/>
      <c r="J1346" s="130">
        <v>1</v>
      </c>
      <c r="K1346" s="132">
        <f t="shared" ref="K1346:K1409" si="126">I1346/J1346</f>
        <v>0</v>
      </c>
      <c r="M1346" s="132">
        <v>1</v>
      </c>
      <c r="N1346" s="132">
        <f t="shared" ref="N1346:N1409" si="127">L1346/M1346</f>
        <v>0</v>
      </c>
      <c r="P1346" s="132">
        <v>1</v>
      </c>
      <c r="Q1346" s="132">
        <f t="shared" si="125"/>
        <v>0</v>
      </c>
      <c r="S1346" s="132">
        <v>1</v>
      </c>
      <c r="T1346" s="132">
        <f t="shared" ref="T1346:T1409" si="128">R1346/S1346</f>
        <v>0</v>
      </c>
      <c r="V1346" s="126">
        <f t="shared" ref="V1346:V1409" si="129">D1346+E1346-G1346-I1346/J1346-L1346/M1346-O1346/P1346-R1346/S1346</f>
        <v>0</v>
      </c>
      <c r="W1346" s="92">
        <f t="shared" ref="W1346:W1409" si="130">G1346+I1346/J1346+L1346/M1346+O1346/P1346+R1346/S1346</f>
        <v>0</v>
      </c>
      <c r="Y1346" s="210"/>
    </row>
    <row r="1347" spans="1:25" ht="14.4" customHeight="1" thickBot="1" x14ac:dyDescent="0.3">
      <c r="A1347" s="149"/>
      <c r="J1347" s="130">
        <v>1</v>
      </c>
      <c r="K1347" s="132">
        <f t="shared" si="126"/>
        <v>0</v>
      </c>
      <c r="M1347" s="132">
        <v>1</v>
      </c>
      <c r="N1347" s="132">
        <f t="shared" si="127"/>
        <v>0</v>
      </c>
      <c r="P1347" s="132">
        <v>1</v>
      </c>
      <c r="Q1347" s="132">
        <f t="shared" ref="Q1347:Q1410" si="131">O1347/P1347</f>
        <v>0</v>
      </c>
      <c r="S1347" s="132">
        <v>1</v>
      </c>
      <c r="T1347" s="132">
        <f t="shared" si="128"/>
        <v>0</v>
      </c>
      <c r="V1347" s="126">
        <f t="shared" si="129"/>
        <v>0</v>
      </c>
      <c r="W1347" s="92">
        <f t="shared" si="130"/>
        <v>0</v>
      </c>
      <c r="Y1347" s="210"/>
    </row>
    <row r="1348" spans="1:25" ht="14.4" customHeight="1" thickBot="1" x14ac:dyDescent="0.3">
      <c r="A1348" s="149"/>
      <c r="J1348" s="130">
        <v>1</v>
      </c>
      <c r="K1348" s="132">
        <f t="shared" si="126"/>
        <v>0</v>
      </c>
      <c r="M1348" s="132">
        <v>1</v>
      </c>
      <c r="N1348" s="132">
        <f t="shared" si="127"/>
        <v>0</v>
      </c>
      <c r="P1348" s="132">
        <v>1</v>
      </c>
      <c r="Q1348" s="132">
        <f t="shared" si="131"/>
        <v>0</v>
      </c>
      <c r="S1348" s="132">
        <v>1</v>
      </c>
      <c r="T1348" s="132">
        <f t="shared" si="128"/>
        <v>0</v>
      </c>
      <c r="V1348" s="126">
        <f t="shared" si="129"/>
        <v>0</v>
      </c>
      <c r="W1348" s="92">
        <f t="shared" si="130"/>
        <v>0</v>
      </c>
      <c r="Y1348" s="210"/>
    </row>
    <row r="1349" spans="1:25" ht="14.4" customHeight="1" thickBot="1" x14ac:dyDescent="0.3">
      <c r="A1349" s="149"/>
      <c r="J1349" s="130">
        <v>1</v>
      </c>
      <c r="K1349" s="132">
        <f t="shared" si="126"/>
        <v>0</v>
      </c>
      <c r="M1349" s="132">
        <v>1</v>
      </c>
      <c r="N1349" s="132">
        <f t="shared" si="127"/>
        <v>0</v>
      </c>
      <c r="P1349" s="132">
        <v>1</v>
      </c>
      <c r="Q1349" s="132">
        <f t="shared" si="131"/>
        <v>0</v>
      </c>
      <c r="S1349" s="132">
        <v>1</v>
      </c>
      <c r="T1349" s="132">
        <f t="shared" si="128"/>
        <v>0</v>
      </c>
      <c r="V1349" s="126">
        <f t="shared" si="129"/>
        <v>0</v>
      </c>
      <c r="W1349" s="92">
        <f t="shared" si="130"/>
        <v>0</v>
      </c>
      <c r="Y1349" s="210"/>
    </row>
    <row r="1350" spans="1:25" ht="14.4" customHeight="1" thickBot="1" x14ac:dyDescent="0.3">
      <c r="A1350" s="149"/>
      <c r="J1350" s="130">
        <v>1</v>
      </c>
      <c r="K1350" s="132">
        <f t="shared" si="126"/>
        <v>0</v>
      </c>
      <c r="M1350" s="132">
        <v>1</v>
      </c>
      <c r="N1350" s="132">
        <f t="shared" si="127"/>
        <v>0</v>
      </c>
      <c r="P1350" s="132">
        <v>1</v>
      </c>
      <c r="Q1350" s="132">
        <f t="shared" si="131"/>
        <v>0</v>
      </c>
      <c r="S1350" s="132">
        <v>1</v>
      </c>
      <c r="T1350" s="132">
        <f t="shared" si="128"/>
        <v>0</v>
      </c>
      <c r="V1350" s="126">
        <f t="shared" si="129"/>
        <v>0</v>
      </c>
      <c r="W1350" s="92">
        <f t="shared" si="130"/>
        <v>0</v>
      </c>
      <c r="Y1350" s="210"/>
    </row>
    <row r="1351" spans="1:25" ht="14.4" customHeight="1" thickBot="1" x14ac:dyDescent="0.3">
      <c r="A1351" s="149"/>
      <c r="J1351" s="130">
        <v>1</v>
      </c>
      <c r="K1351" s="132">
        <f t="shared" si="126"/>
        <v>0</v>
      </c>
      <c r="M1351" s="132">
        <v>1</v>
      </c>
      <c r="N1351" s="132">
        <f t="shared" si="127"/>
        <v>0</v>
      </c>
      <c r="P1351" s="132">
        <v>1</v>
      </c>
      <c r="Q1351" s="132">
        <f t="shared" si="131"/>
        <v>0</v>
      </c>
      <c r="S1351" s="132">
        <v>1</v>
      </c>
      <c r="T1351" s="132">
        <f t="shared" si="128"/>
        <v>0</v>
      </c>
      <c r="V1351" s="126">
        <f t="shared" si="129"/>
        <v>0</v>
      </c>
      <c r="W1351" s="92">
        <f t="shared" si="130"/>
        <v>0</v>
      </c>
      <c r="Y1351" s="210"/>
    </row>
    <row r="1352" spans="1:25" ht="14.4" customHeight="1" thickBot="1" x14ac:dyDescent="0.3">
      <c r="A1352" s="149"/>
      <c r="J1352" s="130">
        <v>1</v>
      </c>
      <c r="K1352" s="132">
        <f t="shared" si="126"/>
        <v>0</v>
      </c>
      <c r="M1352" s="132">
        <v>1</v>
      </c>
      <c r="N1352" s="132">
        <f t="shared" si="127"/>
        <v>0</v>
      </c>
      <c r="P1352" s="132">
        <v>1</v>
      </c>
      <c r="Q1352" s="132">
        <f t="shared" si="131"/>
        <v>0</v>
      </c>
      <c r="S1352" s="132">
        <v>1</v>
      </c>
      <c r="T1352" s="132">
        <f t="shared" si="128"/>
        <v>0</v>
      </c>
      <c r="V1352" s="126">
        <f t="shared" si="129"/>
        <v>0</v>
      </c>
      <c r="W1352" s="92">
        <f t="shared" si="130"/>
        <v>0</v>
      </c>
      <c r="Y1352" s="210"/>
    </row>
    <row r="1353" spans="1:25" ht="14.4" customHeight="1" thickBot="1" x14ac:dyDescent="0.3">
      <c r="A1353" s="149"/>
      <c r="J1353" s="130">
        <v>1</v>
      </c>
      <c r="K1353" s="132">
        <f t="shared" si="126"/>
        <v>0</v>
      </c>
      <c r="M1353" s="132">
        <v>1</v>
      </c>
      <c r="N1353" s="132">
        <f t="shared" si="127"/>
        <v>0</v>
      </c>
      <c r="P1353" s="132">
        <v>1</v>
      </c>
      <c r="Q1353" s="132">
        <f t="shared" si="131"/>
        <v>0</v>
      </c>
      <c r="S1353" s="132">
        <v>1</v>
      </c>
      <c r="T1353" s="132">
        <f t="shared" si="128"/>
        <v>0</v>
      </c>
      <c r="V1353" s="126">
        <f t="shared" si="129"/>
        <v>0</v>
      </c>
      <c r="W1353" s="92">
        <f t="shared" si="130"/>
        <v>0</v>
      </c>
      <c r="Y1353" s="210"/>
    </row>
    <row r="1354" spans="1:25" ht="14.4" customHeight="1" thickBot="1" x14ac:dyDescent="0.3">
      <c r="A1354" s="149"/>
      <c r="J1354" s="130">
        <v>1</v>
      </c>
      <c r="K1354" s="132">
        <f t="shared" si="126"/>
        <v>0</v>
      </c>
      <c r="M1354" s="132">
        <v>1</v>
      </c>
      <c r="N1354" s="132">
        <f t="shared" si="127"/>
        <v>0</v>
      </c>
      <c r="P1354" s="132">
        <v>1</v>
      </c>
      <c r="Q1354" s="132">
        <f t="shared" si="131"/>
        <v>0</v>
      </c>
      <c r="S1354" s="132">
        <v>1</v>
      </c>
      <c r="T1354" s="132">
        <f t="shared" si="128"/>
        <v>0</v>
      </c>
      <c r="V1354" s="126">
        <f t="shared" si="129"/>
        <v>0</v>
      </c>
      <c r="W1354" s="92">
        <f t="shared" si="130"/>
        <v>0</v>
      </c>
      <c r="Y1354" s="210"/>
    </row>
    <row r="1355" spans="1:25" ht="14.4" customHeight="1" thickBot="1" x14ac:dyDescent="0.3">
      <c r="A1355" s="149"/>
      <c r="J1355" s="130">
        <v>1</v>
      </c>
      <c r="K1355" s="132">
        <f t="shared" si="126"/>
        <v>0</v>
      </c>
      <c r="M1355" s="132">
        <v>1</v>
      </c>
      <c r="N1355" s="132">
        <f t="shared" si="127"/>
        <v>0</v>
      </c>
      <c r="P1355" s="132">
        <v>1</v>
      </c>
      <c r="Q1355" s="132">
        <f t="shared" si="131"/>
        <v>0</v>
      </c>
      <c r="S1355" s="132">
        <v>1</v>
      </c>
      <c r="T1355" s="132">
        <f t="shared" si="128"/>
        <v>0</v>
      </c>
      <c r="V1355" s="126">
        <f t="shared" si="129"/>
        <v>0</v>
      </c>
      <c r="W1355" s="92">
        <f t="shared" si="130"/>
        <v>0</v>
      </c>
      <c r="Y1355" s="210"/>
    </row>
    <row r="1356" spans="1:25" ht="14.4" customHeight="1" thickBot="1" x14ac:dyDescent="0.3">
      <c r="A1356" s="149"/>
      <c r="J1356" s="130">
        <v>1</v>
      </c>
      <c r="K1356" s="132">
        <f t="shared" si="126"/>
        <v>0</v>
      </c>
      <c r="M1356" s="132">
        <v>1</v>
      </c>
      <c r="N1356" s="132">
        <f t="shared" si="127"/>
        <v>0</v>
      </c>
      <c r="P1356" s="132">
        <v>1</v>
      </c>
      <c r="Q1356" s="132">
        <f t="shared" si="131"/>
        <v>0</v>
      </c>
      <c r="S1356" s="132">
        <v>1</v>
      </c>
      <c r="T1356" s="132">
        <f t="shared" si="128"/>
        <v>0</v>
      </c>
      <c r="V1356" s="126">
        <f t="shared" si="129"/>
        <v>0</v>
      </c>
      <c r="W1356" s="92">
        <f t="shared" si="130"/>
        <v>0</v>
      </c>
      <c r="Y1356" s="210"/>
    </row>
    <row r="1357" spans="1:25" ht="14.4" customHeight="1" thickBot="1" x14ac:dyDescent="0.3">
      <c r="A1357" s="149"/>
      <c r="J1357" s="130">
        <v>1</v>
      </c>
      <c r="K1357" s="132">
        <f t="shared" si="126"/>
        <v>0</v>
      </c>
      <c r="M1357" s="132">
        <v>1</v>
      </c>
      <c r="N1357" s="132">
        <f t="shared" si="127"/>
        <v>0</v>
      </c>
      <c r="P1357" s="132">
        <v>1</v>
      </c>
      <c r="Q1357" s="132">
        <f t="shared" si="131"/>
        <v>0</v>
      </c>
      <c r="S1357" s="132">
        <v>1</v>
      </c>
      <c r="T1357" s="132">
        <f t="shared" si="128"/>
        <v>0</v>
      </c>
      <c r="V1357" s="126">
        <f t="shared" si="129"/>
        <v>0</v>
      </c>
      <c r="W1357" s="92">
        <f t="shared" si="130"/>
        <v>0</v>
      </c>
      <c r="Y1357" s="210"/>
    </row>
    <row r="1358" spans="1:25" ht="14.4" customHeight="1" thickBot="1" x14ac:dyDescent="0.3">
      <c r="A1358" s="149"/>
      <c r="J1358" s="130">
        <v>1</v>
      </c>
      <c r="K1358" s="132">
        <f t="shared" si="126"/>
        <v>0</v>
      </c>
      <c r="M1358" s="132">
        <v>1</v>
      </c>
      <c r="N1358" s="132">
        <f t="shared" si="127"/>
        <v>0</v>
      </c>
      <c r="P1358" s="132">
        <v>1</v>
      </c>
      <c r="Q1358" s="132">
        <f t="shared" si="131"/>
        <v>0</v>
      </c>
      <c r="S1358" s="132">
        <v>1</v>
      </c>
      <c r="T1358" s="132">
        <f t="shared" si="128"/>
        <v>0</v>
      </c>
      <c r="V1358" s="126">
        <f t="shared" si="129"/>
        <v>0</v>
      </c>
      <c r="W1358" s="92">
        <f t="shared" si="130"/>
        <v>0</v>
      </c>
      <c r="Y1358" s="210"/>
    </row>
    <row r="1359" spans="1:25" ht="14.4" customHeight="1" thickBot="1" x14ac:dyDescent="0.3">
      <c r="A1359" s="149"/>
      <c r="J1359" s="130">
        <v>1</v>
      </c>
      <c r="K1359" s="132">
        <f t="shared" si="126"/>
        <v>0</v>
      </c>
      <c r="M1359" s="132">
        <v>1</v>
      </c>
      <c r="N1359" s="132">
        <f t="shared" si="127"/>
        <v>0</v>
      </c>
      <c r="P1359" s="132">
        <v>1</v>
      </c>
      <c r="Q1359" s="132">
        <f t="shared" si="131"/>
        <v>0</v>
      </c>
      <c r="S1359" s="132">
        <v>1</v>
      </c>
      <c r="T1359" s="132">
        <f t="shared" si="128"/>
        <v>0</v>
      </c>
      <c r="V1359" s="126">
        <f t="shared" si="129"/>
        <v>0</v>
      </c>
      <c r="W1359" s="92">
        <f t="shared" si="130"/>
        <v>0</v>
      </c>
      <c r="Y1359" s="210"/>
    </row>
    <row r="1360" spans="1:25" ht="14.4" customHeight="1" thickBot="1" x14ac:dyDescent="0.3">
      <c r="A1360" s="149"/>
      <c r="J1360" s="130">
        <v>1</v>
      </c>
      <c r="K1360" s="132">
        <f t="shared" si="126"/>
        <v>0</v>
      </c>
      <c r="M1360" s="132">
        <v>1</v>
      </c>
      <c r="N1360" s="132">
        <f t="shared" si="127"/>
        <v>0</v>
      </c>
      <c r="P1360" s="132">
        <v>1</v>
      </c>
      <c r="Q1360" s="132">
        <f t="shared" si="131"/>
        <v>0</v>
      </c>
      <c r="S1360" s="132">
        <v>1</v>
      </c>
      <c r="T1360" s="132">
        <f t="shared" si="128"/>
        <v>0</v>
      </c>
      <c r="V1360" s="126">
        <f t="shared" si="129"/>
        <v>0</v>
      </c>
      <c r="W1360" s="92">
        <f t="shared" si="130"/>
        <v>0</v>
      </c>
      <c r="Y1360" s="210"/>
    </row>
    <row r="1361" spans="1:25" ht="14.4" customHeight="1" thickBot="1" x14ac:dyDescent="0.3">
      <c r="A1361" s="149"/>
      <c r="J1361" s="130">
        <v>1</v>
      </c>
      <c r="K1361" s="132">
        <f t="shared" si="126"/>
        <v>0</v>
      </c>
      <c r="M1361" s="132">
        <v>1</v>
      </c>
      <c r="N1361" s="132">
        <f t="shared" si="127"/>
        <v>0</v>
      </c>
      <c r="P1361" s="132">
        <v>1</v>
      </c>
      <c r="Q1361" s="132">
        <f t="shared" si="131"/>
        <v>0</v>
      </c>
      <c r="S1361" s="132">
        <v>1</v>
      </c>
      <c r="T1361" s="132">
        <f t="shared" si="128"/>
        <v>0</v>
      </c>
      <c r="V1361" s="126">
        <f t="shared" si="129"/>
        <v>0</v>
      </c>
      <c r="W1361" s="92">
        <f t="shared" si="130"/>
        <v>0</v>
      </c>
      <c r="Y1361" s="210"/>
    </row>
    <row r="1362" spans="1:25" ht="14.4" customHeight="1" thickBot="1" x14ac:dyDescent="0.3">
      <c r="A1362" s="149"/>
      <c r="J1362" s="130">
        <v>1</v>
      </c>
      <c r="K1362" s="132">
        <f t="shared" si="126"/>
        <v>0</v>
      </c>
      <c r="M1362" s="132">
        <v>1</v>
      </c>
      <c r="N1362" s="132">
        <f t="shared" si="127"/>
        <v>0</v>
      </c>
      <c r="P1362" s="132">
        <v>1</v>
      </c>
      <c r="Q1362" s="132">
        <f t="shared" si="131"/>
        <v>0</v>
      </c>
      <c r="S1362" s="132">
        <v>1</v>
      </c>
      <c r="T1362" s="132">
        <f t="shared" si="128"/>
        <v>0</v>
      </c>
      <c r="V1362" s="126">
        <f t="shared" si="129"/>
        <v>0</v>
      </c>
      <c r="W1362" s="92">
        <f t="shared" si="130"/>
        <v>0</v>
      </c>
      <c r="Y1362" s="210"/>
    </row>
    <row r="1363" spans="1:25" ht="14.4" customHeight="1" thickBot="1" x14ac:dyDescent="0.3">
      <c r="A1363" s="149"/>
      <c r="J1363" s="130">
        <v>1</v>
      </c>
      <c r="K1363" s="132">
        <f t="shared" si="126"/>
        <v>0</v>
      </c>
      <c r="M1363" s="132">
        <v>1</v>
      </c>
      <c r="N1363" s="132">
        <f t="shared" si="127"/>
        <v>0</v>
      </c>
      <c r="P1363" s="132">
        <v>1</v>
      </c>
      <c r="Q1363" s="132">
        <f t="shared" si="131"/>
        <v>0</v>
      </c>
      <c r="S1363" s="132">
        <v>1</v>
      </c>
      <c r="T1363" s="132">
        <f t="shared" si="128"/>
        <v>0</v>
      </c>
      <c r="V1363" s="126">
        <f t="shared" si="129"/>
        <v>0</v>
      </c>
      <c r="W1363" s="92">
        <f t="shared" si="130"/>
        <v>0</v>
      </c>
      <c r="Y1363" s="210"/>
    </row>
    <row r="1364" spans="1:25" ht="14.4" customHeight="1" thickBot="1" x14ac:dyDescent="0.3">
      <c r="A1364" s="149"/>
      <c r="J1364" s="130">
        <v>1</v>
      </c>
      <c r="K1364" s="132">
        <f t="shared" si="126"/>
        <v>0</v>
      </c>
      <c r="M1364" s="132">
        <v>1</v>
      </c>
      <c r="N1364" s="132">
        <f t="shared" si="127"/>
        <v>0</v>
      </c>
      <c r="P1364" s="132">
        <v>1</v>
      </c>
      <c r="Q1364" s="132">
        <f t="shared" si="131"/>
        <v>0</v>
      </c>
      <c r="S1364" s="132">
        <v>1</v>
      </c>
      <c r="T1364" s="132">
        <f t="shared" si="128"/>
        <v>0</v>
      </c>
      <c r="V1364" s="126">
        <f t="shared" si="129"/>
        <v>0</v>
      </c>
      <c r="W1364" s="92">
        <f t="shared" si="130"/>
        <v>0</v>
      </c>
      <c r="Y1364" s="210"/>
    </row>
    <row r="1365" spans="1:25" ht="14.4" customHeight="1" thickBot="1" x14ac:dyDescent="0.3">
      <c r="A1365" s="149"/>
      <c r="J1365" s="130">
        <v>1</v>
      </c>
      <c r="K1365" s="132">
        <f t="shared" si="126"/>
        <v>0</v>
      </c>
      <c r="M1365" s="132">
        <v>1</v>
      </c>
      <c r="N1365" s="132">
        <f t="shared" si="127"/>
        <v>0</v>
      </c>
      <c r="P1365" s="132">
        <v>1</v>
      </c>
      <c r="Q1365" s="132">
        <f t="shared" si="131"/>
        <v>0</v>
      </c>
      <c r="S1365" s="132">
        <v>1</v>
      </c>
      <c r="T1365" s="132">
        <f t="shared" si="128"/>
        <v>0</v>
      </c>
      <c r="V1365" s="126">
        <f t="shared" si="129"/>
        <v>0</v>
      </c>
      <c r="W1365" s="92">
        <f t="shared" si="130"/>
        <v>0</v>
      </c>
      <c r="Y1365" s="210"/>
    </row>
    <row r="1366" spans="1:25" ht="14.4" customHeight="1" thickBot="1" x14ac:dyDescent="0.3">
      <c r="A1366" s="149"/>
      <c r="J1366" s="130">
        <v>1</v>
      </c>
      <c r="K1366" s="132">
        <f t="shared" si="126"/>
        <v>0</v>
      </c>
      <c r="M1366" s="132">
        <v>1</v>
      </c>
      <c r="N1366" s="132">
        <f t="shared" si="127"/>
        <v>0</v>
      </c>
      <c r="P1366" s="132">
        <v>1</v>
      </c>
      <c r="Q1366" s="132">
        <f t="shared" si="131"/>
        <v>0</v>
      </c>
      <c r="S1366" s="132">
        <v>1</v>
      </c>
      <c r="T1366" s="132">
        <f t="shared" si="128"/>
        <v>0</v>
      </c>
      <c r="V1366" s="126">
        <f t="shared" si="129"/>
        <v>0</v>
      </c>
      <c r="W1366" s="92">
        <f t="shared" si="130"/>
        <v>0</v>
      </c>
      <c r="Y1366" s="210"/>
    </row>
    <row r="1367" spans="1:25" ht="14.4" customHeight="1" thickBot="1" x14ac:dyDescent="0.3">
      <c r="A1367" s="149"/>
      <c r="J1367" s="130">
        <v>1</v>
      </c>
      <c r="K1367" s="132">
        <f t="shared" si="126"/>
        <v>0</v>
      </c>
      <c r="M1367" s="132">
        <v>1</v>
      </c>
      <c r="N1367" s="132">
        <f t="shared" si="127"/>
        <v>0</v>
      </c>
      <c r="P1367" s="132">
        <v>1</v>
      </c>
      <c r="Q1367" s="132">
        <f t="shared" si="131"/>
        <v>0</v>
      </c>
      <c r="S1367" s="132">
        <v>1</v>
      </c>
      <c r="T1367" s="132">
        <f t="shared" si="128"/>
        <v>0</v>
      </c>
      <c r="V1367" s="126">
        <f t="shared" si="129"/>
        <v>0</v>
      </c>
      <c r="W1367" s="92">
        <f t="shared" si="130"/>
        <v>0</v>
      </c>
      <c r="Y1367" s="210"/>
    </row>
    <row r="1368" spans="1:25" ht="14.4" customHeight="1" thickBot="1" x14ac:dyDescent="0.3">
      <c r="A1368" s="149"/>
      <c r="J1368" s="130">
        <v>1</v>
      </c>
      <c r="K1368" s="132">
        <f t="shared" si="126"/>
        <v>0</v>
      </c>
      <c r="M1368" s="132">
        <v>1</v>
      </c>
      <c r="N1368" s="132">
        <f t="shared" si="127"/>
        <v>0</v>
      </c>
      <c r="P1368" s="132">
        <v>1</v>
      </c>
      <c r="Q1368" s="132">
        <f t="shared" si="131"/>
        <v>0</v>
      </c>
      <c r="S1368" s="132">
        <v>1</v>
      </c>
      <c r="T1368" s="132">
        <f t="shared" si="128"/>
        <v>0</v>
      </c>
      <c r="V1368" s="126">
        <f t="shared" si="129"/>
        <v>0</v>
      </c>
      <c r="W1368" s="92">
        <f t="shared" si="130"/>
        <v>0</v>
      </c>
      <c r="Y1368" s="210"/>
    </row>
    <row r="1369" spans="1:25" ht="14.4" customHeight="1" thickBot="1" x14ac:dyDescent="0.3">
      <c r="A1369" s="149"/>
      <c r="J1369" s="130">
        <v>1</v>
      </c>
      <c r="K1369" s="132">
        <f t="shared" si="126"/>
        <v>0</v>
      </c>
      <c r="M1369" s="132">
        <v>1</v>
      </c>
      <c r="N1369" s="132">
        <f t="shared" si="127"/>
        <v>0</v>
      </c>
      <c r="P1369" s="132">
        <v>1</v>
      </c>
      <c r="Q1369" s="132">
        <f t="shared" si="131"/>
        <v>0</v>
      </c>
      <c r="S1369" s="132">
        <v>1</v>
      </c>
      <c r="T1369" s="132">
        <f t="shared" si="128"/>
        <v>0</v>
      </c>
      <c r="V1369" s="126">
        <f t="shared" si="129"/>
        <v>0</v>
      </c>
      <c r="W1369" s="92">
        <f t="shared" si="130"/>
        <v>0</v>
      </c>
      <c r="Y1369" s="210"/>
    </row>
    <row r="1370" spans="1:25" ht="14.4" customHeight="1" thickBot="1" x14ac:dyDescent="0.3">
      <c r="A1370" s="149"/>
      <c r="J1370" s="130">
        <v>1</v>
      </c>
      <c r="K1370" s="132">
        <f t="shared" si="126"/>
        <v>0</v>
      </c>
      <c r="M1370" s="132">
        <v>1</v>
      </c>
      <c r="N1370" s="132">
        <f t="shared" si="127"/>
        <v>0</v>
      </c>
      <c r="P1370" s="132">
        <v>1</v>
      </c>
      <c r="Q1370" s="132">
        <f t="shared" si="131"/>
        <v>0</v>
      </c>
      <c r="S1370" s="132">
        <v>1</v>
      </c>
      <c r="T1370" s="132">
        <f t="shared" si="128"/>
        <v>0</v>
      </c>
      <c r="V1370" s="126">
        <f t="shared" si="129"/>
        <v>0</v>
      </c>
      <c r="W1370" s="92">
        <f t="shared" si="130"/>
        <v>0</v>
      </c>
      <c r="Y1370" s="210"/>
    </row>
    <row r="1371" spans="1:25" ht="14.4" customHeight="1" thickBot="1" x14ac:dyDescent="0.3">
      <c r="A1371" s="149"/>
      <c r="J1371" s="130">
        <v>1</v>
      </c>
      <c r="K1371" s="132">
        <f t="shared" si="126"/>
        <v>0</v>
      </c>
      <c r="M1371" s="132">
        <v>1</v>
      </c>
      <c r="N1371" s="132">
        <f t="shared" si="127"/>
        <v>0</v>
      </c>
      <c r="P1371" s="132">
        <v>1</v>
      </c>
      <c r="Q1371" s="132">
        <f t="shared" si="131"/>
        <v>0</v>
      </c>
      <c r="S1371" s="132">
        <v>1</v>
      </c>
      <c r="T1371" s="132">
        <f t="shared" si="128"/>
        <v>0</v>
      </c>
      <c r="V1371" s="126">
        <f t="shared" si="129"/>
        <v>0</v>
      </c>
      <c r="W1371" s="92">
        <f t="shared" si="130"/>
        <v>0</v>
      </c>
      <c r="Y1371" s="210"/>
    </row>
    <row r="1372" spans="1:25" ht="14.4" customHeight="1" thickBot="1" x14ac:dyDescent="0.3">
      <c r="A1372" s="149"/>
      <c r="J1372" s="130">
        <v>1</v>
      </c>
      <c r="K1372" s="132">
        <f t="shared" si="126"/>
        <v>0</v>
      </c>
      <c r="M1372" s="132">
        <v>1</v>
      </c>
      <c r="N1372" s="132">
        <f t="shared" si="127"/>
        <v>0</v>
      </c>
      <c r="P1372" s="132">
        <v>1</v>
      </c>
      <c r="Q1372" s="132">
        <f t="shared" si="131"/>
        <v>0</v>
      </c>
      <c r="S1372" s="132">
        <v>1</v>
      </c>
      <c r="T1372" s="132">
        <f t="shared" si="128"/>
        <v>0</v>
      </c>
      <c r="V1372" s="126">
        <f t="shared" si="129"/>
        <v>0</v>
      </c>
      <c r="W1372" s="92">
        <f t="shared" si="130"/>
        <v>0</v>
      </c>
      <c r="Y1372" s="210"/>
    </row>
    <row r="1373" spans="1:25" ht="14.4" customHeight="1" thickBot="1" x14ac:dyDescent="0.3">
      <c r="A1373" s="149"/>
      <c r="J1373" s="130">
        <v>1</v>
      </c>
      <c r="K1373" s="132">
        <f t="shared" si="126"/>
        <v>0</v>
      </c>
      <c r="M1373" s="132">
        <v>1</v>
      </c>
      <c r="N1373" s="132">
        <f t="shared" si="127"/>
        <v>0</v>
      </c>
      <c r="P1373" s="132">
        <v>1</v>
      </c>
      <c r="Q1373" s="132">
        <f t="shared" si="131"/>
        <v>0</v>
      </c>
      <c r="S1373" s="132">
        <v>1</v>
      </c>
      <c r="T1373" s="132">
        <f t="shared" si="128"/>
        <v>0</v>
      </c>
      <c r="V1373" s="126">
        <f t="shared" si="129"/>
        <v>0</v>
      </c>
      <c r="W1373" s="92">
        <f t="shared" si="130"/>
        <v>0</v>
      </c>
      <c r="Y1373" s="210"/>
    </row>
    <row r="1374" spans="1:25" ht="14.4" customHeight="1" thickBot="1" x14ac:dyDescent="0.3">
      <c r="A1374" s="149"/>
      <c r="J1374" s="130">
        <v>1</v>
      </c>
      <c r="K1374" s="132">
        <f t="shared" si="126"/>
        <v>0</v>
      </c>
      <c r="M1374" s="132">
        <v>1</v>
      </c>
      <c r="N1374" s="132">
        <f t="shared" si="127"/>
        <v>0</v>
      </c>
      <c r="P1374" s="132">
        <v>1</v>
      </c>
      <c r="Q1374" s="132">
        <f t="shared" si="131"/>
        <v>0</v>
      </c>
      <c r="S1374" s="132">
        <v>1</v>
      </c>
      <c r="T1374" s="132">
        <f t="shared" si="128"/>
        <v>0</v>
      </c>
      <c r="V1374" s="126">
        <f t="shared" si="129"/>
        <v>0</v>
      </c>
      <c r="W1374" s="92">
        <f t="shared" si="130"/>
        <v>0</v>
      </c>
      <c r="Y1374" s="210"/>
    </row>
    <row r="1375" spans="1:25" ht="14.4" customHeight="1" thickBot="1" x14ac:dyDescent="0.3">
      <c r="A1375" s="149"/>
      <c r="J1375" s="130">
        <v>1</v>
      </c>
      <c r="K1375" s="132">
        <f t="shared" si="126"/>
        <v>0</v>
      </c>
      <c r="M1375" s="132">
        <v>1</v>
      </c>
      <c r="N1375" s="132">
        <f t="shared" si="127"/>
        <v>0</v>
      </c>
      <c r="P1375" s="132">
        <v>1</v>
      </c>
      <c r="Q1375" s="132">
        <f t="shared" si="131"/>
        <v>0</v>
      </c>
      <c r="S1375" s="132">
        <v>1</v>
      </c>
      <c r="T1375" s="132">
        <f t="shared" si="128"/>
        <v>0</v>
      </c>
      <c r="V1375" s="126">
        <f t="shared" si="129"/>
        <v>0</v>
      </c>
      <c r="W1375" s="92">
        <f t="shared" si="130"/>
        <v>0</v>
      </c>
      <c r="Y1375" s="210"/>
    </row>
    <row r="1376" spans="1:25" ht="14.4" customHeight="1" thickBot="1" x14ac:dyDescent="0.3">
      <c r="A1376" s="149"/>
      <c r="J1376" s="130">
        <v>1</v>
      </c>
      <c r="K1376" s="132">
        <f t="shared" si="126"/>
        <v>0</v>
      </c>
      <c r="M1376" s="132">
        <v>1</v>
      </c>
      <c r="N1376" s="132">
        <f t="shared" si="127"/>
        <v>0</v>
      </c>
      <c r="P1376" s="132">
        <v>1</v>
      </c>
      <c r="Q1376" s="132">
        <f t="shared" si="131"/>
        <v>0</v>
      </c>
      <c r="S1376" s="132">
        <v>1</v>
      </c>
      <c r="T1376" s="132">
        <f t="shared" si="128"/>
        <v>0</v>
      </c>
      <c r="V1376" s="126">
        <f t="shared" si="129"/>
        <v>0</v>
      </c>
      <c r="W1376" s="92">
        <f t="shared" si="130"/>
        <v>0</v>
      </c>
      <c r="Y1376" s="210"/>
    </row>
    <row r="1377" spans="1:25" ht="14.4" customHeight="1" thickBot="1" x14ac:dyDescent="0.3">
      <c r="A1377" s="149"/>
      <c r="J1377" s="130">
        <v>1</v>
      </c>
      <c r="K1377" s="132">
        <f t="shared" si="126"/>
        <v>0</v>
      </c>
      <c r="M1377" s="132">
        <v>1</v>
      </c>
      <c r="N1377" s="132">
        <f t="shared" si="127"/>
        <v>0</v>
      </c>
      <c r="P1377" s="132">
        <v>1</v>
      </c>
      <c r="Q1377" s="132">
        <f t="shared" si="131"/>
        <v>0</v>
      </c>
      <c r="S1377" s="132">
        <v>1</v>
      </c>
      <c r="T1377" s="132">
        <f t="shared" si="128"/>
        <v>0</v>
      </c>
      <c r="V1377" s="126">
        <f t="shared" si="129"/>
        <v>0</v>
      </c>
      <c r="W1377" s="92">
        <f t="shared" si="130"/>
        <v>0</v>
      </c>
      <c r="Y1377" s="210"/>
    </row>
    <row r="1378" spans="1:25" ht="14.4" customHeight="1" thickBot="1" x14ac:dyDescent="0.3">
      <c r="A1378" s="149"/>
      <c r="J1378" s="130">
        <v>1</v>
      </c>
      <c r="K1378" s="132">
        <f t="shared" si="126"/>
        <v>0</v>
      </c>
      <c r="M1378" s="132">
        <v>1</v>
      </c>
      <c r="N1378" s="132">
        <f t="shared" si="127"/>
        <v>0</v>
      </c>
      <c r="P1378" s="132">
        <v>1</v>
      </c>
      <c r="Q1378" s="132">
        <f t="shared" si="131"/>
        <v>0</v>
      </c>
      <c r="S1378" s="132">
        <v>1</v>
      </c>
      <c r="T1378" s="132">
        <f t="shared" si="128"/>
        <v>0</v>
      </c>
      <c r="V1378" s="126">
        <f t="shared" si="129"/>
        <v>0</v>
      </c>
      <c r="W1378" s="92">
        <f t="shared" si="130"/>
        <v>0</v>
      </c>
      <c r="Y1378" s="210"/>
    </row>
    <row r="1379" spans="1:25" ht="14.4" customHeight="1" thickBot="1" x14ac:dyDescent="0.3">
      <c r="A1379" s="149"/>
      <c r="J1379" s="130">
        <v>1</v>
      </c>
      <c r="K1379" s="132">
        <f t="shared" si="126"/>
        <v>0</v>
      </c>
      <c r="M1379" s="132">
        <v>1</v>
      </c>
      <c r="N1379" s="132">
        <f t="shared" si="127"/>
        <v>0</v>
      </c>
      <c r="P1379" s="132">
        <v>1</v>
      </c>
      <c r="Q1379" s="132">
        <f t="shared" si="131"/>
        <v>0</v>
      </c>
      <c r="S1379" s="132">
        <v>1</v>
      </c>
      <c r="T1379" s="132">
        <f t="shared" si="128"/>
        <v>0</v>
      </c>
      <c r="V1379" s="126">
        <f t="shared" si="129"/>
        <v>0</v>
      </c>
      <c r="W1379" s="92">
        <f t="shared" si="130"/>
        <v>0</v>
      </c>
      <c r="Y1379" s="210"/>
    </row>
    <row r="1380" spans="1:25" ht="14.4" customHeight="1" thickBot="1" x14ac:dyDescent="0.3">
      <c r="A1380" s="149"/>
      <c r="J1380" s="130">
        <v>1</v>
      </c>
      <c r="K1380" s="132">
        <f t="shared" si="126"/>
        <v>0</v>
      </c>
      <c r="M1380" s="132">
        <v>1</v>
      </c>
      <c r="N1380" s="132">
        <f t="shared" si="127"/>
        <v>0</v>
      </c>
      <c r="P1380" s="132">
        <v>1</v>
      </c>
      <c r="Q1380" s="132">
        <f t="shared" si="131"/>
        <v>0</v>
      </c>
      <c r="S1380" s="132">
        <v>1</v>
      </c>
      <c r="T1380" s="132">
        <f t="shared" si="128"/>
        <v>0</v>
      </c>
      <c r="V1380" s="126">
        <f t="shared" si="129"/>
        <v>0</v>
      </c>
      <c r="W1380" s="92">
        <f t="shared" si="130"/>
        <v>0</v>
      </c>
      <c r="Y1380" s="210"/>
    </row>
    <row r="1381" spans="1:25" ht="14.4" customHeight="1" thickBot="1" x14ac:dyDescent="0.3">
      <c r="A1381" s="149"/>
      <c r="J1381" s="130">
        <v>1</v>
      </c>
      <c r="K1381" s="132">
        <f t="shared" si="126"/>
        <v>0</v>
      </c>
      <c r="M1381" s="132">
        <v>1</v>
      </c>
      <c r="N1381" s="132">
        <f t="shared" si="127"/>
        <v>0</v>
      </c>
      <c r="P1381" s="132">
        <v>1</v>
      </c>
      <c r="Q1381" s="132">
        <f t="shared" si="131"/>
        <v>0</v>
      </c>
      <c r="S1381" s="132">
        <v>1</v>
      </c>
      <c r="T1381" s="132">
        <f t="shared" si="128"/>
        <v>0</v>
      </c>
      <c r="V1381" s="126">
        <f t="shared" si="129"/>
        <v>0</v>
      </c>
      <c r="W1381" s="92">
        <f t="shared" si="130"/>
        <v>0</v>
      </c>
      <c r="Y1381" s="210"/>
    </row>
    <row r="1382" spans="1:25" ht="14.4" customHeight="1" thickBot="1" x14ac:dyDescent="0.3">
      <c r="A1382" s="149"/>
      <c r="J1382" s="130">
        <v>1</v>
      </c>
      <c r="K1382" s="132">
        <f t="shared" si="126"/>
        <v>0</v>
      </c>
      <c r="M1382" s="132">
        <v>1</v>
      </c>
      <c r="N1382" s="132">
        <f t="shared" si="127"/>
        <v>0</v>
      </c>
      <c r="P1382" s="132">
        <v>1</v>
      </c>
      <c r="Q1382" s="132">
        <f t="shared" si="131"/>
        <v>0</v>
      </c>
      <c r="S1382" s="132">
        <v>1</v>
      </c>
      <c r="T1382" s="132">
        <f t="shared" si="128"/>
        <v>0</v>
      </c>
      <c r="V1382" s="126">
        <f t="shared" si="129"/>
        <v>0</v>
      </c>
      <c r="W1382" s="92">
        <f t="shared" si="130"/>
        <v>0</v>
      </c>
      <c r="Y1382" s="210"/>
    </row>
    <row r="1383" spans="1:25" ht="14.4" customHeight="1" thickBot="1" x14ac:dyDescent="0.3">
      <c r="A1383" s="149"/>
      <c r="J1383" s="130">
        <v>1</v>
      </c>
      <c r="K1383" s="132">
        <f t="shared" si="126"/>
        <v>0</v>
      </c>
      <c r="M1383" s="132">
        <v>1</v>
      </c>
      <c r="N1383" s="132">
        <f t="shared" si="127"/>
        <v>0</v>
      </c>
      <c r="P1383" s="132">
        <v>1</v>
      </c>
      <c r="Q1383" s="132">
        <f t="shared" si="131"/>
        <v>0</v>
      </c>
      <c r="S1383" s="132">
        <v>1</v>
      </c>
      <c r="T1383" s="132">
        <f t="shared" si="128"/>
        <v>0</v>
      </c>
      <c r="V1383" s="126">
        <f t="shared" si="129"/>
        <v>0</v>
      </c>
      <c r="W1383" s="92">
        <f t="shared" si="130"/>
        <v>0</v>
      </c>
      <c r="Y1383" s="210"/>
    </row>
    <row r="1384" spans="1:25" ht="14.4" customHeight="1" thickBot="1" x14ac:dyDescent="0.3">
      <c r="A1384" s="149"/>
      <c r="J1384" s="130">
        <v>1</v>
      </c>
      <c r="K1384" s="132">
        <f t="shared" si="126"/>
        <v>0</v>
      </c>
      <c r="M1384" s="132">
        <v>1</v>
      </c>
      <c r="N1384" s="132">
        <f t="shared" si="127"/>
        <v>0</v>
      </c>
      <c r="P1384" s="132">
        <v>1</v>
      </c>
      <c r="Q1384" s="132">
        <f t="shared" si="131"/>
        <v>0</v>
      </c>
      <c r="S1384" s="132">
        <v>1</v>
      </c>
      <c r="T1384" s="132">
        <f t="shared" si="128"/>
        <v>0</v>
      </c>
      <c r="V1384" s="126">
        <f t="shared" si="129"/>
        <v>0</v>
      </c>
      <c r="W1384" s="92">
        <f t="shared" si="130"/>
        <v>0</v>
      </c>
      <c r="Y1384" s="210"/>
    </row>
    <row r="1385" spans="1:25" ht="14.4" customHeight="1" thickBot="1" x14ac:dyDescent="0.3">
      <c r="A1385" s="149"/>
      <c r="J1385" s="130">
        <v>1</v>
      </c>
      <c r="K1385" s="132">
        <f t="shared" si="126"/>
        <v>0</v>
      </c>
      <c r="M1385" s="132">
        <v>1</v>
      </c>
      <c r="N1385" s="132">
        <f t="shared" si="127"/>
        <v>0</v>
      </c>
      <c r="P1385" s="132">
        <v>1</v>
      </c>
      <c r="Q1385" s="132">
        <f t="shared" si="131"/>
        <v>0</v>
      </c>
      <c r="S1385" s="132">
        <v>1</v>
      </c>
      <c r="T1385" s="132">
        <f t="shared" si="128"/>
        <v>0</v>
      </c>
      <c r="V1385" s="126">
        <f t="shared" si="129"/>
        <v>0</v>
      </c>
      <c r="W1385" s="92">
        <f t="shared" si="130"/>
        <v>0</v>
      </c>
      <c r="Y1385" s="210"/>
    </row>
    <row r="1386" spans="1:25" ht="14.4" customHeight="1" thickBot="1" x14ac:dyDescent="0.3">
      <c r="A1386" s="149"/>
      <c r="J1386" s="130">
        <v>1</v>
      </c>
      <c r="K1386" s="132">
        <f t="shared" si="126"/>
        <v>0</v>
      </c>
      <c r="M1386" s="132">
        <v>1</v>
      </c>
      <c r="N1386" s="132">
        <f t="shared" si="127"/>
        <v>0</v>
      </c>
      <c r="P1386" s="132">
        <v>1</v>
      </c>
      <c r="Q1386" s="132">
        <f t="shared" si="131"/>
        <v>0</v>
      </c>
      <c r="S1386" s="132">
        <v>1</v>
      </c>
      <c r="T1386" s="132">
        <f t="shared" si="128"/>
        <v>0</v>
      </c>
      <c r="V1386" s="126">
        <f t="shared" si="129"/>
        <v>0</v>
      </c>
      <c r="W1386" s="92">
        <f t="shared" si="130"/>
        <v>0</v>
      </c>
      <c r="Y1386" s="210"/>
    </row>
    <row r="1387" spans="1:25" ht="14.4" customHeight="1" thickBot="1" x14ac:dyDescent="0.3">
      <c r="A1387" s="149"/>
      <c r="J1387" s="130">
        <v>1</v>
      </c>
      <c r="K1387" s="132">
        <f t="shared" si="126"/>
        <v>0</v>
      </c>
      <c r="M1387" s="132">
        <v>1</v>
      </c>
      <c r="N1387" s="132">
        <f t="shared" si="127"/>
        <v>0</v>
      </c>
      <c r="P1387" s="132">
        <v>1</v>
      </c>
      <c r="Q1387" s="132">
        <f t="shared" si="131"/>
        <v>0</v>
      </c>
      <c r="S1387" s="132">
        <v>1</v>
      </c>
      <c r="T1387" s="132">
        <f t="shared" si="128"/>
        <v>0</v>
      </c>
      <c r="V1387" s="126">
        <f t="shared" si="129"/>
        <v>0</v>
      </c>
      <c r="W1387" s="92">
        <f t="shared" si="130"/>
        <v>0</v>
      </c>
      <c r="Y1387" s="210"/>
    </row>
    <row r="1388" spans="1:25" ht="14.4" customHeight="1" thickBot="1" x14ac:dyDescent="0.3">
      <c r="A1388" s="149"/>
      <c r="J1388" s="130">
        <v>1</v>
      </c>
      <c r="K1388" s="132">
        <f t="shared" si="126"/>
        <v>0</v>
      </c>
      <c r="M1388" s="132">
        <v>1</v>
      </c>
      <c r="N1388" s="132">
        <f t="shared" si="127"/>
        <v>0</v>
      </c>
      <c r="P1388" s="132">
        <v>1</v>
      </c>
      <c r="Q1388" s="132">
        <f t="shared" si="131"/>
        <v>0</v>
      </c>
      <c r="S1388" s="132">
        <v>1</v>
      </c>
      <c r="T1388" s="132">
        <f t="shared" si="128"/>
        <v>0</v>
      </c>
      <c r="V1388" s="126">
        <f t="shared" si="129"/>
        <v>0</v>
      </c>
      <c r="W1388" s="92">
        <f t="shared" si="130"/>
        <v>0</v>
      </c>
      <c r="Y1388" s="210"/>
    </row>
    <row r="1389" spans="1:25" ht="14.4" customHeight="1" thickBot="1" x14ac:dyDescent="0.3">
      <c r="A1389" s="149"/>
      <c r="J1389" s="130">
        <v>1</v>
      </c>
      <c r="K1389" s="132">
        <f t="shared" si="126"/>
        <v>0</v>
      </c>
      <c r="M1389" s="132">
        <v>1</v>
      </c>
      <c r="N1389" s="132">
        <f t="shared" si="127"/>
        <v>0</v>
      </c>
      <c r="P1389" s="132">
        <v>1</v>
      </c>
      <c r="Q1389" s="132">
        <f t="shared" si="131"/>
        <v>0</v>
      </c>
      <c r="S1389" s="132">
        <v>1</v>
      </c>
      <c r="T1389" s="132">
        <f t="shared" si="128"/>
        <v>0</v>
      </c>
      <c r="V1389" s="126">
        <f t="shared" si="129"/>
        <v>0</v>
      </c>
      <c r="W1389" s="92">
        <f t="shared" si="130"/>
        <v>0</v>
      </c>
      <c r="Y1389" s="210"/>
    </row>
    <row r="1390" spans="1:25" ht="14.4" customHeight="1" thickBot="1" x14ac:dyDescent="0.3">
      <c r="A1390" s="149"/>
      <c r="J1390" s="130">
        <v>1</v>
      </c>
      <c r="K1390" s="132">
        <f t="shared" si="126"/>
        <v>0</v>
      </c>
      <c r="M1390" s="132">
        <v>1</v>
      </c>
      <c r="N1390" s="132">
        <f t="shared" si="127"/>
        <v>0</v>
      </c>
      <c r="P1390" s="132">
        <v>1</v>
      </c>
      <c r="Q1390" s="132">
        <f t="shared" si="131"/>
        <v>0</v>
      </c>
      <c r="S1390" s="132">
        <v>1</v>
      </c>
      <c r="T1390" s="132">
        <f t="shared" si="128"/>
        <v>0</v>
      </c>
      <c r="V1390" s="126">
        <f t="shared" si="129"/>
        <v>0</v>
      </c>
      <c r="W1390" s="92">
        <f t="shared" si="130"/>
        <v>0</v>
      </c>
      <c r="Y1390" s="210"/>
    </row>
    <row r="1391" spans="1:25" ht="14.4" customHeight="1" thickBot="1" x14ac:dyDescent="0.3">
      <c r="A1391" s="149"/>
      <c r="J1391" s="130">
        <v>1</v>
      </c>
      <c r="K1391" s="132">
        <f t="shared" si="126"/>
        <v>0</v>
      </c>
      <c r="M1391" s="132">
        <v>1</v>
      </c>
      <c r="N1391" s="132">
        <f t="shared" si="127"/>
        <v>0</v>
      </c>
      <c r="P1391" s="132">
        <v>1</v>
      </c>
      <c r="Q1391" s="132">
        <f t="shared" si="131"/>
        <v>0</v>
      </c>
      <c r="S1391" s="132">
        <v>1</v>
      </c>
      <c r="T1391" s="132">
        <f t="shared" si="128"/>
        <v>0</v>
      </c>
      <c r="V1391" s="126">
        <f t="shared" si="129"/>
        <v>0</v>
      </c>
      <c r="W1391" s="92">
        <f t="shared" si="130"/>
        <v>0</v>
      </c>
      <c r="Y1391" s="210"/>
    </row>
    <row r="1392" spans="1:25" ht="14.4" customHeight="1" thickBot="1" x14ac:dyDescent="0.3">
      <c r="A1392" s="149"/>
      <c r="J1392" s="130">
        <v>1</v>
      </c>
      <c r="K1392" s="132">
        <f t="shared" si="126"/>
        <v>0</v>
      </c>
      <c r="M1392" s="132">
        <v>1</v>
      </c>
      <c r="N1392" s="132">
        <f t="shared" si="127"/>
        <v>0</v>
      </c>
      <c r="P1392" s="132">
        <v>1</v>
      </c>
      <c r="Q1392" s="132">
        <f t="shared" si="131"/>
        <v>0</v>
      </c>
      <c r="S1392" s="132">
        <v>1</v>
      </c>
      <c r="T1392" s="132">
        <f t="shared" si="128"/>
        <v>0</v>
      </c>
      <c r="V1392" s="126">
        <f t="shared" si="129"/>
        <v>0</v>
      </c>
      <c r="W1392" s="92">
        <f t="shared" si="130"/>
        <v>0</v>
      </c>
      <c r="Y1392" s="210"/>
    </row>
    <row r="1393" spans="1:25" ht="14.4" customHeight="1" thickBot="1" x14ac:dyDescent="0.3">
      <c r="A1393" s="149"/>
      <c r="J1393" s="130">
        <v>1</v>
      </c>
      <c r="K1393" s="132">
        <f t="shared" si="126"/>
        <v>0</v>
      </c>
      <c r="M1393" s="132">
        <v>1</v>
      </c>
      <c r="N1393" s="132">
        <f t="shared" si="127"/>
        <v>0</v>
      </c>
      <c r="P1393" s="132">
        <v>1</v>
      </c>
      <c r="Q1393" s="132">
        <f t="shared" si="131"/>
        <v>0</v>
      </c>
      <c r="S1393" s="132">
        <v>1</v>
      </c>
      <c r="T1393" s="132">
        <f t="shared" si="128"/>
        <v>0</v>
      </c>
      <c r="V1393" s="126">
        <f t="shared" si="129"/>
        <v>0</v>
      </c>
      <c r="W1393" s="92">
        <f t="shared" si="130"/>
        <v>0</v>
      </c>
      <c r="Y1393" s="210"/>
    </row>
    <row r="1394" spans="1:25" ht="14.4" customHeight="1" thickBot="1" x14ac:dyDescent="0.3">
      <c r="A1394" s="149"/>
      <c r="J1394" s="130">
        <v>1</v>
      </c>
      <c r="K1394" s="132">
        <f t="shared" si="126"/>
        <v>0</v>
      </c>
      <c r="M1394" s="132">
        <v>1</v>
      </c>
      <c r="N1394" s="132">
        <f t="shared" si="127"/>
        <v>0</v>
      </c>
      <c r="P1394" s="132">
        <v>1</v>
      </c>
      <c r="Q1394" s="132">
        <f t="shared" si="131"/>
        <v>0</v>
      </c>
      <c r="S1394" s="132">
        <v>1</v>
      </c>
      <c r="T1394" s="132">
        <f t="shared" si="128"/>
        <v>0</v>
      </c>
      <c r="V1394" s="126">
        <f t="shared" si="129"/>
        <v>0</v>
      </c>
      <c r="W1394" s="92">
        <f t="shared" si="130"/>
        <v>0</v>
      </c>
      <c r="Y1394" s="210"/>
    </row>
    <row r="1395" spans="1:25" ht="14.4" customHeight="1" thickBot="1" x14ac:dyDescent="0.3">
      <c r="A1395" s="149"/>
      <c r="J1395" s="130">
        <v>1</v>
      </c>
      <c r="K1395" s="132">
        <f t="shared" si="126"/>
        <v>0</v>
      </c>
      <c r="M1395" s="132">
        <v>1</v>
      </c>
      <c r="N1395" s="132">
        <f t="shared" si="127"/>
        <v>0</v>
      </c>
      <c r="P1395" s="132">
        <v>1</v>
      </c>
      <c r="Q1395" s="132">
        <f t="shared" si="131"/>
        <v>0</v>
      </c>
      <c r="S1395" s="132">
        <v>1</v>
      </c>
      <c r="T1395" s="132">
        <f t="shared" si="128"/>
        <v>0</v>
      </c>
      <c r="V1395" s="126">
        <f t="shared" si="129"/>
        <v>0</v>
      </c>
      <c r="W1395" s="92">
        <f t="shared" si="130"/>
        <v>0</v>
      </c>
      <c r="Y1395" s="210"/>
    </row>
    <row r="1396" spans="1:25" ht="14.4" customHeight="1" thickBot="1" x14ac:dyDescent="0.3">
      <c r="A1396" s="149"/>
      <c r="J1396" s="130">
        <v>1</v>
      </c>
      <c r="K1396" s="132">
        <f t="shared" si="126"/>
        <v>0</v>
      </c>
      <c r="M1396" s="132">
        <v>1</v>
      </c>
      <c r="N1396" s="132">
        <f t="shared" si="127"/>
        <v>0</v>
      </c>
      <c r="P1396" s="132">
        <v>1</v>
      </c>
      <c r="Q1396" s="132">
        <f t="shared" si="131"/>
        <v>0</v>
      </c>
      <c r="S1396" s="132">
        <v>1</v>
      </c>
      <c r="T1396" s="132">
        <f t="shared" si="128"/>
        <v>0</v>
      </c>
      <c r="V1396" s="126">
        <f t="shared" si="129"/>
        <v>0</v>
      </c>
      <c r="W1396" s="92">
        <f t="shared" si="130"/>
        <v>0</v>
      </c>
      <c r="Y1396" s="210"/>
    </row>
    <row r="1397" spans="1:25" ht="14.4" customHeight="1" thickBot="1" x14ac:dyDescent="0.3">
      <c r="A1397" s="149"/>
      <c r="J1397" s="130">
        <v>1</v>
      </c>
      <c r="K1397" s="132">
        <f t="shared" si="126"/>
        <v>0</v>
      </c>
      <c r="M1397" s="132">
        <v>1</v>
      </c>
      <c r="N1397" s="132">
        <f t="shared" si="127"/>
        <v>0</v>
      </c>
      <c r="P1397" s="132">
        <v>1</v>
      </c>
      <c r="Q1397" s="132">
        <f t="shared" si="131"/>
        <v>0</v>
      </c>
      <c r="S1397" s="132">
        <v>1</v>
      </c>
      <c r="T1397" s="132">
        <f t="shared" si="128"/>
        <v>0</v>
      </c>
      <c r="V1397" s="126">
        <f t="shared" si="129"/>
        <v>0</v>
      </c>
      <c r="W1397" s="92">
        <f t="shared" si="130"/>
        <v>0</v>
      </c>
      <c r="Y1397" s="210"/>
    </row>
    <row r="1398" spans="1:25" ht="14.4" customHeight="1" thickBot="1" x14ac:dyDescent="0.3">
      <c r="A1398" s="149"/>
      <c r="J1398" s="130">
        <v>1</v>
      </c>
      <c r="K1398" s="132">
        <f t="shared" si="126"/>
        <v>0</v>
      </c>
      <c r="M1398" s="132">
        <v>1</v>
      </c>
      <c r="N1398" s="132">
        <f t="shared" si="127"/>
        <v>0</v>
      </c>
      <c r="P1398" s="132">
        <v>1</v>
      </c>
      <c r="Q1398" s="132">
        <f t="shared" si="131"/>
        <v>0</v>
      </c>
      <c r="S1398" s="132">
        <v>1</v>
      </c>
      <c r="T1398" s="132">
        <f t="shared" si="128"/>
        <v>0</v>
      </c>
      <c r="V1398" s="126">
        <f t="shared" si="129"/>
        <v>0</v>
      </c>
      <c r="W1398" s="92">
        <f t="shared" si="130"/>
        <v>0</v>
      </c>
      <c r="Y1398" s="210"/>
    </row>
    <row r="1399" spans="1:25" ht="14.4" customHeight="1" thickBot="1" x14ac:dyDescent="0.3">
      <c r="A1399" s="149"/>
      <c r="J1399" s="130">
        <v>1</v>
      </c>
      <c r="K1399" s="132">
        <f t="shared" si="126"/>
        <v>0</v>
      </c>
      <c r="M1399" s="132">
        <v>1</v>
      </c>
      <c r="N1399" s="132">
        <f t="shared" si="127"/>
        <v>0</v>
      </c>
      <c r="P1399" s="132">
        <v>1</v>
      </c>
      <c r="Q1399" s="132">
        <f t="shared" si="131"/>
        <v>0</v>
      </c>
      <c r="S1399" s="132">
        <v>1</v>
      </c>
      <c r="T1399" s="132">
        <f t="shared" si="128"/>
        <v>0</v>
      </c>
      <c r="V1399" s="126">
        <f t="shared" si="129"/>
        <v>0</v>
      </c>
      <c r="W1399" s="92">
        <f t="shared" si="130"/>
        <v>0</v>
      </c>
      <c r="Y1399" s="210"/>
    </row>
    <row r="1400" spans="1:25" ht="14.4" customHeight="1" thickBot="1" x14ac:dyDescent="0.3">
      <c r="A1400" s="149"/>
      <c r="J1400" s="130">
        <v>1</v>
      </c>
      <c r="K1400" s="132">
        <f t="shared" si="126"/>
        <v>0</v>
      </c>
      <c r="M1400" s="132">
        <v>1</v>
      </c>
      <c r="N1400" s="132">
        <f t="shared" si="127"/>
        <v>0</v>
      </c>
      <c r="P1400" s="132">
        <v>1</v>
      </c>
      <c r="Q1400" s="132">
        <f t="shared" si="131"/>
        <v>0</v>
      </c>
      <c r="S1400" s="132">
        <v>1</v>
      </c>
      <c r="T1400" s="132">
        <f t="shared" si="128"/>
        <v>0</v>
      </c>
      <c r="V1400" s="126">
        <f t="shared" si="129"/>
        <v>0</v>
      </c>
      <c r="W1400" s="92">
        <f t="shared" si="130"/>
        <v>0</v>
      </c>
      <c r="Y1400" s="210"/>
    </row>
    <row r="1401" spans="1:25" ht="14.4" customHeight="1" thickBot="1" x14ac:dyDescent="0.3">
      <c r="A1401" s="149"/>
      <c r="J1401" s="130">
        <v>1</v>
      </c>
      <c r="K1401" s="132">
        <f t="shared" si="126"/>
        <v>0</v>
      </c>
      <c r="M1401" s="132">
        <v>1</v>
      </c>
      <c r="N1401" s="132">
        <f t="shared" si="127"/>
        <v>0</v>
      </c>
      <c r="P1401" s="132">
        <v>1</v>
      </c>
      <c r="Q1401" s="132">
        <f t="shared" si="131"/>
        <v>0</v>
      </c>
      <c r="S1401" s="132">
        <v>1</v>
      </c>
      <c r="T1401" s="132">
        <f t="shared" si="128"/>
        <v>0</v>
      </c>
      <c r="V1401" s="126">
        <f t="shared" si="129"/>
        <v>0</v>
      </c>
      <c r="W1401" s="92">
        <f t="shared" si="130"/>
        <v>0</v>
      </c>
      <c r="Y1401" s="210"/>
    </row>
    <row r="1402" spans="1:25" ht="14.4" customHeight="1" thickBot="1" x14ac:dyDescent="0.3">
      <c r="A1402" s="149"/>
      <c r="J1402" s="130">
        <v>1</v>
      </c>
      <c r="K1402" s="132">
        <f t="shared" si="126"/>
        <v>0</v>
      </c>
      <c r="M1402" s="132">
        <v>1</v>
      </c>
      <c r="N1402" s="132">
        <f t="shared" si="127"/>
        <v>0</v>
      </c>
      <c r="P1402" s="132">
        <v>1</v>
      </c>
      <c r="Q1402" s="132">
        <f t="shared" si="131"/>
        <v>0</v>
      </c>
      <c r="S1402" s="132">
        <v>1</v>
      </c>
      <c r="T1402" s="132">
        <f t="shared" si="128"/>
        <v>0</v>
      </c>
      <c r="V1402" s="126">
        <f t="shared" si="129"/>
        <v>0</v>
      </c>
      <c r="W1402" s="92">
        <f t="shared" si="130"/>
        <v>0</v>
      </c>
      <c r="Y1402" s="210"/>
    </row>
    <row r="1403" spans="1:25" ht="14.4" customHeight="1" thickBot="1" x14ac:dyDescent="0.3">
      <c r="A1403" s="149"/>
      <c r="J1403" s="130">
        <v>1</v>
      </c>
      <c r="K1403" s="132">
        <f t="shared" si="126"/>
        <v>0</v>
      </c>
      <c r="M1403" s="132">
        <v>1</v>
      </c>
      <c r="N1403" s="132">
        <f t="shared" si="127"/>
        <v>0</v>
      </c>
      <c r="P1403" s="132">
        <v>1</v>
      </c>
      <c r="Q1403" s="132">
        <f t="shared" si="131"/>
        <v>0</v>
      </c>
      <c r="S1403" s="132">
        <v>1</v>
      </c>
      <c r="T1403" s="132">
        <f t="shared" si="128"/>
        <v>0</v>
      </c>
      <c r="V1403" s="126">
        <f t="shared" si="129"/>
        <v>0</v>
      </c>
      <c r="W1403" s="92">
        <f t="shared" si="130"/>
        <v>0</v>
      </c>
      <c r="Y1403" s="210"/>
    </row>
    <row r="1404" spans="1:25" ht="14.4" customHeight="1" thickBot="1" x14ac:dyDescent="0.3">
      <c r="A1404" s="149"/>
      <c r="J1404" s="130">
        <v>1</v>
      </c>
      <c r="K1404" s="132">
        <f t="shared" si="126"/>
        <v>0</v>
      </c>
      <c r="M1404" s="132">
        <v>1</v>
      </c>
      <c r="N1404" s="132">
        <f t="shared" si="127"/>
        <v>0</v>
      </c>
      <c r="P1404" s="132">
        <v>1</v>
      </c>
      <c r="Q1404" s="132">
        <f t="shared" si="131"/>
        <v>0</v>
      </c>
      <c r="S1404" s="132">
        <v>1</v>
      </c>
      <c r="T1404" s="132">
        <f t="shared" si="128"/>
        <v>0</v>
      </c>
      <c r="V1404" s="126">
        <f t="shared" si="129"/>
        <v>0</v>
      </c>
      <c r="W1404" s="92">
        <f t="shared" si="130"/>
        <v>0</v>
      </c>
      <c r="Y1404" s="210"/>
    </row>
    <row r="1405" spans="1:25" ht="14.4" customHeight="1" thickBot="1" x14ac:dyDescent="0.3">
      <c r="A1405" s="149"/>
      <c r="J1405" s="130">
        <v>1</v>
      </c>
      <c r="K1405" s="132">
        <f t="shared" si="126"/>
        <v>0</v>
      </c>
      <c r="M1405" s="132">
        <v>1</v>
      </c>
      <c r="N1405" s="132">
        <f t="shared" si="127"/>
        <v>0</v>
      </c>
      <c r="P1405" s="132">
        <v>1</v>
      </c>
      <c r="Q1405" s="132">
        <f t="shared" si="131"/>
        <v>0</v>
      </c>
      <c r="S1405" s="132">
        <v>1</v>
      </c>
      <c r="T1405" s="132">
        <f t="shared" si="128"/>
        <v>0</v>
      </c>
      <c r="V1405" s="126">
        <f t="shared" si="129"/>
        <v>0</v>
      </c>
      <c r="W1405" s="92">
        <f t="shared" si="130"/>
        <v>0</v>
      </c>
      <c r="Y1405" s="210"/>
    </row>
    <row r="1406" spans="1:25" ht="14.4" customHeight="1" thickBot="1" x14ac:dyDescent="0.3">
      <c r="A1406" s="149"/>
      <c r="J1406" s="130">
        <v>1</v>
      </c>
      <c r="K1406" s="132">
        <f t="shared" si="126"/>
        <v>0</v>
      </c>
      <c r="M1406" s="132">
        <v>1</v>
      </c>
      <c r="N1406" s="132">
        <f t="shared" si="127"/>
        <v>0</v>
      </c>
      <c r="P1406" s="132">
        <v>1</v>
      </c>
      <c r="Q1406" s="132">
        <f t="shared" si="131"/>
        <v>0</v>
      </c>
      <c r="S1406" s="132">
        <v>1</v>
      </c>
      <c r="T1406" s="132">
        <f t="shared" si="128"/>
        <v>0</v>
      </c>
      <c r="V1406" s="126">
        <f t="shared" si="129"/>
        <v>0</v>
      </c>
      <c r="W1406" s="92">
        <f t="shared" si="130"/>
        <v>0</v>
      </c>
      <c r="Y1406" s="210"/>
    </row>
    <row r="1407" spans="1:25" ht="14.4" customHeight="1" thickBot="1" x14ac:dyDescent="0.3">
      <c r="A1407" s="149"/>
      <c r="J1407" s="130">
        <v>1</v>
      </c>
      <c r="K1407" s="132">
        <f t="shared" si="126"/>
        <v>0</v>
      </c>
      <c r="M1407" s="132">
        <v>1</v>
      </c>
      <c r="N1407" s="132">
        <f t="shared" si="127"/>
        <v>0</v>
      </c>
      <c r="P1407" s="132">
        <v>1</v>
      </c>
      <c r="Q1407" s="132">
        <f t="shared" si="131"/>
        <v>0</v>
      </c>
      <c r="S1407" s="132">
        <v>1</v>
      </c>
      <c r="T1407" s="132">
        <f t="shared" si="128"/>
        <v>0</v>
      </c>
      <c r="V1407" s="126">
        <f t="shared" si="129"/>
        <v>0</v>
      </c>
      <c r="W1407" s="92">
        <f t="shared" si="130"/>
        <v>0</v>
      </c>
      <c r="Y1407" s="210"/>
    </row>
    <row r="1408" spans="1:25" ht="14.4" customHeight="1" thickBot="1" x14ac:dyDescent="0.3">
      <c r="A1408" s="149"/>
      <c r="J1408" s="130">
        <v>1</v>
      </c>
      <c r="K1408" s="132">
        <f t="shared" si="126"/>
        <v>0</v>
      </c>
      <c r="M1408" s="132">
        <v>1</v>
      </c>
      <c r="N1408" s="132">
        <f t="shared" si="127"/>
        <v>0</v>
      </c>
      <c r="P1408" s="132">
        <v>1</v>
      </c>
      <c r="Q1408" s="132">
        <f t="shared" si="131"/>
        <v>0</v>
      </c>
      <c r="S1408" s="132">
        <v>1</v>
      </c>
      <c r="T1408" s="132">
        <f t="shared" si="128"/>
        <v>0</v>
      </c>
      <c r="V1408" s="126">
        <f t="shared" si="129"/>
        <v>0</v>
      </c>
      <c r="W1408" s="92">
        <f t="shared" si="130"/>
        <v>0</v>
      </c>
      <c r="Y1408" s="210"/>
    </row>
    <row r="1409" spans="1:25" ht="14.4" customHeight="1" thickBot="1" x14ac:dyDescent="0.3">
      <c r="A1409" s="149"/>
      <c r="J1409" s="130">
        <v>1</v>
      </c>
      <c r="K1409" s="132">
        <f t="shared" si="126"/>
        <v>0</v>
      </c>
      <c r="M1409" s="132">
        <v>1</v>
      </c>
      <c r="N1409" s="132">
        <f t="shared" si="127"/>
        <v>0</v>
      </c>
      <c r="P1409" s="132">
        <v>1</v>
      </c>
      <c r="Q1409" s="132">
        <f t="shared" si="131"/>
        <v>0</v>
      </c>
      <c r="S1409" s="132">
        <v>1</v>
      </c>
      <c r="T1409" s="132">
        <f t="shared" si="128"/>
        <v>0</v>
      </c>
      <c r="V1409" s="126">
        <f t="shared" si="129"/>
        <v>0</v>
      </c>
      <c r="W1409" s="92">
        <f t="shared" si="130"/>
        <v>0</v>
      </c>
      <c r="Y1409" s="210"/>
    </row>
    <row r="1410" spans="1:25" ht="14.4" customHeight="1" thickBot="1" x14ac:dyDescent="0.3">
      <c r="A1410" s="149"/>
      <c r="J1410" s="130">
        <v>1</v>
      </c>
      <c r="K1410" s="132">
        <f t="shared" ref="K1410:K1473" si="132">I1410/J1410</f>
        <v>0</v>
      </c>
      <c r="M1410" s="132">
        <v>1</v>
      </c>
      <c r="N1410" s="132">
        <f t="shared" ref="N1410:N1473" si="133">L1410/M1410</f>
        <v>0</v>
      </c>
      <c r="P1410" s="132">
        <v>1</v>
      </c>
      <c r="Q1410" s="132">
        <f t="shared" si="131"/>
        <v>0</v>
      </c>
      <c r="S1410" s="132">
        <v>1</v>
      </c>
      <c r="T1410" s="132">
        <f t="shared" ref="T1410:T1473" si="134">R1410/S1410</f>
        <v>0</v>
      </c>
      <c r="V1410" s="126">
        <f t="shared" ref="V1410:V1473" si="135">D1410+E1410-G1410-I1410/J1410-L1410/M1410-O1410/P1410-R1410/S1410</f>
        <v>0</v>
      </c>
      <c r="W1410" s="92">
        <f t="shared" ref="W1410:W1473" si="136">G1410+I1410/J1410+L1410/M1410+O1410/P1410+R1410/S1410</f>
        <v>0</v>
      </c>
      <c r="Y1410" s="210"/>
    </row>
    <row r="1411" spans="1:25" ht="14.4" customHeight="1" thickBot="1" x14ac:dyDescent="0.3">
      <c r="A1411" s="149"/>
      <c r="J1411" s="130">
        <v>1</v>
      </c>
      <c r="K1411" s="132">
        <f t="shared" si="132"/>
        <v>0</v>
      </c>
      <c r="M1411" s="132">
        <v>1</v>
      </c>
      <c r="N1411" s="132">
        <f t="shared" si="133"/>
        <v>0</v>
      </c>
      <c r="P1411" s="132">
        <v>1</v>
      </c>
      <c r="Q1411" s="132">
        <f t="shared" ref="Q1411:Q1474" si="137">O1411/P1411</f>
        <v>0</v>
      </c>
      <c r="S1411" s="132">
        <v>1</v>
      </c>
      <c r="T1411" s="132">
        <f t="shared" si="134"/>
        <v>0</v>
      </c>
      <c r="V1411" s="126">
        <f t="shared" si="135"/>
        <v>0</v>
      </c>
      <c r="W1411" s="92">
        <f t="shared" si="136"/>
        <v>0</v>
      </c>
      <c r="Y1411" s="210"/>
    </row>
    <row r="1412" spans="1:25" ht="14.4" customHeight="1" thickBot="1" x14ac:dyDescent="0.3">
      <c r="A1412" s="149"/>
      <c r="J1412" s="130">
        <v>1</v>
      </c>
      <c r="K1412" s="132">
        <f t="shared" si="132"/>
        <v>0</v>
      </c>
      <c r="M1412" s="132">
        <v>1</v>
      </c>
      <c r="N1412" s="132">
        <f t="shared" si="133"/>
        <v>0</v>
      </c>
      <c r="P1412" s="132">
        <v>1</v>
      </c>
      <c r="Q1412" s="132">
        <f t="shared" si="137"/>
        <v>0</v>
      </c>
      <c r="S1412" s="132">
        <v>1</v>
      </c>
      <c r="T1412" s="132">
        <f t="shared" si="134"/>
        <v>0</v>
      </c>
      <c r="V1412" s="126">
        <f t="shared" si="135"/>
        <v>0</v>
      </c>
      <c r="W1412" s="92">
        <f t="shared" si="136"/>
        <v>0</v>
      </c>
      <c r="Y1412" s="210"/>
    </row>
    <row r="1413" spans="1:25" ht="14.4" customHeight="1" thickBot="1" x14ac:dyDescent="0.3">
      <c r="A1413" s="149"/>
      <c r="J1413" s="130">
        <v>1</v>
      </c>
      <c r="K1413" s="132">
        <f t="shared" si="132"/>
        <v>0</v>
      </c>
      <c r="M1413" s="132">
        <v>1</v>
      </c>
      <c r="N1413" s="132">
        <f t="shared" si="133"/>
        <v>0</v>
      </c>
      <c r="P1413" s="132">
        <v>1</v>
      </c>
      <c r="Q1413" s="132">
        <f t="shared" si="137"/>
        <v>0</v>
      </c>
      <c r="S1413" s="132">
        <v>1</v>
      </c>
      <c r="T1413" s="132">
        <f t="shared" si="134"/>
        <v>0</v>
      </c>
      <c r="V1413" s="126">
        <f t="shared" si="135"/>
        <v>0</v>
      </c>
      <c r="W1413" s="92">
        <f t="shared" si="136"/>
        <v>0</v>
      </c>
      <c r="Y1413" s="210"/>
    </row>
    <row r="1414" spans="1:25" ht="14.4" customHeight="1" thickBot="1" x14ac:dyDescent="0.3">
      <c r="A1414" s="149"/>
      <c r="J1414" s="130">
        <v>1</v>
      </c>
      <c r="K1414" s="132">
        <f t="shared" si="132"/>
        <v>0</v>
      </c>
      <c r="M1414" s="132">
        <v>1</v>
      </c>
      <c r="N1414" s="132">
        <f t="shared" si="133"/>
        <v>0</v>
      </c>
      <c r="P1414" s="132">
        <v>1</v>
      </c>
      <c r="Q1414" s="132">
        <f t="shared" si="137"/>
        <v>0</v>
      </c>
      <c r="S1414" s="132">
        <v>1</v>
      </c>
      <c r="T1414" s="132">
        <f t="shared" si="134"/>
        <v>0</v>
      </c>
      <c r="V1414" s="126">
        <f t="shared" si="135"/>
        <v>0</v>
      </c>
      <c r="W1414" s="92">
        <f t="shared" si="136"/>
        <v>0</v>
      </c>
      <c r="Y1414" s="210"/>
    </row>
    <row r="1415" spans="1:25" ht="14.4" customHeight="1" thickBot="1" x14ac:dyDescent="0.3">
      <c r="A1415" s="149"/>
      <c r="J1415" s="130">
        <v>1</v>
      </c>
      <c r="K1415" s="132">
        <f t="shared" si="132"/>
        <v>0</v>
      </c>
      <c r="M1415" s="132">
        <v>1</v>
      </c>
      <c r="N1415" s="132">
        <f t="shared" si="133"/>
        <v>0</v>
      </c>
      <c r="P1415" s="132">
        <v>1</v>
      </c>
      <c r="Q1415" s="132">
        <f t="shared" si="137"/>
        <v>0</v>
      </c>
      <c r="S1415" s="132">
        <v>1</v>
      </c>
      <c r="T1415" s="132">
        <f t="shared" si="134"/>
        <v>0</v>
      </c>
      <c r="V1415" s="126">
        <f t="shared" si="135"/>
        <v>0</v>
      </c>
      <c r="W1415" s="92">
        <f t="shared" si="136"/>
        <v>0</v>
      </c>
      <c r="Y1415" s="210"/>
    </row>
    <row r="1416" spans="1:25" ht="14.4" customHeight="1" thickBot="1" x14ac:dyDescent="0.3">
      <c r="A1416" s="149"/>
      <c r="J1416" s="130">
        <v>1</v>
      </c>
      <c r="K1416" s="132">
        <f t="shared" si="132"/>
        <v>0</v>
      </c>
      <c r="M1416" s="132">
        <v>1</v>
      </c>
      <c r="N1416" s="132">
        <f t="shared" si="133"/>
        <v>0</v>
      </c>
      <c r="P1416" s="132">
        <v>1</v>
      </c>
      <c r="Q1416" s="132">
        <f t="shared" si="137"/>
        <v>0</v>
      </c>
      <c r="S1416" s="132">
        <v>1</v>
      </c>
      <c r="T1416" s="132">
        <f t="shared" si="134"/>
        <v>0</v>
      </c>
      <c r="V1416" s="126">
        <f t="shared" si="135"/>
        <v>0</v>
      </c>
      <c r="W1416" s="92">
        <f t="shared" si="136"/>
        <v>0</v>
      </c>
      <c r="Y1416" s="210"/>
    </row>
    <row r="1417" spans="1:25" ht="14.4" customHeight="1" thickBot="1" x14ac:dyDescent="0.3">
      <c r="A1417" s="149"/>
      <c r="J1417" s="130">
        <v>1</v>
      </c>
      <c r="K1417" s="132">
        <f t="shared" si="132"/>
        <v>0</v>
      </c>
      <c r="M1417" s="132">
        <v>1</v>
      </c>
      <c r="N1417" s="132">
        <f t="shared" si="133"/>
        <v>0</v>
      </c>
      <c r="P1417" s="132">
        <v>1</v>
      </c>
      <c r="Q1417" s="132">
        <f t="shared" si="137"/>
        <v>0</v>
      </c>
      <c r="S1417" s="132">
        <v>1</v>
      </c>
      <c r="T1417" s="132">
        <f t="shared" si="134"/>
        <v>0</v>
      </c>
      <c r="V1417" s="126">
        <f t="shared" si="135"/>
        <v>0</v>
      </c>
      <c r="W1417" s="92">
        <f t="shared" si="136"/>
        <v>0</v>
      </c>
      <c r="Y1417" s="210"/>
    </row>
    <row r="1418" spans="1:25" ht="14.4" customHeight="1" thickBot="1" x14ac:dyDescent="0.3">
      <c r="A1418" s="149"/>
      <c r="J1418" s="130">
        <v>1</v>
      </c>
      <c r="K1418" s="132">
        <f t="shared" si="132"/>
        <v>0</v>
      </c>
      <c r="M1418" s="132">
        <v>1</v>
      </c>
      <c r="N1418" s="132">
        <f t="shared" si="133"/>
        <v>0</v>
      </c>
      <c r="P1418" s="132">
        <v>1</v>
      </c>
      <c r="Q1418" s="132">
        <f t="shared" si="137"/>
        <v>0</v>
      </c>
      <c r="S1418" s="132">
        <v>1</v>
      </c>
      <c r="T1418" s="132">
        <f t="shared" si="134"/>
        <v>0</v>
      </c>
      <c r="V1418" s="126">
        <f t="shared" si="135"/>
        <v>0</v>
      </c>
      <c r="W1418" s="92">
        <f t="shared" si="136"/>
        <v>0</v>
      </c>
      <c r="Y1418" s="210"/>
    </row>
    <row r="1419" spans="1:25" ht="14.4" customHeight="1" thickBot="1" x14ac:dyDescent="0.3">
      <c r="A1419" s="149"/>
      <c r="J1419" s="130">
        <v>1</v>
      </c>
      <c r="K1419" s="132">
        <f t="shared" si="132"/>
        <v>0</v>
      </c>
      <c r="M1419" s="132">
        <v>1</v>
      </c>
      <c r="N1419" s="132">
        <f t="shared" si="133"/>
        <v>0</v>
      </c>
      <c r="P1419" s="132">
        <v>1</v>
      </c>
      <c r="Q1419" s="132">
        <f t="shared" si="137"/>
        <v>0</v>
      </c>
      <c r="S1419" s="132">
        <v>1</v>
      </c>
      <c r="T1419" s="132">
        <f t="shared" si="134"/>
        <v>0</v>
      </c>
      <c r="V1419" s="126">
        <f t="shared" si="135"/>
        <v>0</v>
      </c>
      <c r="W1419" s="92">
        <f t="shared" si="136"/>
        <v>0</v>
      </c>
      <c r="Y1419" s="210"/>
    </row>
    <row r="1420" spans="1:25" ht="14.4" customHeight="1" thickBot="1" x14ac:dyDescent="0.3">
      <c r="A1420" s="149"/>
      <c r="J1420" s="130">
        <v>1</v>
      </c>
      <c r="K1420" s="132">
        <f t="shared" si="132"/>
        <v>0</v>
      </c>
      <c r="M1420" s="132">
        <v>1</v>
      </c>
      <c r="N1420" s="132">
        <f t="shared" si="133"/>
        <v>0</v>
      </c>
      <c r="P1420" s="132">
        <v>1</v>
      </c>
      <c r="Q1420" s="132">
        <f t="shared" si="137"/>
        <v>0</v>
      </c>
      <c r="S1420" s="132">
        <v>1</v>
      </c>
      <c r="T1420" s="132">
        <f t="shared" si="134"/>
        <v>0</v>
      </c>
      <c r="V1420" s="126">
        <f t="shared" si="135"/>
        <v>0</v>
      </c>
      <c r="W1420" s="92">
        <f t="shared" si="136"/>
        <v>0</v>
      </c>
      <c r="Y1420" s="210"/>
    </row>
    <row r="1421" spans="1:25" ht="14.4" customHeight="1" thickBot="1" x14ac:dyDescent="0.3">
      <c r="A1421" s="149"/>
      <c r="J1421" s="130">
        <v>1</v>
      </c>
      <c r="K1421" s="132">
        <f t="shared" si="132"/>
        <v>0</v>
      </c>
      <c r="M1421" s="132">
        <v>1</v>
      </c>
      <c r="N1421" s="132">
        <f t="shared" si="133"/>
        <v>0</v>
      </c>
      <c r="P1421" s="132">
        <v>1</v>
      </c>
      <c r="Q1421" s="132">
        <f t="shared" si="137"/>
        <v>0</v>
      </c>
      <c r="S1421" s="132">
        <v>1</v>
      </c>
      <c r="T1421" s="132">
        <f t="shared" si="134"/>
        <v>0</v>
      </c>
      <c r="V1421" s="126">
        <f t="shared" si="135"/>
        <v>0</v>
      </c>
      <c r="W1421" s="92">
        <f t="shared" si="136"/>
        <v>0</v>
      </c>
      <c r="Y1421" s="210"/>
    </row>
    <row r="1422" spans="1:25" ht="14.4" customHeight="1" thickBot="1" x14ac:dyDescent="0.3">
      <c r="A1422" s="149"/>
      <c r="J1422" s="130">
        <v>1</v>
      </c>
      <c r="K1422" s="132">
        <f t="shared" si="132"/>
        <v>0</v>
      </c>
      <c r="M1422" s="132">
        <v>1</v>
      </c>
      <c r="N1422" s="132">
        <f t="shared" si="133"/>
        <v>0</v>
      </c>
      <c r="P1422" s="132">
        <v>1</v>
      </c>
      <c r="Q1422" s="132">
        <f t="shared" si="137"/>
        <v>0</v>
      </c>
      <c r="S1422" s="132">
        <v>1</v>
      </c>
      <c r="T1422" s="132">
        <f t="shared" si="134"/>
        <v>0</v>
      </c>
      <c r="V1422" s="126">
        <f t="shared" si="135"/>
        <v>0</v>
      </c>
      <c r="W1422" s="92">
        <f t="shared" si="136"/>
        <v>0</v>
      </c>
      <c r="Y1422" s="210"/>
    </row>
    <row r="1423" spans="1:25" ht="14.4" customHeight="1" thickBot="1" x14ac:dyDescent="0.3">
      <c r="A1423" s="149"/>
      <c r="J1423" s="130">
        <v>1</v>
      </c>
      <c r="K1423" s="132">
        <f t="shared" si="132"/>
        <v>0</v>
      </c>
      <c r="M1423" s="132">
        <v>1</v>
      </c>
      <c r="N1423" s="132">
        <f t="shared" si="133"/>
        <v>0</v>
      </c>
      <c r="P1423" s="132">
        <v>1</v>
      </c>
      <c r="Q1423" s="132">
        <f t="shared" si="137"/>
        <v>0</v>
      </c>
      <c r="S1423" s="132">
        <v>1</v>
      </c>
      <c r="T1423" s="132">
        <f t="shared" si="134"/>
        <v>0</v>
      </c>
      <c r="V1423" s="126">
        <f t="shared" si="135"/>
        <v>0</v>
      </c>
      <c r="W1423" s="92">
        <f t="shared" si="136"/>
        <v>0</v>
      </c>
      <c r="Y1423" s="210"/>
    </row>
    <row r="1424" spans="1:25" ht="14.4" customHeight="1" thickBot="1" x14ac:dyDescent="0.3">
      <c r="A1424" s="149"/>
      <c r="J1424" s="130">
        <v>1</v>
      </c>
      <c r="K1424" s="132">
        <f t="shared" si="132"/>
        <v>0</v>
      </c>
      <c r="M1424" s="132">
        <v>1</v>
      </c>
      <c r="N1424" s="132">
        <f t="shared" si="133"/>
        <v>0</v>
      </c>
      <c r="P1424" s="132">
        <v>1</v>
      </c>
      <c r="Q1424" s="132">
        <f t="shared" si="137"/>
        <v>0</v>
      </c>
      <c r="S1424" s="132">
        <v>1</v>
      </c>
      <c r="T1424" s="132">
        <f t="shared" si="134"/>
        <v>0</v>
      </c>
      <c r="V1424" s="126">
        <f t="shared" si="135"/>
        <v>0</v>
      </c>
      <c r="W1424" s="92">
        <f t="shared" si="136"/>
        <v>0</v>
      </c>
      <c r="Y1424" s="210"/>
    </row>
    <row r="1425" spans="1:25" ht="14.4" customHeight="1" thickBot="1" x14ac:dyDescent="0.3">
      <c r="A1425" s="149"/>
      <c r="J1425" s="130">
        <v>1</v>
      </c>
      <c r="K1425" s="132">
        <f t="shared" si="132"/>
        <v>0</v>
      </c>
      <c r="M1425" s="132">
        <v>1</v>
      </c>
      <c r="N1425" s="132">
        <f t="shared" si="133"/>
        <v>0</v>
      </c>
      <c r="P1425" s="132">
        <v>1</v>
      </c>
      <c r="Q1425" s="132">
        <f t="shared" si="137"/>
        <v>0</v>
      </c>
      <c r="S1425" s="132">
        <v>1</v>
      </c>
      <c r="T1425" s="132">
        <f t="shared" si="134"/>
        <v>0</v>
      </c>
      <c r="V1425" s="126">
        <f t="shared" si="135"/>
        <v>0</v>
      </c>
      <c r="W1425" s="92">
        <f t="shared" si="136"/>
        <v>0</v>
      </c>
      <c r="Y1425" s="210"/>
    </row>
    <row r="1426" spans="1:25" ht="14.4" customHeight="1" thickBot="1" x14ac:dyDescent="0.3">
      <c r="A1426" s="149"/>
      <c r="J1426" s="130">
        <v>1</v>
      </c>
      <c r="K1426" s="132">
        <f t="shared" si="132"/>
        <v>0</v>
      </c>
      <c r="M1426" s="132">
        <v>1</v>
      </c>
      <c r="N1426" s="132">
        <f t="shared" si="133"/>
        <v>0</v>
      </c>
      <c r="P1426" s="132">
        <v>1</v>
      </c>
      <c r="Q1426" s="132">
        <f t="shared" si="137"/>
        <v>0</v>
      </c>
      <c r="S1426" s="132">
        <v>1</v>
      </c>
      <c r="T1426" s="132">
        <f t="shared" si="134"/>
        <v>0</v>
      </c>
      <c r="V1426" s="126">
        <f t="shared" si="135"/>
        <v>0</v>
      </c>
      <c r="W1426" s="92">
        <f t="shared" si="136"/>
        <v>0</v>
      </c>
      <c r="Y1426" s="210"/>
    </row>
    <row r="1427" spans="1:25" ht="14.4" customHeight="1" thickBot="1" x14ac:dyDescent="0.3">
      <c r="A1427" s="149"/>
      <c r="J1427" s="130">
        <v>1</v>
      </c>
      <c r="K1427" s="132">
        <f t="shared" si="132"/>
        <v>0</v>
      </c>
      <c r="M1427" s="132">
        <v>1</v>
      </c>
      <c r="N1427" s="132">
        <f t="shared" si="133"/>
        <v>0</v>
      </c>
      <c r="P1427" s="132">
        <v>1</v>
      </c>
      <c r="Q1427" s="132">
        <f t="shared" si="137"/>
        <v>0</v>
      </c>
      <c r="S1427" s="132">
        <v>1</v>
      </c>
      <c r="T1427" s="132">
        <f t="shared" si="134"/>
        <v>0</v>
      </c>
      <c r="V1427" s="126">
        <f t="shared" si="135"/>
        <v>0</v>
      </c>
      <c r="W1427" s="92">
        <f t="shared" si="136"/>
        <v>0</v>
      </c>
      <c r="Y1427" s="210"/>
    </row>
    <row r="1428" spans="1:25" ht="14.4" customHeight="1" thickBot="1" x14ac:dyDescent="0.3">
      <c r="A1428" s="149"/>
      <c r="J1428" s="130">
        <v>1</v>
      </c>
      <c r="K1428" s="132">
        <f t="shared" si="132"/>
        <v>0</v>
      </c>
      <c r="M1428" s="132">
        <v>1</v>
      </c>
      <c r="N1428" s="132">
        <f t="shared" si="133"/>
        <v>0</v>
      </c>
      <c r="P1428" s="132">
        <v>1</v>
      </c>
      <c r="Q1428" s="132">
        <f t="shared" si="137"/>
        <v>0</v>
      </c>
      <c r="S1428" s="132">
        <v>1</v>
      </c>
      <c r="T1428" s="132">
        <f t="shared" si="134"/>
        <v>0</v>
      </c>
      <c r="V1428" s="126">
        <f t="shared" si="135"/>
        <v>0</v>
      </c>
      <c r="W1428" s="92">
        <f t="shared" si="136"/>
        <v>0</v>
      </c>
      <c r="Y1428" s="210"/>
    </row>
    <row r="1429" spans="1:25" ht="14.4" customHeight="1" thickBot="1" x14ac:dyDescent="0.3">
      <c r="A1429" s="149"/>
      <c r="J1429" s="130">
        <v>1</v>
      </c>
      <c r="K1429" s="132">
        <f t="shared" si="132"/>
        <v>0</v>
      </c>
      <c r="M1429" s="132">
        <v>1</v>
      </c>
      <c r="N1429" s="132">
        <f t="shared" si="133"/>
        <v>0</v>
      </c>
      <c r="P1429" s="132">
        <v>1</v>
      </c>
      <c r="Q1429" s="132">
        <f t="shared" si="137"/>
        <v>0</v>
      </c>
      <c r="S1429" s="132">
        <v>1</v>
      </c>
      <c r="T1429" s="132">
        <f t="shared" si="134"/>
        <v>0</v>
      </c>
      <c r="V1429" s="126">
        <f t="shared" si="135"/>
        <v>0</v>
      </c>
      <c r="W1429" s="92">
        <f t="shared" si="136"/>
        <v>0</v>
      </c>
      <c r="Y1429" s="210"/>
    </row>
    <row r="1430" spans="1:25" ht="14.4" customHeight="1" thickBot="1" x14ac:dyDescent="0.3">
      <c r="A1430" s="149"/>
      <c r="J1430" s="130">
        <v>1</v>
      </c>
      <c r="K1430" s="132">
        <f t="shared" si="132"/>
        <v>0</v>
      </c>
      <c r="M1430" s="132">
        <v>1</v>
      </c>
      <c r="N1430" s="132">
        <f t="shared" si="133"/>
        <v>0</v>
      </c>
      <c r="P1430" s="132">
        <v>1</v>
      </c>
      <c r="Q1430" s="132">
        <f t="shared" si="137"/>
        <v>0</v>
      </c>
      <c r="S1430" s="132">
        <v>1</v>
      </c>
      <c r="T1430" s="132">
        <f t="shared" si="134"/>
        <v>0</v>
      </c>
      <c r="V1430" s="126">
        <f t="shared" si="135"/>
        <v>0</v>
      </c>
      <c r="W1430" s="92">
        <f t="shared" si="136"/>
        <v>0</v>
      </c>
      <c r="Y1430" s="210"/>
    </row>
    <row r="1431" spans="1:25" ht="14.4" customHeight="1" thickBot="1" x14ac:dyDescent="0.3">
      <c r="A1431" s="149"/>
      <c r="J1431" s="130">
        <v>1</v>
      </c>
      <c r="K1431" s="132">
        <f t="shared" si="132"/>
        <v>0</v>
      </c>
      <c r="M1431" s="132">
        <v>1</v>
      </c>
      <c r="N1431" s="132">
        <f t="shared" si="133"/>
        <v>0</v>
      </c>
      <c r="P1431" s="132">
        <v>1</v>
      </c>
      <c r="Q1431" s="132">
        <f t="shared" si="137"/>
        <v>0</v>
      </c>
      <c r="S1431" s="132">
        <v>1</v>
      </c>
      <c r="T1431" s="132">
        <f t="shared" si="134"/>
        <v>0</v>
      </c>
      <c r="V1431" s="126">
        <f t="shared" si="135"/>
        <v>0</v>
      </c>
      <c r="W1431" s="92">
        <f t="shared" si="136"/>
        <v>0</v>
      </c>
      <c r="Y1431" s="210"/>
    </row>
    <row r="1432" spans="1:25" ht="14.4" customHeight="1" thickBot="1" x14ac:dyDescent="0.3">
      <c r="A1432" s="149"/>
      <c r="J1432" s="130">
        <v>1</v>
      </c>
      <c r="K1432" s="132">
        <f t="shared" si="132"/>
        <v>0</v>
      </c>
      <c r="M1432" s="132">
        <v>1</v>
      </c>
      <c r="N1432" s="132">
        <f t="shared" si="133"/>
        <v>0</v>
      </c>
      <c r="P1432" s="132">
        <v>1</v>
      </c>
      <c r="Q1432" s="132">
        <f t="shared" si="137"/>
        <v>0</v>
      </c>
      <c r="S1432" s="132">
        <v>1</v>
      </c>
      <c r="T1432" s="132">
        <f t="shared" si="134"/>
        <v>0</v>
      </c>
      <c r="V1432" s="126">
        <f t="shared" si="135"/>
        <v>0</v>
      </c>
      <c r="W1432" s="92">
        <f t="shared" si="136"/>
        <v>0</v>
      </c>
      <c r="Y1432" s="210"/>
    </row>
    <row r="1433" spans="1:25" ht="14.4" customHeight="1" thickBot="1" x14ac:dyDescent="0.3">
      <c r="A1433" s="149"/>
      <c r="J1433" s="130">
        <v>1</v>
      </c>
      <c r="K1433" s="132">
        <f t="shared" si="132"/>
        <v>0</v>
      </c>
      <c r="M1433" s="132">
        <v>1</v>
      </c>
      <c r="N1433" s="132">
        <f t="shared" si="133"/>
        <v>0</v>
      </c>
      <c r="P1433" s="132">
        <v>1</v>
      </c>
      <c r="Q1433" s="132">
        <f t="shared" si="137"/>
        <v>0</v>
      </c>
      <c r="S1433" s="132">
        <v>1</v>
      </c>
      <c r="T1433" s="132">
        <f t="shared" si="134"/>
        <v>0</v>
      </c>
      <c r="V1433" s="126">
        <f t="shared" si="135"/>
        <v>0</v>
      </c>
      <c r="W1433" s="92">
        <f t="shared" si="136"/>
        <v>0</v>
      </c>
      <c r="Y1433" s="210"/>
    </row>
    <row r="1434" spans="1:25" ht="14.4" customHeight="1" thickBot="1" x14ac:dyDescent="0.3">
      <c r="A1434" s="149"/>
      <c r="J1434" s="130">
        <v>1</v>
      </c>
      <c r="K1434" s="132">
        <f t="shared" si="132"/>
        <v>0</v>
      </c>
      <c r="M1434" s="132">
        <v>1</v>
      </c>
      <c r="N1434" s="132">
        <f t="shared" si="133"/>
        <v>0</v>
      </c>
      <c r="P1434" s="132">
        <v>1</v>
      </c>
      <c r="Q1434" s="132">
        <f t="shared" si="137"/>
        <v>0</v>
      </c>
      <c r="S1434" s="132">
        <v>1</v>
      </c>
      <c r="T1434" s="132">
        <f t="shared" si="134"/>
        <v>0</v>
      </c>
      <c r="V1434" s="126">
        <f t="shared" si="135"/>
        <v>0</v>
      </c>
      <c r="W1434" s="92">
        <f t="shared" si="136"/>
        <v>0</v>
      </c>
      <c r="Y1434" s="210"/>
    </row>
    <row r="1435" spans="1:25" ht="14.4" customHeight="1" thickBot="1" x14ac:dyDescent="0.3">
      <c r="A1435" s="149"/>
      <c r="J1435" s="130">
        <v>1</v>
      </c>
      <c r="K1435" s="132">
        <f t="shared" si="132"/>
        <v>0</v>
      </c>
      <c r="M1435" s="132">
        <v>1</v>
      </c>
      <c r="N1435" s="132">
        <f t="shared" si="133"/>
        <v>0</v>
      </c>
      <c r="P1435" s="132">
        <v>1</v>
      </c>
      <c r="Q1435" s="132">
        <f t="shared" si="137"/>
        <v>0</v>
      </c>
      <c r="S1435" s="132">
        <v>1</v>
      </c>
      <c r="T1435" s="132">
        <f t="shared" si="134"/>
        <v>0</v>
      </c>
      <c r="V1435" s="126">
        <f t="shared" si="135"/>
        <v>0</v>
      </c>
      <c r="W1435" s="92">
        <f t="shared" si="136"/>
        <v>0</v>
      </c>
      <c r="Y1435" s="210"/>
    </row>
    <row r="1436" spans="1:25" ht="14.4" customHeight="1" thickBot="1" x14ac:dyDescent="0.3">
      <c r="A1436" s="149"/>
      <c r="J1436" s="130">
        <v>1</v>
      </c>
      <c r="K1436" s="132">
        <f t="shared" si="132"/>
        <v>0</v>
      </c>
      <c r="M1436" s="132">
        <v>1</v>
      </c>
      <c r="N1436" s="132">
        <f t="shared" si="133"/>
        <v>0</v>
      </c>
      <c r="P1436" s="132">
        <v>1</v>
      </c>
      <c r="Q1436" s="132">
        <f t="shared" si="137"/>
        <v>0</v>
      </c>
      <c r="S1436" s="132">
        <v>1</v>
      </c>
      <c r="T1436" s="132">
        <f t="shared" si="134"/>
        <v>0</v>
      </c>
      <c r="V1436" s="126">
        <f t="shared" si="135"/>
        <v>0</v>
      </c>
      <c r="W1436" s="92">
        <f t="shared" si="136"/>
        <v>0</v>
      </c>
      <c r="Y1436" s="210"/>
    </row>
    <row r="1437" spans="1:25" ht="14.4" customHeight="1" thickBot="1" x14ac:dyDescent="0.3">
      <c r="A1437" s="149"/>
      <c r="J1437" s="130">
        <v>1</v>
      </c>
      <c r="K1437" s="132">
        <f t="shared" si="132"/>
        <v>0</v>
      </c>
      <c r="M1437" s="132">
        <v>1</v>
      </c>
      <c r="N1437" s="132">
        <f t="shared" si="133"/>
        <v>0</v>
      </c>
      <c r="P1437" s="132">
        <v>1</v>
      </c>
      <c r="Q1437" s="132">
        <f t="shared" si="137"/>
        <v>0</v>
      </c>
      <c r="S1437" s="132">
        <v>1</v>
      </c>
      <c r="T1437" s="132">
        <f t="shared" si="134"/>
        <v>0</v>
      </c>
      <c r="V1437" s="126">
        <f t="shared" si="135"/>
        <v>0</v>
      </c>
      <c r="W1437" s="92">
        <f t="shared" si="136"/>
        <v>0</v>
      </c>
      <c r="Y1437" s="210"/>
    </row>
    <row r="1438" spans="1:25" ht="14.4" customHeight="1" thickBot="1" x14ac:dyDescent="0.3">
      <c r="A1438" s="149"/>
      <c r="J1438" s="130">
        <v>1</v>
      </c>
      <c r="K1438" s="132">
        <f t="shared" si="132"/>
        <v>0</v>
      </c>
      <c r="M1438" s="132">
        <v>1</v>
      </c>
      <c r="N1438" s="132">
        <f t="shared" si="133"/>
        <v>0</v>
      </c>
      <c r="P1438" s="132">
        <v>1</v>
      </c>
      <c r="Q1438" s="132">
        <f t="shared" si="137"/>
        <v>0</v>
      </c>
      <c r="S1438" s="132">
        <v>1</v>
      </c>
      <c r="T1438" s="132">
        <f t="shared" si="134"/>
        <v>0</v>
      </c>
      <c r="V1438" s="126">
        <f t="shared" si="135"/>
        <v>0</v>
      </c>
      <c r="W1438" s="92">
        <f t="shared" si="136"/>
        <v>0</v>
      </c>
      <c r="Y1438" s="210"/>
    </row>
    <row r="1439" spans="1:25" ht="14.4" customHeight="1" thickBot="1" x14ac:dyDescent="0.3">
      <c r="A1439" s="149"/>
      <c r="J1439" s="130">
        <v>1</v>
      </c>
      <c r="K1439" s="132">
        <f t="shared" si="132"/>
        <v>0</v>
      </c>
      <c r="M1439" s="132">
        <v>1</v>
      </c>
      <c r="N1439" s="132">
        <f t="shared" si="133"/>
        <v>0</v>
      </c>
      <c r="P1439" s="132">
        <v>1</v>
      </c>
      <c r="Q1439" s="132">
        <f t="shared" si="137"/>
        <v>0</v>
      </c>
      <c r="S1439" s="132">
        <v>1</v>
      </c>
      <c r="T1439" s="132">
        <f t="shared" si="134"/>
        <v>0</v>
      </c>
      <c r="V1439" s="126">
        <f t="shared" si="135"/>
        <v>0</v>
      </c>
      <c r="W1439" s="92">
        <f t="shared" si="136"/>
        <v>0</v>
      </c>
      <c r="Y1439" s="210"/>
    </row>
    <row r="1440" spans="1:25" ht="14.4" customHeight="1" thickBot="1" x14ac:dyDescent="0.3">
      <c r="A1440" s="149"/>
      <c r="J1440" s="130">
        <v>1</v>
      </c>
      <c r="K1440" s="132">
        <f t="shared" si="132"/>
        <v>0</v>
      </c>
      <c r="M1440" s="132">
        <v>1</v>
      </c>
      <c r="N1440" s="132">
        <f t="shared" si="133"/>
        <v>0</v>
      </c>
      <c r="P1440" s="132">
        <v>1</v>
      </c>
      <c r="Q1440" s="132">
        <f t="shared" si="137"/>
        <v>0</v>
      </c>
      <c r="S1440" s="132">
        <v>1</v>
      </c>
      <c r="T1440" s="132">
        <f t="shared" si="134"/>
        <v>0</v>
      </c>
      <c r="V1440" s="126">
        <f t="shared" si="135"/>
        <v>0</v>
      </c>
      <c r="W1440" s="92">
        <f t="shared" si="136"/>
        <v>0</v>
      </c>
      <c r="Y1440" s="210"/>
    </row>
    <row r="1441" spans="1:25" ht="14.4" customHeight="1" thickBot="1" x14ac:dyDescent="0.3">
      <c r="A1441" s="149"/>
      <c r="J1441" s="130">
        <v>1</v>
      </c>
      <c r="K1441" s="132">
        <f t="shared" si="132"/>
        <v>0</v>
      </c>
      <c r="M1441" s="132">
        <v>1</v>
      </c>
      <c r="N1441" s="132">
        <f t="shared" si="133"/>
        <v>0</v>
      </c>
      <c r="P1441" s="132">
        <v>1</v>
      </c>
      <c r="Q1441" s="132">
        <f t="shared" si="137"/>
        <v>0</v>
      </c>
      <c r="S1441" s="132">
        <v>1</v>
      </c>
      <c r="T1441" s="132">
        <f t="shared" si="134"/>
        <v>0</v>
      </c>
      <c r="V1441" s="126">
        <f t="shared" si="135"/>
        <v>0</v>
      </c>
      <c r="W1441" s="92">
        <f t="shared" si="136"/>
        <v>0</v>
      </c>
      <c r="Y1441" s="210"/>
    </row>
    <row r="1442" spans="1:25" ht="14.4" customHeight="1" thickBot="1" x14ac:dyDescent="0.3">
      <c r="A1442" s="149"/>
      <c r="J1442" s="130">
        <v>1</v>
      </c>
      <c r="K1442" s="132">
        <f t="shared" si="132"/>
        <v>0</v>
      </c>
      <c r="M1442" s="132">
        <v>1</v>
      </c>
      <c r="N1442" s="132">
        <f t="shared" si="133"/>
        <v>0</v>
      </c>
      <c r="P1442" s="132">
        <v>1</v>
      </c>
      <c r="Q1442" s="132">
        <f t="shared" si="137"/>
        <v>0</v>
      </c>
      <c r="S1442" s="132">
        <v>1</v>
      </c>
      <c r="T1442" s="132">
        <f t="shared" si="134"/>
        <v>0</v>
      </c>
      <c r="V1442" s="126">
        <f t="shared" si="135"/>
        <v>0</v>
      </c>
      <c r="W1442" s="92">
        <f t="shared" si="136"/>
        <v>0</v>
      </c>
      <c r="Y1442" s="210"/>
    </row>
    <row r="1443" spans="1:25" ht="14.4" customHeight="1" thickBot="1" x14ac:dyDescent="0.3">
      <c r="A1443" s="149"/>
      <c r="J1443" s="130">
        <v>1</v>
      </c>
      <c r="K1443" s="132">
        <f t="shared" si="132"/>
        <v>0</v>
      </c>
      <c r="M1443" s="132">
        <v>1</v>
      </c>
      <c r="N1443" s="132">
        <f t="shared" si="133"/>
        <v>0</v>
      </c>
      <c r="P1443" s="132">
        <v>1</v>
      </c>
      <c r="Q1443" s="132">
        <f t="shared" si="137"/>
        <v>0</v>
      </c>
      <c r="S1443" s="132">
        <v>1</v>
      </c>
      <c r="T1443" s="132">
        <f t="shared" si="134"/>
        <v>0</v>
      </c>
      <c r="V1443" s="126">
        <f t="shared" si="135"/>
        <v>0</v>
      </c>
      <c r="W1443" s="92">
        <f t="shared" si="136"/>
        <v>0</v>
      </c>
      <c r="Y1443" s="210"/>
    </row>
    <row r="1444" spans="1:25" ht="14.4" customHeight="1" thickBot="1" x14ac:dyDescent="0.3">
      <c r="A1444" s="149"/>
      <c r="J1444" s="130">
        <v>1</v>
      </c>
      <c r="K1444" s="132">
        <f t="shared" si="132"/>
        <v>0</v>
      </c>
      <c r="M1444" s="132">
        <v>1</v>
      </c>
      <c r="N1444" s="132">
        <f t="shared" si="133"/>
        <v>0</v>
      </c>
      <c r="P1444" s="132">
        <v>1</v>
      </c>
      <c r="Q1444" s="132">
        <f t="shared" si="137"/>
        <v>0</v>
      </c>
      <c r="S1444" s="132">
        <v>1</v>
      </c>
      <c r="T1444" s="132">
        <f t="shared" si="134"/>
        <v>0</v>
      </c>
      <c r="V1444" s="126">
        <f t="shared" si="135"/>
        <v>0</v>
      </c>
      <c r="W1444" s="92">
        <f t="shared" si="136"/>
        <v>0</v>
      </c>
      <c r="Y1444" s="210"/>
    </row>
    <row r="1445" spans="1:25" ht="14.4" customHeight="1" thickBot="1" x14ac:dyDescent="0.3">
      <c r="A1445" s="149"/>
      <c r="J1445" s="130">
        <v>1</v>
      </c>
      <c r="K1445" s="132">
        <f t="shared" si="132"/>
        <v>0</v>
      </c>
      <c r="M1445" s="132">
        <v>1</v>
      </c>
      <c r="N1445" s="132">
        <f t="shared" si="133"/>
        <v>0</v>
      </c>
      <c r="P1445" s="132">
        <v>1</v>
      </c>
      <c r="Q1445" s="132">
        <f t="shared" si="137"/>
        <v>0</v>
      </c>
      <c r="S1445" s="132">
        <v>1</v>
      </c>
      <c r="T1445" s="132">
        <f t="shared" si="134"/>
        <v>0</v>
      </c>
      <c r="V1445" s="126">
        <f t="shared" si="135"/>
        <v>0</v>
      </c>
      <c r="W1445" s="92">
        <f t="shared" si="136"/>
        <v>0</v>
      </c>
      <c r="Y1445" s="210"/>
    </row>
    <row r="1446" spans="1:25" ht="14.4" customHeight="1" thickBot="1" x14ac:dyDescent="0.3">
      <c r="A1446" s="149"/>
      <c r="J1446" s="130">
        <v>1</v>
      </c>
      <c r="K1446" s="132">
        <f t="shared" si="132"/>
        <v>0</v>
      </c>
      <c r="M1446" s="132">
        <v>1</v>
      </c>
      <c r="N1446" s="132">
        <f t="shared" si="133"/>
        <v>0</v>
      </c>
      <c r="P1446" s="132">
        <v>1</v>
      </c>
      <c r="Q1446" s="132">
        <f t="shared" si="137"/>
        <v>0</v>
      </c>
      <c r="S1446" s="132">
        <v>1</v>
      </c>
      <c r="T1446" s="132">
        <f t="shared" si="134"/>
        <v>0</v>
      </c>
      <c r="V1446" s="126">
        <f t="shared" si="135"/>
        <v>0</v>
      </c>
      <c r="W1446" s="92">
        <f t="shared" si="136"/>
        <v>0</v>
      </c>
      <c r="Y1446" s="210"/>
    </row>
    <row r="1447" spans="1:25" ht="14.4" customHeight="1" thickBot="1" x14ac:dyDescent="0.3">
      <c r="A1447" s="149"/>
      <c r="J1447" s="130">
        <v>1</v>
      </c>
      <c r="K1447" s="132">
        <f t="shared" si="132"/>
        <v>0</v>
      </c>
      <c r="M1447" s="132">
        <v>1</v>
      </c>
      <c r="N1447" s="132">
        <f t="shared" si="133"/>
        <v>0</v>
      </c>
      <c r="P1447" s="132">
        <v>1</v>
      </c>
      <c r="Q1447" s="132">
        <f t="shared" si="137"/>
        <v>0</v>
      </c>
      <c r="S1447" s="132">
        <v>1</v>
      </c>
      <c r="T1447" s="132">
        <f t="shared" si="134"/>
        <v>0</v>
      </c>
      <c r="V1447" s="126">
        <f t="shared" si="135"/>
        <v>0</v>
      </c>
      <c r="W1447" s="92">
        <f t="shared" si="136"/>
        <v>0</v>
      </c>
      <c r="Y1447" s="210"/>
    </row>
    <row r="1448" spans="1:25" ht="14.4" customHeight="1" thickBot="1" x14ac:dyDescent="0.3">
      <c r="A1448" s="149"/>
      <c r="J1448" s="130">
        <v>1</v>
      </c>
      <c r="K1448" s="132">
        <f t="shared" si="132"/>
        <v>0</v>
      </c>
      <c r="M1448" s="132">
        <v>1</v>
      </c>
      <c r="N1448" s="132">
        <f t="shared" si="133"/>
        <v>0</v>
      </c>
      <c r="P1448" s="132">
        <v>1</v>
      </c>
      <c r="Q1448" s="132">
        <f t="shared" si="137"/>
        <v>0</v>
      </c>
      <c r="S1448" s="132">
        <v>1</v>
      </c>
      <c r="T1448" s="132">
        <f t="shared" si="134"/>
        <v>0</v>
      </c>
      <c r="V1448" s="126">
        <f t="shared" si="135"/>
        <v>0</v>
      </c>
      <c r="W1448" s="92">
        <f t="shared" si="136"/>
        <v>0</v>
      </c>
      <c r="Y1448" s="210"/>
    </row>
    <row r="1449" spans="1:25" ht="14.4" customHeight="1" thickBot="1" x14ac:dyDescent="0.3">
      <c r="A1449" s="149"/>
      <c r="J1449" s="130">
        <v>1</v>
      </c>
      <c r="K1449" s="132">
        <f t="shared" si="132"/>
        <v>0</v>
      </c>
      <c r="M1449" s="132">
        <v>1</v>
      </c>
      <c r="N1449" s="132">
        <f t="shared" si="133"/>
        <v>0</v>
      </c>
      <c r="P1449" s="132">
        <v>1</v>
      </c>
      <c r="Q1449" s="132">
        <f t="shared" si="137"/>
        <v>0</v>
      </c>
      <c r="S1449" s="132">
        <v>1</v>
      </c>
      <c r="T1449" s="132">
        <f t="shared" si="134"/>
        <v>0</v>
      </c>
      <c r="V1449" s="126">
        <f t="shared" si="135"/>
        <v>0</v>
      </c>
      <c r="W1449" s="92">
        <f t="shared" si="136"/>
        <v>0</v>
      </c>
      <c r="Y1449" s="210"/>
    </row>
    <row r="1450" spans="1:25" ht="14.4" customHeight="1" thickBot="1" x14ac:dyDescent="0.3">
      <c r="A1450" s="149"/>
      <c r="J1450" s="130">
        <v>1</v>
      </c>
      <c r="K1450" s="132">
        <f t="shared" si="132"/>
        <v>0</v>
      </c>
      <c r="M1450" s="132">
        <v>1</v>
      </c>
      <c r="N1450" s="132">
        <f t="shared" si="133"/>
        <v>0</v>
      </c>
      <c r="P1450" s="132">
        <v>1</v>
      </c>
      <c r="Q1450" s="132">
        <f t="shared" si="137"/>
        <v>0</v>
      </c>
      <c r="S1450" s="132">
        <v>1</v>
      </c>
      <c r="T1450" s="132">
        <f t="shared" si="134"/>
        <v>0</v>
      </c>
      <c r="V1450" s="126">
        <f t="shared" si="135"/>
        <v>0</v>
      </c>
      <c r="W1450" s="92">
        <f t="shared" si="136"/>
        <v>0</v>
      </c>
      <c r="Y1450" s="210"/>
    </row>
    <row r="1451" spans="1:25" ht="14.4" customHeight="1" thickBot="1" x14ac:dyDescent="0.3">
      <c r="A1451" s="149"/>
      <c r="J1451" s="130">
        <v>1</v>
      </c>
      <c r="K1451" s="132">
        <f t="shared" si="132"/>
        <v>0</v>
      </c>
      <c r="M1451" s="132">
        <v>1</v>
      </c>
      <c r="N1451" s="132">
        <f t="shared" si="133"/>
        <v>0</v>
      </c>
      <c r="P1451" s="132">
        <v>1</v>
      </c>
      <c r="Q1451" s="132">
        <f t="shared" si="137"/>
        <v>0</v>
      </c>
      <c r="S1451" s="132">
        <v>1</v>
      </c>
      <c r="T1451" s="132">
        <f t="shared" si="134"/>
        <v>0</v>
      </c>
      <c r="V1451" s="126">
        <f t="shared" si="135"/>
        <v>0</v>
      </c>
      <c r="W1451" s="92">
        <f t="shared" si="136"/>
        <v>0</v>
      </c>
      <c r="Y1451" s="210"/>
    </row>
    <row r="1452" spans="1:25" ht="14.4" customHeight="1" thickBot="1" x14ac:dyDescent="0.3">
      <c r="A1452" s="149"/>
      <c r="J1452" s="130">
        <v>1</v>
      </c>
      <c r="K1452" s="132">
        <f t="shared" si="132"/>
        <v>0</v>
      </c>
      <c r="M1452" s="132">
        <v>1</v>
      </c>
      <c r="N1452" s="132">
        <f t="shared" si="133"/>
        <v>0</v>
      </c>
      <c r="P1452" s="132">
        <v>1</v>
      </c>
      <c r="Q1452" s="132">
        <f t="shared" si="137"/>
        <v>0</v>
      </c>
      <c r="S1452" s="132">
        <v>1</v>
      </c>
      <c r="T1452" s="132">
        <f t="shared" si="134"/>
        <v>0</v>
      </c>
      <c r="V1452" s="126">
        <f t="shared" si="135"/>
        <v>0</v>
      </c>
      <c r="W1452" s="92">
        <f t="shared" si="136"/>
        <v>0</v>
      </c>
      <c r="Y1452" s="210"/>
    </row>
    <row r="1453" spans="1:25" ht="14.4" customHeight="1" thickBot="1" x14ac:dyDescent="0.3">
      <c r="A1453" s="149"/>
      <c r="J1453" s="130">
        <v>1</v>
      </c>
      <c r="K1453" s="132">
        <f t="shared" si="132"/>
        <v>0</v>
      </c>
      <c r="M1453" s="132">
        <v>1</v>
      </c>
      <c r="N1453" s="132">
        <f t="shared" si="133"/>
        <v>0</v>
      </c>
      <c r="P1453" s="132">
        <v>1</v>
      </c>
      <c r="Q1453" s="132">
        <f t="shared" si="137"/>
        <v>0</v>
      </c>
      <c r="S1453" s="132">
        <v>1</v>
      </c>
      <c r="T1453" s="132">
        <f t="shared" si="134"/>
        <v>0</v>
      </c>
      <c r="V1453" s="126">
        <f t="shared" si="135"/>
        <v>0</v>
      </c>
      <c r="W1453" s="92">
        <f t="shared" si="136"/>
        <v>0</v>
      </c>
      <c r="Y1453" s="210"/>
    </row>
    <row r="1454" spans="1:25" ht="14.4" customHeight="1" thickBot="1" x14ac:dyDescent="0.3">
      <c r="A1454" s="149"/>
      <c r="J1454" s="130">
        <v>1</v>
      </c>
      <c r="K1454" s="132">
        <f t="shared" si="132"/>
        <v>0</v>
      </c>
      <c r="M1454" s="132">
        <v>1</v>
      </c>
      <c r="N1454" s="132">
        <f t="shared" si="133"/>
        <v>0</v>
      </c>
      <c r="P1454" s="132">
        <v>1</v>
      </c>
      <c r="Q1454" s="132">
        <f t="shared" si="137"/>
        <v>0</v>
      </c>
      <c r="S1454" s="132">
        <v>1</v>
      </c>
      <c r="T1454" s="132">
        <f t="shared" si="134"/>
        <v>0</v>
      </c>
      <c r="V1454" s="126">
        <f t="shared" si="135"/>
        <v>0</v>
      </c>
      <c r="W1454" s="92">
        <f t="shared" si="136"/>
        <v>0</v>
      </c>
      <c r="Y1454" s="210"/>
    </row>
    <row r="1455" spans="1:25" ht="14.4" customHeight="1" thickBot="1" x14ac:dyDescent="0.3">
      <c r="A1455" s="149"/>
      <c r="J1455" s="130">
        <v>1</v>
      </c>
      <c r="K1455" s="132">
        <f t="shared" si="132"/>
        <v>0</v>
      </c>
      <c r="M1455" s="132">
        <v>1</v>
      </c>
      <c r="N1455" s="132">
        <f t="shared" si="133"/>
        <v>0</v>
      </c>
      <c r="P1455" s="132">
        <v>1</v>
      </c>
      <c r="Q1455" s="132">
        <f t="shared" si="137"/>
        <v>0</v>
      </c>
      <c r="S1455" s="132">
        <v>1</v>
      </c>
      <c r="T1455" s="132">
        <f t="shared" si="134"/>
        <v>0</v>
      </c>
      <c r="V1455" s="126">
        <f t="shared" si="135"/>
        <v>0</v>
      </c>
      <c r="W1455" s="92">
        <f t="shared" si="136"/>
        <v>0</v>
      </c>
      <c r="Y1455" s="210"/>
    </row>
    <row r="1456" spans="1:25" ht="14.4" customHeight="1" thickBot="1" x14ac:dyDescent="0.3">
      <c r="A1456" s="149"/>
      <c r="J1456" s="130">
        <v>1</v>
      </c>
      <c r="K1456" s="132">
        <f t="shared" si="132"/>
        <v>0</v>
      </c>
      <c r="M1456" s="132">
        <v>1</v>
      </c>
      <c r="N1456" s="132">
        <f t="shared" si="133"/>
        <v>0</v>
      </c>
      <c r="P1456" s="132">
        <v>1</v>
      </c>
      <c r="Q1456" s="132">
        <f t="shared" si="137"/>
        <v>0</v>
      </c>
      <c r="S1456" s="132">
        <v>1</v>
      </c>
      <c r="T1456" s="132">
        <f t="shared" si="134"/>
        <v>0</v>
      </c>
      <c r="V1456" s="126">
        <f t="shared" si="135"/>
        <v>0</v>
      </c>
      <c r="W1456" s="92">
        <f t="shared" si="136"/>
        <v>0</v>
      </c>
      <c r="Y1456" s="210"/>
    </row>
    <row r="1457" spans="1:25" ht="14.4" customHeight="1" thickBot="1" x14ac:dyDescent="0.3">
      <c r="A1457" s="149"/>
      <c r="J1457" s="130">
        <v>1</v>
      </c>
      <c r="K1457" s="132">
        <f t="shared" si="132"/>
        <v>0</v>
      </c>
      <c r="M1457" s="132">
        <v>1</v>
      </c>
      <c r="N1457" s="132">
        <f t="shared" si="133"/>
        <v>0</v>
      </c>
      <c r="P1457" s="132">
        <v>1</v>
      </c>
      <c r="Q1457" s="132">
        <f t="shared" si="137"/>
        <v>0</v>
      </c>
      <c r="S1457" s="132">
        <v>1</v>
      </c>
      <c r="T1457" s="132">
        <f t="shared" si="134"/>
        <v>0</v>
      </c>
      <c r="V1457" s="126">
        <f t="shared" si="135"/>
        <v>0</v>
      </c>
      <c r="W1457" s="92">
        <f t="shared" si="136"/>
        <v>0</v>
      </c>
      <c r="Y1457" s="210"/>
    </row>
    <row r="1458" spans="1:25" ht="14.4" customHeight="1" thickBot="1" x14ac:dyDescent="0.3">
      <c r="A1458" s="149"/>
      <c r="J1458" s="130">
        <v>1</v>
      </c>
      <c r="K1458" s="132">
        <f t="shared" si="132"/>
        <v>0</v>
      </c>
      <c r="M1458" s="132">
        <v>1</v>
      </c>
      <c r="N1458" s="132">
        <f t="shared" si="133"/>
        <v>0</v>
      </c>
      <c r="P1458" s="132">
        <v>1</v>
      </c>
      <c r="Q1458" s="132">
        <f t="shared" si="137"/>
        <v>0</v>
      </c>
      <c r="S1458" s="132">
        <v>1</v>
      </c>
      <c r="T1458" s="132">
        <f t="shared" si="134"/>
        <v>0</v>
      </c>
      <c r="V1458" s="126">
        <f t="shared" si="135"/>
        <v>0</v>
      </c>
      <c r="W1458" s="92">
        <f t="shared" si="136"/>
        <v>0</v>
      </c>
      <c r="Y1458" s="210"/>
    </row>
    <row r="1459" spans="1:25" ht="14.4" customHeight="1" thickBot="1" x14ac:dyDescent="0.3">
      <c r="A1459" s="149"/>
      <c r="J1459" s="130">
        <v>1</v>
      </c>
      <c r="K1459" s="132">
        <f t="shared" si="132"/>
        <v>0</v>
      </c>
      <c r="M1459" s="132">
        <v>1</v>
      </c>
      <c r="N1459" s="132">
        <f t="shared" si="133"/>
        <v>0</v>
      </c>
      <c r="P1459" s="132">
        <v>1</v>
      </c>
      <c r="Q1459" s="132">
        <f t="shared" si="137"/>
        <v>0</v>
      </c>
      <c r="S1459" s="132">
        <v>1</v>
      </c>
      <c r="T1459" s="132">
        <f t="shared" si="134"/>
        <v>0</v>
      </c>
      <c r="V1459" s="126">
        <f t="shared" si="135"/>
        <v>0</v>
      </c>
      <c r="W1459" s="92">
        <f t="shared" si="136"/>
        <v>0</v>
      </c>
      <c r="Y1459" s="210"/>
    </row>
    <row r="1460" spans="1:25" ht="14.4" customHeight="1" thickBot="1" x14ac:dyDescent="0.3">
      <c r="A1460" s="149"/>
      <c r="J1460" s="130">
        <v>1</v>
      </c>
      <c r="K1460" s="132">
        <f t="shared" si="132"/>
        <v>0</v>
      </c>
      <c r="M1460" s="132">
        <v>1</v>
      </c>
      <c r="N1460" s="132">
        <f t="shared" si="133"/>
        <v>0</v>
      </c>
      <c r="P1460" s="132">
        <v>1</v>
      </c>
      <c r="Q1460" s="132">
        <f t="shared" si="137"/>
        <v>0</v>
      </c>
      <c r="S1460" s="132">
        <v>1</v>
      </c>
      <c r="T1460" s="132">
        <f t="shared" si="134"/>
        <v>0</v>
      </c>
      <c r="V1460" s="126">
        <f t="shared" si="135"/>
        <v>0</v>
      </c>
      <c r="W1460" s="92">
        <f t="shared" si="136"/>
        <v>0</v>
      </c>
      <c r="Y1460" s="210"/>
    </row>
    <row r="1461" spans="1:25" ht="14.4" customHeight="1" thickBot="1" x14ac:dyDescent="0.3">
      <c r="A1461" s="149"/>
      <c r="J1461" s="130">
        <v>1</v>
      </c>
      <c r="K1461" s="132">
        <f t="shared" si="132"/>
        <v>0</v>
      </c>
      <c r="M1461" s="132">
        <v>1</v>
      </c>
      <c r="N1461" s="132">
        <f t="shared" si="133"/>
        <v>0</v>
      </c>
      <c r="P1461" s="132">
        <v>1</v>
      </c>
      <c r="Q1461" s="132">
        <f t="shared" si="137"/>
        <v>0</v>
      </c>
      <c r="S1461" s="132">
        <v>1</v>
      </c>
      <c r="T1461" s="132">
        <f t="shared" si="134"/>
        <v>0</v>
      </c>
      <c r="V1461" s="126">
        <f t="shared" si="135"/>
        <v>0</v>
      </c>
      <c r="W1461" s="92">
        <f t="shared" si="136"/>
        <v>0</v>
      </c>
      <c r="Y1461" s="210"/>
    </row>
    <row r="1462" spans="1:25" ht="14.4" customHeight="1" thickBot="1" x14ac:dyDescent="0.3">
      <c r="A1462" s="149"/>
      <c r="J1462" s="130">
        <v>1</v>
      </c>
      <c r="K1462" s="132">
        <f t="shared" si="132"/>
        <v>0</v>
      </c>
      <c r="M1462" s="132">
        <v>1</v>
      </c>
      <c r="N1462" s="132">
        <f t="shared" si="133"/>
        <v>0</v>
      </c>
      <c r="P1462" s="132">
        <v>1</v>
      </c>
      <c r="Q1462" s="132">
        <f t="shared" si="137"/>
        <v>0</v>
      </c>
      <c r="S1462" s="132">
        <v>1</v>
      </c>
      <c r="T1462" s="132">
        <f t="shared" si="134"/>
        <v>0</v>
      </c>
      <c r="V1462" s="126">
        <f t="shared" si="135"/>
        <v>0</v>
      </c>
      <c r="W1462" s="92">
        <f t="shared" si="136"/>
        <v>0</v>
      </c>
      <c r="Y1462" s="210"/>
    </row>
    <row r="1463" spans="1:25" ht="14.4" customHeight="1" thickBot="1" x14ac:dyDescent="0.3">
      <c r="A1463" s="149"/>
      <c r="J1463" s="130">
        <v>1</v>
      </c>
      <c r="K1463" s="132">
        <f t="shared" si="132"/>
        <v>0</v>
      </c>
      <c r="M1463" s="132">
        <v>1</v>
      </c>
      <c r="N1463" s="132">
        <f t="shared" si="133"/>
        <v>0</v>
      </c>
      <c r="P1463" s="132">
        <v>1</v>
      </c>
      <c r="Q1463" s="132">
        <f t="shared" si="137"/>
        <v>0</v>
      </c>
      <c r="S1463" s="132">
        <v>1</v>
      </c>
      <c r="T1463" s="132">
        <f t="shared" si="134"/>
        <v>0</v>
      </c>
      <c r="V1463" s="126">
        <f t="shared" si="135"/>
        <v>0</v>
      </c>
      <c r="W1463" s="92">
        <f t="shared" si="136"/>
        <v>0</v>
      </c>
      <c r="Y1463" s="210"/>
    </row>
    <row r="1464" spans="1:25" ht="14.4" customHeight="1" thickBot="1" x14ac:dyDescent="0.3">
      <c r="A1464" s="149"/>
      <c r="J1464" s="130">
        <v>1</v>
      </c>
      <c r="K1464" s="132">
        <f t="shared" si="132"/>
        <v>0</v>
      </c>
      <c r="M1464" s="132">
        <v>1</v>
      </c>
      <c r="N1464" s="132">
        <f t="shared" si="133"/>
        <v>0</v>
      </c>
      <c r="P1464" s="132">
        <v>1</v>
      </c>
      <c r="Q1464" s="132">
        <f t="shared" si="137"/>
        <v>0</v>
      </c>
      <c r="S1464" s="132">
        <v>1</v>
      </c>
      <c r="T1464" s="132">
        <f t="shared" si="134"/>
        <v>0</v>
      </c>
      <c r="V1464" s="126">
        <f t="shared" si="135"/>
        <v>0</v>
      </c>
      <c r="W1464" s="92">
        <f t="shared" si="136"/>
        <v>0</v>
      </c>
      <c r="Y1464" s="210"/>
    </row>
    <row r="1465" spans="1:25" ht="14.4" customHeight="1" thickBot="1" x14ac:dyDescent="0.3">
      <c r="A1465" s="149"/>
      <c r="J1465" s="130">
        <v>1</v>
      </c>
      <c r="K1465" s="132">
        <f t="shared" si="132"/>
        <v>0</v>
      </c>
      <c r="M1465" s="132">
        <v>1</v>
      </c>
      <c r="N1465" s="132">
        <f t="shared" si="133"/>
        <v>0</v>
      </c>
      <c r="P1465" s="132">
        <v>1</v>
      </c>
      <c r="Q1465" s="132">
        <f t="shared" si="137"/>
        <v>0</v>
      </c>
      <c r="S1465" s="132">
        <v>1</v>
      </c>
      <c r="T1465" s="132">
        <f t="shared" si="134"/>
        <v>0</v>
      </c>
      <c r="V1465" s="126">
        <f t="shared" si="135"/>
        <v>0</v>
      </c>
      <c r="W1465" s="92">
        <f t="shared" si="136"/>
        <v>0</v>
      </c>
      <c r="Y1465" s="210"/>
    </row>
    <row r="1466" spans="1:25" ht="14.4" customHeight="1" thickBot="1" x14ac:dyDescent="0.3">
      <c r="A1466" s="149"/>
      <c r="J1466" s="130">
        <v>1</v>
      </c>
      <c r="K1466" s="132">
        <f t="shared" si="132"/>
        <v>0</v>
      </c>
      <c r="M1466" s="132">
        <v>1</v>
      </c>
      <c r="N1466" s="132">
        <f t="shared" si="133"/>
        <v>0</v>
      </c>
      <c r="P1466" s="132">
        <v>1</v>
      </c>
      <c r="Q1466" s="132">
        <f t="shared" si="137"/>
        <v>0</v>
      </c>
      <c r="S1466" s="132">
        <v>1</v>
      </c>
      <c r="T1466" s="132">
        <f t="shared" si="134"/>
        <v>0</v>
      </c>
      <c r="V1466" s="126">
        <f t="shared" si="135"/>
        <v>0</v>
      </c>
      <c r="W1466" s="92">
        <f t="shared" si="136"/>
        <v>0</v>
      </c>
      <c r="Y1466" s="210"/>
    </row>
    <row r="1467" spans="1:25" ht="14.4" customHeight="1" thickBot="1" x14ac:dyDescent="0.3">
      <c r="A1467" s="149"/>
      <c r="J1467" s="130">
        <v>1</v>
      </c>
      <c r="K1467" s="132">
        <f t="shared" si="132"/>
        <v>0</v>
      </c>
      <c r="M1467" s="132">
        <v>1</v>
      </c>
      <c r="N1467" s="132">
        <f t="shared" si="133"/>
        <v>0</v>
      </c>
      <c r="P1467" s="132">
        <v>1</v>
      </c>
      <c r="Q1467" s="132">
        <f t="shared" si="137"/>
        <v>0</v>
      </c>
      <c r="S1467" s="132">
        <v>1</v>
      </c>
      <c r="T1467" s="132">
        <f t="shared" si="134"/>
        <v>0</v>
      </c>
      <c r="V1467" s="126">
        <f t="shared" si="135"/>
        <v>0</v>
      </c>
      <c r="W1467" s="92">
        <f t="shared" si="136"/>
        <v>0</v>
      </c>
      <c r="Y1467" s="210"/>
    </row>
    <row r="1468" spans="1:25" ht="14.4" customHeight="1" thickBot="1" x14ac:dyDescent="0.3">
      <c r="A1468" s="149"/>
      <c r="J1468" s="130">
        <v>1</v>
      </c>
      <c r="K1468" s="132">
        <f t="shared" si="132"/>
        <v>0</v>
      </c>
      <c r="M1468" s="132">
        <v>1</v>
      </c>
      <c r="N1468" s="132">
        <f t="shared" si="133"/>
        <v>0</v>
      </c>
      <c r="P1468" s="132">
        <v>1</v>
      </c>
      <c r="Q1468" s="132">
        <f t="shared" si="137"/>
        <v>0</v>
      </c>
      <c r="S1468" s="132">
        <v>1</v>
      </c>
      <c r="T1468" s="132">
        <f t="shared" si="134"/>
        <v>0</v>
      </c>
      <c r="V1468" s="126">
        <f t="shared" si="135"/>
        <v>0</v>
      </c>
      <c r="W1468" s="92">
        <f t="shared" si="136"/>
        <v>0</v>
      </c>
      <c r="Y1468" s="210"/>
    </row>
    <row r="1469" spans="1:25" ht="14.4" customHeight="1" thickBot="1" x14ac:dyDescent="0.3">
      <c r="A1469" s="149"/>
      <c r="J1469" s="130">
        <v>1</v>
      </c>
      <c r="K1469" s="132">
        <f t="shared" si="132"/>
        <v>0</v>
      </c>
      <c r="M1469" s="132">
        <v>1</v>
      </c>
      <c r="N1469" s="132">
        <f t="shared" si="133"/>
        <v>0</v>
      </c>
      <c r="P1469" s="132">
        <v>1</v>
      </c>
      <c r="Q1469" s="132">
        <f t="shared" si="137"/>
        <v>0</v>
      </c>
      <c r="S1469" s="132">
        <v>1</v>
      </c>
      <c r="T1469" s="132">
        <f t="shared" si="134"/>
        <v>0</v>
      </c>
      <c r="V1469" s="126">
        <f t="shared" si="135"/>
        <v>0</v>
      </c>
      <c r="W1469" s="92">
        <f t="shared" si="136"/>
        <v>0</v>
      </c>
      <c r="Y1469" s="210"/>
    </row>
    <row r="1470" spans="1:25" ht="14.4" customHeight="1" thickBot="1" x14ac:dyDescent="0.3">
      <c r="A1470" s="149"/>
      <c r="J1470" s="130">
        <v>1</v>
      </c>
      <c r="K1470" s="132">
        <f t="shared" si="132"/>
        <v>0</v>
      </c>
      <c r="M1470" s="132">
        <v>1</v>
      </c>
      <c r="N1470" s="132">
        <f t="shared" si="133"/>
        <v>0</v>
      </c>
      <c r="P1470" s="132">
        <v>1</v>
      </c>
      <c r="Q1470" s="132">
        <f t="shared" si="137"/>
        <v>0</v>
      </c>
      <c r="S1470" s="132">
        <v>1</v>
      </c>
      <c r="T1470" s="132">
        <f t="shared" si="134"/>
        <v>0</v>
      </c>
      <c r="V1470" s="126">
        <f t="shared" si="135"/>
        <v>0</v>
      </c>
      <c r="W1470" s="92">
        <f t="shared" si="136"/>
        <v>0</v>
      </c>
      <c r="Y1470" s="210"/>
    </row>
    <row r="1471" spans="1:25" ht="14.4" customHeight="1" thickBot="1" x14ac:dyDescent="0.3">
      <c r="A1471" s="149"/>
      <c r="J1471" s="130">
        <v>1</v>
      </c>
      <c r="K1471" s="132">
        <f t="shared" si="132"/>
        <v>0</v>
      </c>
      <c r="M1471" s="132">
        <v>1</v>
      </c>
      <c r="N1471" s="132">
        <f t="shared" si="133"/>
        <v>0</v>
      </c>
      <c r="P1471" s="132">
        <v>1</v>
      </c>
      <c r="Q1471" s="132">
        <f t="shared" si="137"/>
        <v>0</v>
      </c>
      <c r="S1471" s="132">
        <v>1</v>
      </c>
      <c r="T1471" s="132">
        <f t="shared" si="134"/>
        <v>0</v>
      </c>
      <c r="V1471" s="126">
        <f t="shared" si="135"/>
        <v>0</v>
      </c>
      <c r="W1471" s="92">
        <f t="shared" si="136"/>
        <v>0</v>
      </c>
      <c r="Y1471" s="210"/>
    </row>
    <row r="1472" spans="1:25" ht="14.4" customHeight="1" thickBot="1" x14ac:dyDescent="0.3">
      <c r="A1472" s="149"/>
      <c r="J1472" s="130">
        <v>1</v>
      </c>
      <c r="K1472" s="132">
        <f t="shared" si="132"/>
        <v>0</v>
      </c>
      <c r="M1472" s="132">
        <v>1</v>
      </c>
      <c r="N1472" s="132">
        <f t="shared" si="133"/>
        <v>0</v>
      </c>
      <c r="P1472" s="132">
        <v>1</v>
      </c>
      <c r="Q1472" s="132">
        <f t="shared" si="137"/>
        <v>0</v>
      </c>
      <c r="S1472" s="132">
        <v>1</v>
      </c>
      <c r="T1472" s="132">
        <f t="shared" si="134"/>
        <v>0</v>
      </c>
      <c r="V1472" s="126">
        <f t="shared" si="135"/>
        <v>0</v>
      </c>
      <c r="W1472" s="92">
        <f t="shared" si="136"/>
        <v>0</v>
      </c>
      <c r="Y1472" s="210"/>
    </row>
    <row r="1473" spans="1:25" ht="14.4" customHeight="1" thickBot="1" x14ac:dyDescent="0.3">
      <c r="A1473" s="149"/>
      <c r="J1473" s="130">
        <v>1</v>
      </c>
      <c r="K1473" s="132">
        <f t="shared" si="132"/>
        <v>0</v>
      </c>
      <c r="M1473" s="132">
        <v>1</v>
      </c>
      <c r="N1473" s="132">
        <f t="shared" si="133"/>
        <v>0</v>
      </c>
      <c r="P1473" s="132">
        <v>1</v>
      </c>
      <c r="Q1473" s="132">
        <f t="shared" si="137"/>
        <v>0</v>
      </c>
      <c r="S1473" s="132">
        <v>1</v>
      </c>
      <c r="T1473" s="132">
        <f t="shared" si="134"/>
        <v>0</v>
      </c>
      <c r="V1473" s="126">
        <f t="shared" si="135"/>
        <v>0</v>
      </c>
      <c r="W1473" s="92">
        <f t="shared" si="136"/>
        <v>0</v>
      </c>
      <c r="Y1473" s="210"/>
    </row>
    <row r="1474" spans="1:25" ht="14.4" customHeight="1" thickBot="1" x14ac:dyDescent="0.3">
      <c r="A1474" s="149"/>
      <c r="J1474" s="130">
        <v>1</v>
      </c>
      <c r="K1474" s="132">
        <f t="shared" ref="K1474:K1500" si="138">I1474/J1474</f>
        <v>0</v>
      </c>
      <c r="M1474" s="132">
        <v>1</v>
      </c>
      <c r="N1474" s="132">
        <f t="shared" ref="N1474:N1500" si="139">L1474/M1474</f>
        <v>0</v>
      </c>
      <c r="P1474" s="132">
        <v>1</v>
      </c>
      <c r="Q1474" s="132">
        <f t="shared" si="137"/>
        <v>0</v>
      </c>
      <c r="S1474" s="132">
        <v>1</v>
      </c>
      <c r="T1474" s="132">
        <f t="shared" ref="T1474:T1500" si="140">R1474/S1474</f>
        <v>0</v>
      </c>
      <c r="V1474" s="126">
        <f t="shared" ref="V1474:V1500" si="141">D1474+E1474-G1474-I1474/J1474-L1474/M1474-O1474/P1474-R1474/S1474</f>
        <v>0</v>
      </c>
      <c r="W1474" s="92">
        <f t="shared" ref="W1474:W1500" si="142">G1474+I1474/J1474+L1474/M1474+O1474/P1474+R1474/S1474</f>
        <v>0</v>
      </c>
      <c r="Y1474" s="210"/>
    </row>
    <row r="1475" spans="1:25" ht="14.4" customHeight="1" thickBot="1" x14ac:dyDescent="0.3">
      <c r="A1475" s="149"/>
      <c r="J1475" s="130">
        <v>1</v>
      </c>
      <c r="K1475" s="132">
        <f t="shared" si="138"/>
        <v>0</v>
      </c>
      <c r="M1475" s="132">
        <v>1</v>
      </c>
      <c r="N1475" s="132">
        <f t="shared" si="139"/>
        <v>0</v>
      </c>
      <c r="P1475" s="132">
        <v>1</v>
      </c>
      <c r="Q1475" s="132">
        <f t="shared" ref="Q1475:Q1500" si="143">O1475/P1475</f>
        <v>0</v>
      </c>
      <c r="S1475" s="132">
        <v>1</v>
      </c>
      <c r="T1475" s="132">
        <f t="shared" si="140"/>
        <v>0</v>
      </c>
      <c r="V1475" s="126">
        <f t="shared" si="141"/>
        <v>0</v>
      </c>
      <c r="W1475" s="92">
        <f t="shared" si="142"/>
        <v>0</v>
      </c>
      <c r="Y1475" s="210"/>
    </row>
    <row r="1476" spans="1:25" ht="14.4" customHeight="1" thickBot="1" x14ac:dyDescent="0.3">
      <c r="A1476" s="149"/>
      <c r="J1476" s="130">
        <v>1</v>
      </c>
      <c r="K1476" s="132">
        <f t="shared" si="138"/>
        <v>0</v>
      </c>
      <c r="M1476" s="132">
        <v>1</v>
      </c>
      <c r="N1476" s="132">
        <f t="shared" si="139"/>
        <v>0</v>
      </c>
      <c r="P1476" s="132">
        <v>1</v>
      </c>
      <c r="Q1476" s="132">
        <f t="shared" si="143"/>
        <v>0</v>
      </c>
      <c r="S1476" s="132">
        <v>1</v>
      </c>
      <c r="T1476" s="132">
        <f t="shared" si="140"/>
        <v>0</v>
      </c>
      <c r="V1476" s="126">
        <f t="shared" si="141"/>
        <v>0</v>
      </c>
      <c r="W1476" s="92">
        <f t="shared" si="142"/>
        <v>0</v>
      </c>
      <c r="Y1476" s="210"/>
    </row>
    <row r="1477" spans="1:25" ht="14.4" customHeight="1" thickBot="1" x14ac:dyDescent="0.3">
      <c r="A1477" s="149"/>
      <c r="J1477" s="130">
        <v>1</v>
      </c>
      <c r="K1477" s="132">
        <f t="shared" si="138"/>
        <v>0</v>
      </c>
      <c r="M1477" s="132">
        <v>1</v>
      </c>
      <c r="N1477" s="132">
        <f t="shared" si="139"/>
        <v>0</v>
      </c>
      <c r="P1477" s="132">
        <v>1</v>
      </c>
      <c r="Q1477" s="132">
        <f t="shared" si="143"/>
        <v>0</v>
      </c>
      <c r="S1477" s="132">
        <v>1</v>
      </c>
      <c r="T1477" s="132">
        <f t="shared" si="140"/>
        <v>0</v>
      </c>
      <c r="V1477" s="126">
        <f t="shared" si="141"/>
        <v>0</v>
      </c>
      <c r="W1477" s="92">
        <f t="shared" si="142"/>
        <v>0</v>
      </c>
      <c r="Y1477" s="210"/>
    </row>
    <row r="1478" spans="1:25" ht="14.4" customHeight="1" thickBot="1" x14ac:dyDescent="0.3">
      <c r="A1478" s="149"/>
      <c r="J1478" s="130">
        <v>1</v>
      </c>
      <c r="K1478" s="132">
        <f t="shared" si="138"/>
        <v>0</v>
      </c>
      <c r="M1478" s="132">
        <v>1</v>
      </c>
      <c r="N1478" s="132">
        <f t="shared" si="139"/>
        <v>0</v>
      </c>
      <c r="P1478" s="132">
        <v>1</v>
      </c>
      <c r="Q1478" s="132">
        <f t="shared" si="143"/>
        <v>0</v>
      </c>
      <c r="S1478" s="132">
        <v>1</v>
      </c>
      <c r="T1478" s="132">
        <f t="shared" si="140"/>
        <v>0</v>
      </c>
      <c r="V1478" s="126">
        <f t="shared" si="141"/>
        <v>0</v>
      </c>
      <c r="W1478" s="92">
        <f t="shared" si="142"/>
        <v>0</v>
      </c>
      <c r="Y1478" s="210"/>
    </row>
    <row r="1479" spans="1:25" ht="14.4" customHeight="1" thickBot="1" x14ac:dyDescent="0.3">
      <c r="A1479" s="149"/>
      <c r="J1479" s="130">
        <v>1</v>
      </c>
      <c r="K1479" s="132">
        <f t="shared" si="138"/>
        <v>0</v>
      </c>
      <c r="M1479" s="132">
        <v>1</v>
      </c>
      <c r="N1479" s="132">
        <f t="shared" si="139"/>
        <v>0</v>
      </c>
      <c r="P1479" s="132">
        <v>1</v>
      </c>
      <c r="Q1479" s="132">
        <f t="shared" si="143"/>
        <v>0</v>
      </c>
      <c r="S1479" s="132">
        <v>1</v>
      </c>
      <c r="T1479" s="132">
        <f t="shared" si="140"/>
        <v>0</v>
      </c>
      <c r="V1479" s="126">
        <f t="shared" si="141"/>
        <v>0</v>
      </c>
      <c r="W1479" s="92">
        <f t="shared" si="142"/>
        <v>0</v>
      </c>
      <c r="Y1479" s="210"/>
    </row>
    <row r="1480" spans="1:25" ht="14.4" customHeight="1" thickBot="1" x14ac:dyDescent="0.3">
      <c r="A1480" s="149"/>
      <c r="J1480" s="130">
        <v>1</v>
      </c>
      <c r="K1480" s="132">
        <f t="shared" si="138"/>
        <v>0</v>
      </c>
      <c r="M1480" s="132">
        <v>1</v>
      </c>
      <c r="N1480" s="132">
        <f t="shared" si="139"/>
        <v>0</v>
      </c>
      <c r="P1480" s="132">
        <v>1</v>
      </c>
      <c r="Q1480" s="132">
        <f t="shared" si="143"/>
        <v>0</v>
      </c>
      <c r="S1480" s="132">
        <v>1</v>
      </c>
      <c r="T1480" s="132">
        <f t="shared" si="140"/>
        <v>0</v>
      </c>
      <c r="V1480" s="126">
        <f t="shared" si="141"/>
        <v>0</v>
      </c>
      <c r="W1480" s="92">
        <f t="shared" si="142"/>
        <v>0</v>
      </c>
      <c r="Y1480" s="210"/>
    </row>
    <row r="1481" spans="1:25" ht="14.4" customHeight="1" thickBot="1" x14ac:dyDescent="0.3">
      <c r="A1481" s="149"/>
      <c r="J1481" s="130">
        <v>1</v>
      </c>
      <c r="K1481" s="132">
        <f t="shared" si="138"/>
        <v>0</v>
      </c>
      <c r="M1481" s="132">
        <v>1</v>
      </c>
      <c r="N1481" s="132">
        <f t="shared" si="139"/>
        <v>0</v>
      </c>
      <c r="P1481" s="132">
        <v>1</v>
      </c>
      <c r="Q1481" s="132">
        <f t="shared" si="143"/>
        <v>0</v>
      </c>
      <c r="S1481" s="132">
        <v>1</v>
      </c>
      <c r="T1481" s="132">
        <f t="shared" si="140"/>
        <v>0</v>
      </c>
      <c r="V1481" s="126">
        <f t="shared" si="141"/>
        <v>0</v>
      </c>
      <c r="W1481" s="92">
        <f t="shared" si="142"/>
        <v>0</v>
      </c>
      <c r="Y1481" s="210"/>
    </row>
    <row r="1482" spans="1:25" ht="14.4" customHeight="1" thickBot="1" x14ac:dyDescent="0.3">
      <c r="A1482" s="149"/>
      <c r="J1482" s="130">
        <v>1</v>
      </c>
      <c r="K1482" s="132">
        <f t="shared" si="138"/>
        <v>0</v>
      </c>
      <c r="M1482" s="132">
        <v>1</v>
      </c>
      <c r="N1482" s="132">
        <f t="shared" si="139"/>
        <v>0</v>
      </c>
      <c r="P1482" s="132">
        <v>1</v>
      </c>
      <c r="Q1482" s="132">
        <f t="shared" si="143"/>
        <v>0</v>
      </c>
      <c r="S1482" s="132">
        <v>1</v>
      </c>
      <c r="T1482" s="132">
        <f t="shared" si="140"/>
        <v>0</v>
      </c>
      <c r="V1482" s="126">
        <f t="shared" si="141"/>
        <v>0</v>
      </c>
      <c r="W1482" s="92">
        <f t="shared" si="142"/>
        <v>0</v>
      </c>
      <c r="Y1482" s="210"/>
    </row>
    <row r="1483" spans="1:25" ht="14.4" customHeight="1" thickBot="1" x14ac:dyDescent="0.3">
      <c r="A1483" s="149"/>
      <c r="J1483" s="130">
        <v>1</v>
      </c>
      <c r="K1483" s="132">
        <f t="shared" si="138"/>
        <v>0</v>
      </c>
      <c r="M1483" s="132">
        <v>1</v>
      </c>
      <c r="N1483" s="132">
        <f t="shared" si="139"/>
        <v>0</v>
      </c>
      <c r="P1483" s="132">
        <v>1</v>
      </c>
      <c r="Q1483" s="132">
        <f t="shared" si="143"/>
        <v>0</v>
      </c>
      <c r="S1483" s="132">
        <v>1</v>
      </c>
      <c r="T1483" s="132">
        <f t="shared" si="140"/>
        <v>0</v>
      </c>
      <c r="V1483" s="126">
        <f t="shared" si="141"/>
        <v>0</v>
      </c>
      <c r="W1483" s="92">
        <f t="shared" si="142"/>
        <v>0</v>
      </c>
      <c r="Y1483" s="210"/>
    </row>
    <row r="1484" spans="1:25" ht="14.4" customHeight="1" thickBot="1" x14ac:dyDescent="0.3">
      <c r="A1484" s="149"/>
      <c r="J1484" s="130">
        <v>1</v>
      </c>
      <c r="K1484" s="132">
        <f t="shared" si="138"/>
        <v>0</v>
      </c>
      <c r="M1484" s="132">
        <v>1</v>
      </c>
      <c r="N1484" s="132">
        <f t="shared" si="139"/>
        <v>0</v>
      </c>
      <c r="P1484" s="132">
        <v>1</v>
      </c>
      <c r="Q1484" s="132">
        <f t="shared" si="143"/>
        <v>0</v>
      </c>
      <c r="S1484" s="132">
        <v>1</v>
      </c>
      <c r="T1484" s="132">
        <f t="shared" si="140"/>
        <v>0</v>
      </c>
      <c r="V1484" s="126">
        <f t="shared" si="141"/>
        <v>0</v>
      </c>
      <c r="W1484" s="92">
        <f t="shared" si="142"/>
        <v>0</v>
      </c>
      <c r="Y1484" s="210"/>
    </row>
    <row r="1485" spans="1:25" ht="14.4" customHeight="1" thickBot="1" x14ac:dyDescent="0.3">
      <c r="A1485" s="149"/>
      <c r="J1485" s="130">
        <v>1</v>
      </c>
      <c r="K1485" s="132">
        <f t="shared" si="138"/>
        <v>0</v>
      </c>
      <c r="M1485" s="132">
        <v>1</v>
      </c>
      <c r="N1485" s="132">
        <f t="shared" si="139"/>
        <v>0</v>
      </c>
      <c r="P1485" s="132">
        <v>1</v>
      </c>
      <c r="Q1485" s="132">
        <f t="shared" si="143"/>
        <v>0</v>
      </c>
      <c r="S1485" s="132">
        <v>1</v>
      </c>
      <c r="T1485" s="132">
        <f t="shared" si="140"/>
        <v>0</v>
      </c>
      <c r="V1485" s="126">
        <f t="shared" si="141"/>
        <v>0</v>
      </c>
      <c r="W1485" s="92">
        <f t="shared" si="142"/>
        <v>0</v>
      </c>
      <c r="Y1485" s="210"/>
    </row>
    <row r="1486" spans="1:25" ht="14.4" customHeight="1" thickBot="1" x14ac:dyDescent="0.3">
      <c r="A1486" s="149"/>
      <c r="J1486" s="130">
        <v>1</v>
      </c>
      <c r="K1486" s="132">
        <f t="shared" si="138"/>
        <v>0</v>
      </c>
      <c r="M1486" s="132">
        <v>1</v>
      </c>
      <c r="N1486" s="132">
        <f t="shared" si="139"/>
        <v>0</v>
      </c>
      <c r="P1486" s="132">
        <v>1</v>
      </c>
      <c r="Q1486" s="132">
        <f t="shared" si="143"/>
        <v>0</v>
      </c>
      <c r="S1486" s="132">
        <v>1</v>
      </c>
      <c r="T1486" s="132">
        <f t="shared" si="140"/>
        <v>0</v>
      </c>
      <c r="V1486" s="126">
        <f t="shared" si="141"/>
        <v>0</v>
      </c>
      <c r="W1486" s="92">
        <f t="shared" si="142"/>
        <v>0</v>
      </c>
      <c r="Y1486" s="210"/>
    </row>
    <row r="1487" spans="1:25" ht="14.4" customHeight="1" thickBot="1" x14ac:dyDescent="0.3">
      <c r="A1487" s="149"/>
      <c r="J1487" s="130">
        <v>1</v>
      </c>
      <c r="K1487" s="132">
        <f t="shared" si="138"/>
        <v>0</v>
      </c>
      <c r="M1487" s="132">
        <v>1</v>
      </c>
      <c r="N1487" s="132">
        <f t="shared" si="139"/>
        <v>0</v>
      </c>
      <c r="P1487" s="132">
        <v>1</v>
      </c>
      <c r="Q1487" s="132">
        <f t="shared" si="143"/>
        <v>0</v>
      </c>
      <c r="S1487" s="132">
        <v>1</v>
      </c>
      <c r="T1487" s="132">
        <f t="shared" si="140"/>
        <v>0</v>
      </c>
      <c r="V1487" s="126">
        <f t="shared" si="141"/>
        <v>0</v>
      </c>
      <c r="W1487" s="92">
        <f t="shared" si="142"/>
        <v>0</v>
      </c>
      <c r="Y1487" s="210"/>
    </row>
    <row r="1488" spans="1:25" ht="14.4" customHeight="1" thickBot="1" x14ac:dyDescent="0.3">
      <c r="A1488" s="149"/>
      <c r="J1488" s="130">
        <v>1</v>
      </c>
      <c r="K1488" s="132">
        <f t="shared" si="138"/>
        <v>0</v>
      </c>
      <c r="M1488" s="132">
        <v>1</v>
      </c>
      <c r="N1488" s="132">
        <f t="shared" si="139"/>
        <v>0</v>
      </c>
      <c r="P1488" s="132">
        <v>1</v>
      </c>
      <c r="Q1488" s="132">
        <f t="shared" si="143"/>
        <v>0</v>
      </c>
      <c r="S1488" s="132">
        <v>1</v>
      </c>
      <c r="T1488" s="132">
        <f t="shared" si="140"/>
        <v>0</v>
      </c>
      <c r="V1488" s="126">
        <f t="shared" si="141"/>
        <v>0</v>
      </c>
      <c r="W1488" s="92">
        <f t="shared" si="142"/>
        <v>0</v>
      </c>
      <c r="Y1488" s="210"/>
    </row>
    <row r="1489" spans="1:25" ht="14.4" customHeight="1" thickBot="1" x14ac:dyDescent="0.3">
      <c r="A1489" s="149"/>
      <c r="J1489" s="130">
        <v>1</v>
      </c>
      <c r="K1489" s="132">
        <f t="shared" si="138"/>
        <v>0</v>
      </c>
      <c r="M1489" s="132">
        <v>1</v>
      </c>
      <c r="N1489" s="132">
        <f t="shared" si="139"/>
        <v>0</v>
      </c>
      <c r="P1489" s="132">
        <v>1</v>
      </c>
      <c r="Q1489" s="132">
        <f t="shared" si="143"/>
        <v>0</v>
      </c>
      <c r="S1489" s="132">
        <v>1</v>
      </c>
      <c r="T1489" s="132">
        <f t="shared" si="140"/>
        <v>0</v>
      </c>
      <c r="V1489" s="126">
        <f t="shared" si="141"/>
        <v>0</v>
      </c>
      <c r="W1489" s="92">
        <f t="shared" si="142"/>
        <v>0</v>
      </c>
      <c r="Y1489" s="210"/>
    </row>
    <row r="1490" spans="1:25" ht="14.4" customHeight="1" thickBot="1" x14ac:dyDescent="0.3">
      <c r="A1490" s="149"/>
      <c r="J1490" s="130">
        <v>1</v>
      </c>
      <c r="K1490" s="132">
        <f t="shared" si="138"/>
        <v>0</v>
      </c>
      <c r="M1490" s="132">
        <v>1</v>
      </c>
      <c r="N1490" s="132">
        <f t="shared" si="139"/>
        <v>0</v>
      </c>
      <c r="P1490" s="132">
        <v>1</v>
      </c>
      <c r="Q1490" s="132">
        <f t="shared" si="143"/>
        <v>0</v>
      </c>
      <c r="S1490" s="132">
        <v>1</v>
      </c>
      <c r="T1490" s="132">
        <f t="shared" si="140"/>
        <v>0</v>
      </c>
      <c r="V1490" s="126">
        <f t="shared" si="141"/>
        <v>0</v>
      </c>
      <c r="W1490" s="92">
        <f t="shared" si="142"/>
        <v>0</v>
      </c>
      <c r="Y1490" s="210"/>
    </row>
    <row r="1491" spans="1:25" ht="14.4" customHeight="1" thickBot="1" x14ac:dyDescent="0.3">
      <c r="A1491" s="149"/>
      <c r="J1491" s="130">
        <v>1</v>
      </c>
      <c r="K1491" s="132">
        <f t="shared" si="138"/>
        <v>0</v>
      </c>
      <c r="M1491" s="132">
        <v>1</v>
      </c>
      <c r="N1491" s="132">
        <f t="shared" si="139"/>
        <v>0</v>
      </c>
      <c r="P1491" s="132">
        <v>1</v>
      </c>
      <c r="Q1491" s="132">
        <f t="shared" si="143"/>
        <v>0</v>
      </c>
      <c r="S1491" s="132">
        <v>1</v>
      </c>
      <c r="T1491" s="132">
        <f t="shared" si="140"/>
        <v>0</v>
      </c>
      <c r="V1491" s="126">
        <f t="shared" si="141"/>
        <v>0</v>
      </c>
      <c r="W1491" s="92">
        <f t="shared" si="142"/>
        <v>0</v>
      </c>
      <c r="Y1491" s="210"/>
    </row>
    <row r="1492" spans="1:25" ht="14.4" customHeight="1" thickBot="1" x14ac:dyDescent="0.3">
      <c r="A1492" s="149"/>
      <c r="J1492" s="130">
        <v>1</v>
      </c>
      <c r="K1492" s="132">
        <f t="shared" si="138"/>
        <v>0</v>
      </c>
      <c r="M1492" s="132">
        <v>1</v>
      </c>
      <c r="N1492" s="132">
        <f t="shared" si="139"/>
        <v>0</v>
      </c>
      <c r="P1492" s="132">
        <v>1</v>
      </c>
      <c r="Q1492" s="132">
        <f t="shared" si="143"/>
        <v>0</v>
      </c>
      <c r="S1492" s="132">
        <v>1</v>
      </c>
      <c r="T1492" s="132">
        <f t="shared" si="140"/>
        <v>0</v>
      </c>
      <c r="V1492" s="126">
        <f t="shared" si="141"/>
        <v>0</v>
      </c>
      <c r="W1492" s="92">
        <f t="shared" si="142"/>
        <v>0</v>
      </c>
      <c r="Y1492" s="210"/>
    </row>
    <row r="1493" spans="1:25" ht="14.4" customHeight="1" thickBot="1" x14ac:dyDescent="0.3">
      <c r="A1493" s="149"/>
      <c r="J1493" s="130">
        <v>1</v>
      </c>
      <c r="K1493" s="132">
        <f t="shared" si="138"/>
        <v>0</v>
      </c>
      <c r="M1493" s="132">
        <v>1</v>
      </c>
      <c r="N1493" s="132">
        <f t="shared" si="139"/>
        <v>0</v>
      </c>
      <c r="P1493" s="132">
        <v>1</v>
      </c>
      <c r="Q1493" s="132">
        <f t="shared" si="143"/>
        <v>0</v>
      </c>
      <c r="S1493" s="132">
        <v>1</v>
      </c>
      <c r="T1493" s="132">
        <f t="shared" si="140"/>
        <v>0</v>
      </c>
      <c r="V1493" s="126">
        <f t="shared" si="141"/>
        <v>0</v>
      </c>
      <c r="W1493" s="92">
        <f t="shared" si="142"/>
        <v>0</v>
      </c>
      <c r="Y1493" s="210"/>
    </row>
    <row r="1494" spans="1:25" ht="14.4" customHeight="1" thickBot="1" x14ac:dyDescent="0.3">
      <c r="A1494" s="149"/>
      <c r="J1494" s="130">
        <v>1</v>
      </c>
      <c r="K1494" s="132">
        <f t="shared" si="138"/>
        <v>0</v>
      </c>
      <c r="M1494" s="132">
        <v>1</v>
      </c>
      <c r="N1494" s="132">
        <f t="shared" si="139"/>
        <v>0</v>
      </c>
      <c r="P1494" s="132">
        <v>1</v>
      </c>
      <c r="Q1494" s="132">
        <f t="shared" si="143"/>
        <v>0</v>
      </c>
      <c r="S1494" s="132">
        <v>1</v>
      </c>
      <c r="T1494" s="132">
        <f t="shared" si="140"/>
        <v>0</v>
      </c>
      <c r="V1494" s="126">
        <f t="shared" si="141"/>
        <v>0</v>
      </c>
      <c r="W1494" s="92">
        <f t="shared" si="142"/>
        <v>0</v>
      </c>
      <c r="Y1494" s="210"/>
    </row>
    <row r="1495" spans="1:25" ht="14.4" customHeight="1" thickBot="1" x14ac:dyDescent="0.3">
      <c r="A1495" s="149"/>
      <c r="J1495" s="130">
        <v>1</v>
      </c>
      <c r="K1495" s="132">
        <f t="shared" si="138"/>
        <v>0</v>
      </c>
      <c r="M1495" s="132">
        <v>1</v>
      </c>
      <c r="N1495" s="132">
        <f t="shared" si="139"/>
        <v>0</v>
      </c>
      <c r="P1495" s="132">
        <v>1</v>
      </c>
      <c r="Q1495" s="132">
        <f t="shared" si="143"/>
        <v>0</v>
      </c>
      <c r="S1495" s="132">
        <v>1</v>
      </c>
      <c r="T1495" s="132">
        <f t="shared" si="140"/>
        <v>0</v>
      </c>
      <c r="V1495" s="126">
        <f t="shared" si="141"/>
        <v>0</v>
      </c>
      <c r="W1495" s="92">
        <f t="shared" si="142"/>
        <v>0</v>
      </c>
      <c r="Y1495" s="210"/>
    </row>
    <row r="1496" spans="1:25" ht="14.4" customHeight="1" thickBot="1" x14ac:dyDescent="0.3">
      <c r="A1496" s="149"/>
      <c r="J1496" s="130">
        <v>1</v>
      </c>
      <c r="K1496" s="132">
        <f t="shared" si="138"/>
        <v>0</v>
      </c>
      <c r="M1496" s="132">
        <v>1</v>
      </c>
      <c r="N1496" s="132">
        <f t="shared" si="139"/>
        <v>0</v>
      </c>
      <c r="P1496" s="132">
        <v>1</v>
      </c>
      <c r="Q1496" s="132">
        <f t="shared" si="143"/>
        <v>0</v>
      </c>
      <c r="S1496" s="132">
        <v>1</v>
      </c>
      <c r="T1496" s="132">
        <f t="shared" si="140"/>
        <v>0</v>
      </c>
      <c r="V1496" s="126">
        <f t="shared" si="141"/>
        <v>0</v>
      </c>
      <c r="W1496" s="92">
        <f t="shared" si="142"/>
        <v>0</v>
      </c>
      <c r="Y1496" s="210"/>
    </row>
    <row r="1497" spans="1:25" ht="14.4" customHeight="1" thickBot="1" x14ac:dyDescent="0.3">
      <c r="A1497" s="149"/>
      <c r="J1497" s="130">
        <v>1</v>
      </c>
      <c r="K1497" s="132">
        <f t="shared" si="138"/>
        <v>0</v>
      </c>
      <c r="M1497" s="132">
        <v>1</v>
      </c>
      <c r="N1497" s="132">
        <f t="shared" si="139"/>
        <v>0</v>
      </c>
      <c r="P1497" s="132">
        <v>1</v>
      </c>
      <c r="Q1497" s="132">
        <f t="shared" si="143"/>
        <v>0</v>
      </c>
      <c r="S1497" s="132">
        <v>1</v>
      </c>
      <c r="T1497" s="132">
        <f t="shared" si="140"/>
        <v>0</v>
      </c>
      <c r="V1497" s="126">
        <f t="shared" si="141"/>
        <v>0</v>
      </c>
      <c r="W1497" s="92">
        <f t="shared" si="142"/>
        <v>0</v>
      </c>
      <c r="Y1497" s="210"/>
    </row>
    <row r="1498" spans="1:25" ht="14.4" customHeight="1" thickBot="1" x14ac:dyDescent="0.3">
      <c r="A1498" s="149"/>
      <c r="J1498" s="130">
        <v>1</v>
      </c>
      <c r="K1498" s="132">
        <f t="shared" si="138"/>
        <v>0</v>
      </c>
      <c r="M1498" s="132">
        <v>1</v>
      </c>
      <c r="N1498" s="132">
        <f t="shared" si="139"/>
        <v>0</v>
      </c>
      <c r="P1498" s="132">
        <v>1</v>
      </c>
      <c r="Q1498" s="132">
        <f t="shared" si="143"/>
        <v>0</v>
      </c>
      <c r="S1498" s="132">
        <v>1</v>
      </c>
      <c r="T1498" s="132">
        <f t="shared" si="140"/>
        <v>0</v>
      </c>
      <c r="V1498" s="126">
        <f t="shared" si="141"/>
        <v>0</v>
      </c>
      <c r="W1498" s="92">
        <f t="shared" si="142"/>
        <v>0</v>
      </c>
      <c r="Y1498" s="210"/>
    </row>
    <row r="1499" spans="1:25" ht="14.4" customHeight="1" thickBot="1" x14ac:dyDescent="0.3">
      <c r="A1499" s="149"/>
      <c r="J1499" s="130">
        <v>1</v>
      </c>
      <c r="K1499" s="132">
        <f t="shared" si="138"/>
        <v>0</v>
      </c>
      <c r="M1499" s="132">
        <v>1</v>
      </c>
      <c r="N1499" s="132">
        <f t="shared" si="139"/>
        <v>0</v>
      </c>
      <c r="P1499" s="132">
        <v>1</v>
      </c>
      <c r="Q1499" s="132">
        <f t="shared" si="143"/>
        <v>0</v>
      </c>
      <c r="S1499" s="132">
        <v>1</v>
      </c>
      <c r="T1499" s="132">
        <f t="shared" si="140"/>
        <v>0</v>
      </c>
      <c r="V1499" s="126">
        <f t="shared" si="141"/>
        <v>0</v>
      </c>
      <c r="W1499" s="92">
        <f t="shared" si="142"/>
        <v>0</v>
      </c>
      <c r="Y1499" s="210"/>
    </row>
    <row r="1500" spans="1:25" ht="14.4" customHeight="1" thickBot="1" x14ac:dyDescent="0.3">
      <c r="A1500" s="149"/>
      <c r="J1500" s="130">
        <v>1</v>
      </c>
      <c r="K1500" s="132">
        <f t="shared" si="138"/>
        <v>0</v>
      </c>
      <c r="M1500" s="132">
        <v>1</v>
      </c>
      <c r="N1500" s="132">
        <f t="shared" si="139"/>
        <v>0</v>
      </c>
      <c r="P1500" s="132">
        <v>1</v>
      </c>
      <c r="Q1500" s="132">
        <f t="shared" si="143"/>
        <v>0</v>
      </c>
      <c r="S1500" s="132">
        <v>1</v>
      </c>
      <c r="T1500" s="132">
        <f t="shared" si="140"/>
        <v>0</v>
      </c>
      <c r="V1500" s="126">
        <f t="shared" si="141"/>
        <v>0</v>
      </c>
      <c r="W1500" s="92">
        <f t="shared" si="142"/>
        <v>0</v>
      </c>
      <c r="Y1500" s="210"/>
    </row>
    <row r="1501" spans="1:25" ht="14.4" customHeight="1" thickBot="1" x14ac:dyDescent="0.3">
      <c r="A1501" s="149"/>
      <c r="V1501" s="128">
        <f t="shared" ref="V1501:V1564" si="144">D1501-G1501-I1501-L1501-R1501-E1501</f>
        <v>0</v>
      </c>
      <c r="W1501" s="41">
        <f t="shared" ref="W1501:W1564" si="145">G1501+I1501+L1501+R1501</f>
        <v>0</v>
      </c>
      <c r="Y1501" s="210"/>
    </row>
    <row r="1502" spans="1:25" ht="14.4" customHeight="1" thickBot="1" x14ac:dyDescent="0.3">
      <c r="A1502" s="149"/>
      <c r="V1502" s="128">
        <f t="shared" si="144"/>
        <v>0</v>
      </c>
      <c r="W1502" s="41">
        <f t="shared" si="145"/>
        <v>0</v>
      </c>
      <c r="Y1502" s="210"/>
    </row>
    <row r="1503" spans="1:25" ht="14.4" customHeight="1" thickBot="1" x14ac:dyDescent="0.3">
      <c r="A1503" s="149"/>
      <c r="V1503" s="128">
        <f t="shared" si="144"/>
        <v>0</v>
      </c>
      <c r="W1503" s="41">
        <f t="shared" si="145"/>
        <v>0</v>
      </c>
      <c r="Y1503" s="210"/>
    </row>
    <row r="1504" spans="1:25" ht="14.4" customHeight="1" thickBot="1" x14ac:dyDescent="0.3">
      <c r="A1504" s="149"/>
      <c r="V1504" s="128">
        <f t="shared" si="144"/>
        <v>0</v>
      </c>
      <c r="W1504" s="41">
        <f t="shared" si="145"/>
        <v>0</v>
      </c>
      <c r="Y1504" s="210"/>
    </row>
    <row r="1505" spans="1:25" ht="14.4" customHeight="1" thickBot="1" x14ac:dyDescent="0.3">
      <c r="A1505" s="149"/>
      <c r="V1505" s="128">
        <f t="shared" si="144"/>
        <v>0</v>
      </c>
      <c r="W1505" s="41">
        <f t="shared" si="145"/>
        <v>0</v>
      </c>
      <c r="Y1505" s="210"/>
    </row>
    <row r="1506" spans="1:25" ht="14.4" customHeight="1" thickBot="1" x14ac:dyDescent="0.3">
      <c r="A1506" s="149"/>
      <c r="V1506" s="128">
        <f t="shared" si="144"/>
        <v>0</v>
      </c>
      <c r="W1506" s="41">
        <f t="shared" si="145"/>
        <v>0</v>
      </c>
      <c r="Y1506" s="210"/>
    </row>
    <row r="1507" spans="1:25" ht="14.4" customHeight="1" thickBot="1" x14ac:dyDescent="0.3">
      <c r="A1507" s="149"/>
      <c r="V1507" s="128">
        <f t="shared" si="144"/>
        <v>0</v>
      </c>
      <c r="W1507" s="41">
        <f t="shared" si="145"/>
        <v>0</v>
      </c>
      <c r="Y1507" s="210"/>
    </row>
    <row r="1508" spans="1:25" ht="14.4" customHeight="1" thickBot="1" x14ac:dyDescent="0.3">
      <c r="A1508" s="149"/>
      <c r="V1508" s="128">
        <f t="shared" si="144"/>
        <v>0</v>
      </c>
      <c r="W1508" s="41">
        <f t="shared" si="145"/>
        <v>0</v>
      </c>
      <c r="Y1508" s="210"/>
    </row>
    <row r="1509" spans="1:25" ht="14.4" customHeight="1" thickBot="1" x14ac:dyDescent="0.3">
      <c r="A1509" s="149"/>
      <c r="V1509" s="128">
        <f t="shared" si="144"/>
        <v>0</v>
      </c>
      <c r="W1509" s="41">
        <f t="shared" si="145"/>
        <v>0</v>
      </c>
      <c r="Y1509" s="210"/>
    </row>
    <row r="1510" spans="1:25" ht="14.4" customHeight="1" thickBot="1" x14ac:dyDescent="0.3">
      <c r="A1510" s="149"/>
      <c r="V1510" s="128">
        <f t="shared" si="144"/>
        <v>0</v>
      </c>
      <c r="W1510" s="41">
        <f t="shared" si="145"/>
        <v>0</v>
      </c>
      <c r="Y1510" s="210"/>
    </row>
    <row r="1511" spans="1:25" ht="14.4" customHeight="1" thickBot="1" x14ac:dyDescent="0.3">
      <c r="A1511" s="149"/>
      <c r="V1511" s="128">
        <f t="shared" si="144"/>
        <v>0</v>
      </c>
      <c r="W1511" s="41">
        <f t="shared" si="145"/>
        <v>0</v>
      </c>
      <c r="Y1511" s="210"/>
    </row>
    <row r="1512" spans="1:25" ht="14.4" customHeight="1" thickBot="1" x14ac:dyDescent="0.3">
      <c r="A1512" s="149"/>
      <c r="V1512" s="128">
        <f t="shared" si="144"/>
        <v>0</v>
      </c>
      <c r="W1512" s="41">
        <f t="shared" si="145"/>
        <v>0</v>
      </c>
      <c r="Y1512" s="210"/>
    </row>
    <row r="1513" spans="1:25" ht="14.4" customHeight="1" thickBot="1" x14ac:dyDescent="0.3">
      <c r="A1513" s="149"/>
      <c r="V1513" s="128">
        <f t="shared" si="144"/>
        <v>0</v>
      </c>
      <c r="W1513" s="41">
        <f t="shared" si="145"/>
        <v>0</v>
      </c>
      <c r="Y1513" s="210"/>
    </row>
    <row r="1514" spans="1:25" ht="14.4" customHeight="1" thickBot="1" x14ac:dyDescent="0.3">
      <c r="A1514" s="149"/>
      <c r="V1514" s="128">
        <f t="shared" si="144"/>
        <v>0</v>
      </c>
      <c r="W1514" s="41">
        <f t="shared" si="145"/>
        <v>0</v>
      </c>
      <c r="Y1514" s="210"/>
    </row>
    <row r="1515" spans="1:25" ht="14.4" customHeight="1" thickBot="1" x14ac:dyDescent="0.3">
      <c r="A1515" s="149"/>
      <c r="V1515" s="128">
        <f t="shared" si="144"/>
        <v>0</v>
      </c>
      <c r="W1515" s="41">
        <f t="shared" si="145"/>
        <v>0</v>
      </c>
      <c r="Y1515" s="210"/>
    </row>
    <row r="1516" spans="1:25" ht="14.4" customHeight="1" thickBot="1" x14ac:dyDescent="0.3">
      <c r="A1516" s="149"/>
      <c r="V1516" s="128">
        <f t="shared" si="144"/>
        <v>0</v>
      </c>
      <c r="W1516" s="41">
        <f t="shared" si="145"/>
        <v>0</v>
      </c>
      <c r="Y1516" s="210"/>
    </row>
    <row r="1517" spans="1:25" ht="14.4" customHeight="1" thickBot="1" x14ac:dyDescent="0.3">
      <c r="A1517" s="149"/>
      <c r="V1517" s="128">
        <f t="shared" si="144"/>
        <v>0</v>
      </c>
      <c r="W1517" s="41">
        <f t="shared" si="145"/>
        <v>0</v>
      </c>
      <c r="Y1517" s="210"/>
    </row>
    <row r="1518" spans="1:25" ht="14.4" customHeight="1" thickBot="1" x14ac:dyDescent="0.3">
      <c r="A1518" s="149"/>
      <c r="V1518" s="128">
        <f t="shared" si="144"/>
        <v>0</v>
      </c>
      <c r="W1518" s="41">
        <f t="shared" si="145"/>
        <v>0</v>
      </c>
      <c r="Y1518" s="210"/>
    </row>
    <row r="1519" spans="1:25" ht="14.4" customHeight="1" thickBot="1" x14ac:dyDescent="0.3">
      <c r="A1519" s="149"/>
      <c r="V1519" s="128">
        <f t="shared" si="144"/>
        <v>0</v>
      </c>
      <c r="W1519" s="41">
        <f t="shared" si="145"/>
        <v>0</v>
      </c>
      <c r="Y1519" s="210"/>
    </row>
    <row r="1520" spans="1:25" ht="14.4" customHeight="1" thickBot="1" x14ac:dyDescent="0.3">
      <c r="A1520" s="149"/>
      <c r="V1520" s="128">
        <f t="shared" si="144"/>
        <v>0</v>
      </c>
      <c r="W1520" s="41">
        <f t="shared" si="145"/>
        <v>0</v>
      </c>
      <c r="Y1520" s="210"/>
    </row>
    <row r="1521" spans="1:25" ht="14.4" customHeight="1" thickBot="1" x14ac:dyDescent="0.3">
      <c r="A1521" s="149"/>
      <c r="V1521" s="128">
        <f t="shared" si="144"/>
        <v>0</v>
      </c>
      <c r="W1521" s="41">
        <f t="shared" si="145"/>
        <v>0</v>
      </c>
      <c r="Y1521" s="210"/>
    </row>
    <row r="1522" spans="1:25" ht="14.4" customHeight="1" thickBot="1" x14ac:dyDescent="0.3">
      <c r="A1522" s="149"/>
      <c r="V1522" s="128">
        <f t="shared" si="144"/>
        <v>0</v>
      </c>
      <c r="W1522" s="41">
        <f t="shared" si="145"/>
        <v>0</v>
      </c>
      <c r="Y1522" s="210"/>
    </row>
    <row r="1523" spans="1:25" ht="14.4" customHeight="1" thickBot="1" x14ac:dyDescent="0.3">
      <c r="A1523" s="149"/>
      <c r="V1523" s="128">
        <f t="shared" si="144"/>
        <v>0</v>
      </c>
      <c r="W1523" s="41">
        <f t="shared" si="145"/>
        <v>0</v>
      </c>
      <c r="Y1523" s="210"/>
    </row>
    <row r="1524" spans="1:25" ht="14.4" customHeight="1" thickBot="1" x14ac:dyDescent="0.3">
      <c r="A1524" s="149"/>
      <c r="V1524" s="128">
        <f t="shared" si="144"/>
        <v>0</v>
      </c>
      <c r="W1524" s="41">
        <f t="shared" si="145"/>
        <v>0</v>
      </c>
      <c r="Y1524" s="210"/>
    </row>
    <row r="1525" spans="1:25" ht="14.4" customHeight="1" thickBot="1" x14ac:dyDescent="0.3">
      <c r="A1525" s="149"/>
      <c r="V1525" s="128">
        <f t="shared" si="144"/>
        <v>0</v>
      </c>
      <c r="W1525" s="41">
        <f t="shared" si="145"/>
        <v>0</v>
      </c>
      <c r="Y1525" s="210"/>
    </row>
    <row r="1526" spans="1:25" ht="14.4" customHeight="1" thickBot="1" x14ac:dyDescent="0.3">
      <c r="A1526" s="149"/>
      <c r="V1526" s="128">
        <f t="shared" si="144"/>
        <v>0</v>
      </c>
      <c r="W1526" s="41">
        <f t="shared" si="145"/>
        <v>0</v>
      </c>
      <c r="Y1526" s="210"/>
    </row>
    <row r="1527" spans="1:25" ht="14.4" customHeight="1" thickBot="1" x14ac:dyDescent="0.3">
      <c r="A1527" s="149"/>
      <c r="V1527" s="128">
        <f t="shared" si="144"/>
        <v>0</v>
      </c>
      <c r="W1527" s="41">
        <f t="shared" si="145"/>
        <v>0</v>
      </c>
      <c r="Y1527" s="210"/>
    </row>
    <row r="1528" spans="1:25" ht="14.4" customHeight="1" thickBot="1" x14ac:dyDescent="0.3">
      <c r="A1528" s="149"/>
      <c r="V1528" s="128">
        <f t="shared" si="144"/>
        <v>0</v>
      </c>
      <c r="W1528" s="41">
        <f t="shared" si="145"/>
        <v>0</v>
      </c>
      <c r="Y1528" s="210"/>
    </row>
    <row r="1529" spans="1:25" ht="14.4" customHeight="1" thickBot="1" x14ac:dyDescent="0.3">
      <c r="A1529" s="149"/>
      <c r="V1529" s="128">
        <f t="shared" si="144"/>
        <v>0</v>
      </c>
      <c r="W1529" s="41">
        <f t="shared" si="145"/>
        <v>0</v>
      </c>
      <c r="Y1529" s="210"/>
    </row>
    <row r="1530" spans="1:25" ht="14.4" customHeight="1" thickBot="1" x14ac:dyDescent="0.3">
      <c r="A1530" s="149"/>
      <c r="V1530" s="128">
        <f t="shared" si="144"/>
        <v>0</v>
      </c>
      <c r="W1530" s="41">
        <f t="shared" si="145"/>
        <v>0</v>
      </c>
      <c r="Y1530" s="210"/>
    </row>
    <row r="1531" spans="1:25" ht="14.4" customHeight="1" thickBot="1" x14ac:dyDescent="0.3">
      <c r="A1531" s="149"/>
      <c r="V1531" s="128">
        <f t="shared" si="144"/>
        <v>0</v>
      </c>
      <c r="W1531" s="41">
        <f t="shared" si="145"/>
        <v>0</v>
      </c>
      <c r="Y1531" s="210"/>
    </row>
    <row r="1532" spans="1:25" ht="14.4" customHeight="1" thickBot="1" x14ac:dyDescent="0.3">
      <c r="A1532" s="149"/>
      <c r="V1532" s="128">
        <f t="shared" si="144"/>
        <v>0</v>
      </c>
      <c r="W1532" s="41">
        <f t="shared" si="145"/>
        <v>0</v>
      </c>
      <c r="Y1532" s="210"/>
    </row>
    <row r="1533" spans="1:25" ht="14.4" customHeight="1" thickBot="1" x14ac:dyDescent="0.3">
      <c r="A1533" s="149"/>
      <c r="V1533" s="128">
        <f t="shared" si="144"/>
        <v>0</v>
      </c>
      <c r="W1533" s="41">
        <f t="shared" si="145"/>
        <v>0</v>
      </c>
      <c r="Y1533" s="210"/>
    </row>
    <row r="1534" spans="1:25" ht="14.4" customHeight="1" thickBot="1" x14ac:dyDescent="0.3">
      <c r="A1534" s="149"/>
      <c r="V1534" s="128">
        <f t="shared" si="144"/>
        <v>0</v>
      </c>
      <c r="W1534" s="41">
        <f t="shared" si="145"/>
        <v>0</v>
      </c>
      <c r="Y1534" s="210"/>
    </row>
    <row r="1535" spans="1:25" ht="14.4" customHeight="1" thickBot="1" x14ac:dyDescent="0.3">
      <c r="A1535" s="149"/>
      <c r="V1535" s="128">
        <f t="shared" si="144"/>
        <v>0</v>
      </c>
      <c r="W1535" s="41">
        <f t="shared" si="145"/>
        <v>0</v>
      </c>
      <c r="Y1535" s="210"/>
    </row>
    <row r="1536" spans="1:25" ht="14.4" customHeight="1" thickBot="1" x14ac:dyDescent="0.3">
      <c r="A1536" s="149"/>
      <c r="V1536" s="128">
        <f t="shared" si="144"/>
        <v>0</v>
      </c>
      <c r="W1536" s="41">
        <f t="shared" si="145"/>
        <v>0</v>
      </c>
      <c r="Y1536" s="210"/>
    </row>
    <row r="1537" spans="1:25" ht="14.4" customHeight="1" thickBot="1" x14ac:dyDescent="0.3">
      <c r="A1537" s="149"/>
      <c r="V1537" s="128">
        <f t="shared" si="144"/>
        <v>0</v>
      </c>
      <c r="W1537" s="41">
        <f t="shared" si="145"/>
        <v>0</v>
      </c>
      <c r="Y1537" s="210"/>
    </row>
    <row r="1538" spans="1:25" ht="14.4" customHeight="1" thickBot="1" x14ac:dyDescent="0.3">
      <c r="A1538" s="149"/>
      <c r="V1538" s="128">
        <f t="shared" si="144"/>
        <v>0</v>
      </c>
      <c r="W1538" s="41">
        <f t="shared" si="145"/>
        <v>0</v>
      </c>
      <c r="Y1538" s="210"/>
    </row>
    <row r="1539" spans="1:25" ht="14.4" customHeight="1" thickBot="1" x14ac:dyDescent="0.3">
      <c r="A1539" s="149"/>
      <c r="V1539" s="128">
        <f t="shared" si="144"/>
        <v>0</v>
      </c>
      <c r="W1539" s="41">
        <f t="shared" si="145"/>
        <v>0</v>
      </c>
      <c r="Y1539" s="210"/>
    </row>
    <row r="1540" spans="1:25" ht="14.4" customHeight="1" thickBot="1" x14ac:dyDescent="0.3">
      <c r="A1540" s="149"/>
      <c r="V1540" s="128">
        <f t="shared" si="144"/>
        <v>0</v>
      </c>
      <c r="W1540" s="41">
        <f t="shared" si="145"/>
        <v>0</v>
      </c>
      <c r="Y1540" s="210"/>
    </row>
    <row r="1541" spans="1:25" ht="14.4" customHeight="1" thickBot="1" x14ac:dyDescent="0.3">
      <c r="A1541" s="149"/>
      <c r="V1541" s="128">
        <f t="shared" si="144"/>
        <v>0</v>
      </c>
      <c r="W1541" s="41">
        <f t="shared" si="145"/>
        <v>0</v>
      </c>
      <c r="Y1541" s="210"/>
    </row>
    <row r="1542" spans="1:25" ht="14.4" customHeight="1" thickBot="1" x14ac:dyDescent="0.3">
      <c r="A1542" s="149"/>
      <c r="V1542" s="128">
        <f t="shared" si="144"/>
        <v>0</v>
      </c>
      <c r="W1542" s="41">
        <f t="shared" si="145"/>
        <v>0</v>
      </c>
      <c r="Y1542" s="210"/>
    </row>
    <row r="1543" spans="1:25" ht="14.4" customHeight="1" thickBot="1" x14ac:dyDescent="0.3">
      <c r="A1543" s="149"/>
      <c r="V1543" s="128">
        <f t="shared" si="144"/>
        <v>0</v>
      </c>
      <c r="W1543" s="41">
        <f t="shared" si="145"/>
        <v>0</v>
      </c>
      <c r="Y1543" s="210"/>
    </row>
    <row r="1544" spans="1:25" ht="14.4" customHeight="1" thickBot="1" x14ac:dyDescent="0.3">
      <c r="A1544" s="149"/>
      <c r="V1544" s="128">
        <f t="shared" si="144"/>
        <v>0</v>
      </c>
      <c r="W1544" s="41">
        <f t="shared" si="145"/>
        <v>0</v>
      </c>
      <c r="Y1544" s="210"/>
    </row>
    <row r="1545" spans="1:25" ht="14.4" customHeight="1" thickBot="1" x14ac:dyDescent="0.3">
      <c r="A1545" s="149"/>
      <c r="V1545" s="128">
        <f t="shared" si="144"/>
        <v>0</v>
      </c>
      <c r="W1545" s="41">
        <f t="shared" si="145"/>
        <v>0</v>
      </c>
      <c r="Y1545" s="210"/>
    </row>
    <row r="1546" spans="1:25" ht="14.4" customHeight="1" thickBot="1" x14ac:dyDescent="0.3">
      <c r="A1546" s="149"/>
      <c r="V1546" s="128">
        <f t="shared" si="144"/>
        <v>0</v>
      </c>
      <c r="W1546" s="41">
        <f t="shared" si="145"/>
        <v>0</v>
      </c>
      <c r="Y1546" s="210"/>
    </row>
    <row r="1547" spans="1:25" ht="14.4" customHeight="1" thickBot="1" x14ac:dyDescent="0.3">
      <c r="A1547" s="149"/>
      <c r="V1547" s="128">
        <f t="shared" si="144"/>
        <v>0</v>
      </c>
      <c r="W1547" s="41">
        <f t="shared" si="145"/>
        <v>0</v>
      </c>
      <c r="Y1547" s="210"/>
    </row>
    <row r="1548" spans="1:25" ht="14.4" customHeight="1" thickBot="1" x14ac:dyDescent="0.3">
      <c r="A1548" s="149"/>
      <c r="V1548" s="128">
        <f t="shared" si="144"/>
        <v>0</v>
      </c>
      <c r="W1548" s="41">
        <f t="shared" si="145"/>
        <v>0</v>
      </c>
      <c r="Y1548" s="210"/>
    </row>
    <row r="1549" spans="1:25" ht="14.4" customHeight="1" thickBot="1" x14ac:dyDescent="0.3">
      <c r="A1549" s="149"/>
      <c r="V1549" s="128">
        <f t="shared" si="144"/>
        <v>0</v>
      </c>
      <c r="W1549" s="41">
        <f t="shared" si="145"/>
        <v>0</v>
      </c>
      <c r="Y1549" s="210"/>
    </row>
    <row r="1550" spans="1:25" ht="14.4" customHeight="1" thickBot="1" x14ac:dyDescent="0.3">
      <c r="A1550" s="149"/>
      <c r="V1550" s="128">
        <f t="shared" si="144"/>
        <v>0</v>
      </c>
      <c r="W1550" s="41">
        <f t="shared" si="145"/>
        <v>0</v>
      </c>
      <c r="Y1550" s="210"/>
    </row>
    <row r="1551" spans="1:25" ht="14.4" customHeight="1" thickBot="1" x14ac:dyDescent="0.3">
      <c r="A1551" s="149"/>
      <c r="V1551" s="128">
        <f t="shared" si="144"/>
        <v>0</v>
      </c>
      <c r="W1551" s="41">
        <f t="shared" si="145"/>
        <v>0</v>
      </c>
      <c r="Y1551" s="210"/>
    </row>
    <row r="1552" spans="1:25" ht="14.4" customHeight="1" thickBot="1" x14ac:dyDescent="0.3">
      <c r="A1552" s="149"/>
      <c r="V1552" s="128">
        <f t="shared" si="144"/>
        <v>0</v>
      </c>
      <c r="W1552" s="41">
        <f t="shared" si="145"/>
        <v>0</v>
      </c>
      <c r="Y1552" s="210"/>
    </row>
    <row r="1553" spans="1:25" ht="14.4" customHeight="1" thickBot="1" x14ac:dyDescent="0.3">
      <c r="A1553" s="149"/>
      <c r="V1553" s="128">
        <f t="shared" si="144"/>
        <v>0</v>
      </c>
      <c r="W1553" s="41">
        <f t="shared" si="145"/>
        <v>0</v>
      </c>
      <c r="Y1553" s="210"/>
    </row>
    <row r="1554" spans="1:25" ht="14.4" customHeight="1" thickBot="1" x14ac:dyDescent="0.3">
      <c r="A1554" s="149"/>
      <c r="V1554" s="128">
        <f t="shared" si="144"/>
        <v>0</v>
      </c>
      <c r="W1554" s="41">
        <f t="shared" si="145"/>
        <v>0</v>
      </c>
      <c r="Y1554" s="210"/>
    </row>
    <row r="1555" spans="1:25" ht="14.4" customHeight="1" thickBot="1" x14ac:dyDescent="0.3">
      <c r="A1555" s="149"/>
      <c r="V1555" s="128">
        <f t="shared" si="144"/>
        <v>0</v>
      </c>
      <c r="W1555" s="41">
        <f t="shared" si="145"/>
        <v>0</v>
      </c>
      <c r="Y1555" s="210"/>
    </row>
    <row r="1556" spans="1:25" ht="14.4" customHeight="1" thickBot="1" x14ac:dyDescent="0.3">
      <c r="A1556" s="149"/>
      <c r="V1556" s="128">
        <f t="shared" si="144"/>
        <v>0</v>
      </c>
      <c r="W1556" s="41">
        <f t="shared" si="145"/>
        <v>0</v>
      </c>
      <c r="Y1556" s="210"/>
    </row>
    <row r="1557" spans="1:25" ht="14.4" customHeight="1" thickBot="1" x14ac:dyDescent="0.3">
      <c r="A1557" s="149"/>
      <c r="V1557" s="128">
        <f t="shared" si="144"/>
        <v>0</v>
      </c>
      <c r="W1557" s="41">
        <f t="shared" si="145"/>
        <v>0</v>
      </c>
      <c r="Y1557" s="210"/>
    </row>
    <row r="1558" spans="1:25" ht="14.4" customHeight="1" thickBot="1" x14ac:dyDescent="0.3">
      <c r="A1558" s="149"/>
      <c r="V1558" s="128">
        <f t="shared" si="144"/>
        <v>0</v>
      </c>
      <c r="W1558" s="41">
        <f t="shared" si="145"/>
        <v>0</v>
      </c>
      <c r="Y1558" s="210"/>
    </row>
    <row r="1559" spans="1:25" ht="14.4" customHeight="1" thickBot="1" x14ac:dyDescent="0.3">
      <c r="A1559" s="149"/>
      <c r="V1559" s="128">
        <f t="shared" si="144"/>
        <v>0</v>
      </c>
      <c r="W1559" s="41">
        <f t="shared" si="145"/>
        <v>0</v>
      </c>
      <c r="Y1559" s="210"/>
    </row>
    <row r="1560" spans="1:25" ht="14.4" customHeight="1" x14ac:dyDescent="0.25">
      <c r="A1560" s="149"/>
      <c r="V1560" s="128">
        <f t="shared" si="144"/>
        <v>0</v>
      </c>
      <c r="W1560" s="41">
        <f t="shared" si="145"/>
        <v>0</v>
      </c>
    </row>
    <row r="1561" spans="1:25" ht="14.4" customHeight="1" x14ac:dyDescent="0.25">
      <c r="A1561" s="149"/>
      <c r="V1561" s="128">
        <f t="shared" si="144"/>
        <v>0</v>
      </c>
      <c r="W1561" s="41">
        <f t="shared" si="145"/>
        <v>0</v>
      </c>
    </row>
    <row r="1562" spans="1:25" ht="14.4" customHeight="1" x14ac:dyDescent="0.25">
      <c r="A1562" s="149"/>
      <c r="V1562" s="128">
        <f t="shared" si="144"/>
        <v>0</v>
      </c>
      <c r="W1562" s="41">
        <f t="shared" si="145"/>
        <v>0</v>
      </c>
    </row>
    <row r="1563" spans="1:25" ht="14.4" customHeight="1" x14ac:dyDescent="0.25">
      <c r="A1563" s="149"/>
      <c r="V1563" s="128">
        <f t="shared" si="144"/>
        <v>0</v>
      </c>
      <c r="W1563" s="41">
        <f t="shared" si="145"/>
        <v>0</v>
      </c>
    </row>
    <row r="1564" spans="1:25" ht="14.4" customHeight="1" x14ac:dyDescent="0.25">
      <c r="A1564" s="149"/>
      <c r="V1564" s="128">
        <f t="shared" si="144"/>
        <v>0</v>
      </c>
      <c r="W1564" s="41">
        <f t="shared" si="145"/>
        <v>0</v>
      </c>
    </row>
    <row r="1565" spans="1:25" ht="14.4" customHeight="1" x14ac:dyDescent="0.25">
      <c r="A1565" s="149"/>
      <c r="V1565" s="128">
        <f t="shared" ref="V1565:V1628" si="146">D1565-G1565-I1565-L1565-R1565-E1565</f>
        <v>0</v>
      </c>
      <c r="W1565" s="41">
        <f t="shared" ref="W1565:W1628" si="147">G1565+I1565+L1565+R1565</f>
        <v>0</v>
      </c>
    </row>
    <row r="1566" spans="1:25" ht="14.4" customHeight="1" x14ac:dyDescent="0.25">
      <c r="A1566" s="149"/>
      <c r="V1566" s="128">
        <f t="shared" si="146"/>
        <v>0</v>
      </c>
      <c r="W1566" s="41">
        <f t="shared" si="147"/>
        <v>0</v>
      </c>
    </row>
    <row r="1567" spans="1:25" ht="14.4" customHeight="1" x14ac:dyDescent="0.25">
      <c r="A1567" s="149"/>
      <c r="V1567" s="128">
        <f t="shared" si="146"/>
        <v>0</v>
      </c>
      <c r="W1567" s="41">
        <f t="shared" si="147"/>
        <v>0</v>
      </c>
    </row>
    <row r="1568" spans="1:25" ht="14.4" customHeight="1" x14ac:dyDescent="0.25">
      <c r="A1568" s="149"/>
      <c r="V1568" s="128">
        <f t="shared" si="146"/>
        <v>0</v>
      </c>
      <c r="W1568" s="41">
        <f t="shared" si="147"/>
        <v>0</v>
      </c>
    </row>
    <row r="1569" spans="1:23" ht="14.4" customHeight="1" x14ac:dyDescent="0.25">
      <c r="A1569" s="149"/>
      <c r="V1569" s="128">
        <f t="shared" si="146"/>
        <v>0</v>
      </c>
      <c r="W1569" s="41">
        <f t="shared" si="147"/>
        <v>0</v>
      </c>
    </row>
    <row r="1570" spans="1:23" ht="14.4" customHeight="1" x14ac:dyDescent="0.25">
      <c r="A1570" s="149"/>
      <c r="V1570" s="128">
        <f t="shared" si="146"/>
        <v>0</v>
      </c>
      <c r="W1570" s="41">
        <f t="shared" si="147"/>
        <v>0</v>
      </c>
    </row>
    <row r="1571" spans="1:23" ht="14.4" customHeight="1" x14ac:dyDescent="0.25">
      <c r="A1571" s="149"/>
      <c r="V1571" s="128">
        <f t="shared" si="146"/>
        <v>0</v>
      </c>
      <c r="W1571" s="41">
        <f t="shared" si="147"/>
        <v>0</v>
      </c>
    </row>
    <row r="1572" spans="1:23" ht="14.4" customHeight="1" x14ac:dyDescent="0.25">
      <c r="A1572" s="149"/>
      <c r="V1572" s="128">
        <f t="shared" si="146"/>
        <v>0</v>
      </c>
      <c r="W1572" s="41">
        <f t="shared" si="147"/>
        <v>0</v>
      </c>
    </row>
    <row r="1573" spans="1:23" ht="14.4" customHeight="1" x14ac:dyDescent="0.25">
      <c r="A1573" s="149"/>
      <c r="V1573" s="128">
        <f t="shared" si="146"/>
        <v>0</v>
      </c>
      <c r="W1573" s="41">
        <f t="shared" si="147"/>
        <v>0</v>
      </c>
    </row>
    <row r="1574" spans="1:23" ht="14.4" customHeight="1" x14ac:dyDescent="0.25">
      <c r="A1574" s="149"/>
      <c r="V1574" s="128">
        <f t="shared" si="146"/>
        <v>0</v>
      </c>
      <c r="W1574" s="41">
        <f t="shared" si="147"/>
        <v>0</v>
      </c>
    </row>
    <row r="1575" spans="1:23" ht="14.4" customHeight="1" x14ac:dyDescent="0.25">
      <c r="A1575" s="149"/>
      <c r="V1575" s="128">
        <f t="shared" si="146"/>
        <v>0</v>
      </c>
      <c r="W1575" s="41">
        <f t="shared" si="147"/>
        <v>0</v>
      </c>
    </row>
    <row r="1576" spans="1:23" ht="14.4" customHeight="1" x14ac:dyDescent="0.25">
      <c r="A1576" s="149"/>
      <c r="V1576" s="128">
        <f t="shared" si="146"/>
        <v>0</v>
      </c>
      <c r="W1576" s="41">
        <f t="shared" si="147"/>
        <v>0</v>
      </c>
    </row>
    <row r="1577" spans="1:23" ht="14.4" customHeight="1" x14ac:dyDescent="0.25">
      <c r="A1577" s="149"/>
      <c r="V1577" s="128">
        <f t="shared" si="146"/>
        <v>0</v>
      </c>
      <c r="W1577" s="41">
        <f t="shared" si="147"/>
        <v>0</v>
      </c>
    </row>
    <row r="1578" spans="1:23" ht="14.4" customHeight="1" x14ac:dyDescent="0.25">
      <c r="A1578" s="149"/>
      <c r="V1578" s="128">
        <f t="shared" si="146"/>
        <v>0</v>
      </c>
      <c r="W1578" s="41">
        <f t="shared" si="147"/>
        <v>0</v>
      </c>
    </row>
    <row r="1579" spans="1:23" ht="14.4" customHeight="1" x14ac:dyDescent="0.25">
      <c r="A1579" s="149"/>
      <c r="V1579" s="128">
        <f t="shared" si="146"/>
        <v>0</v>
      </c>
      <c r="W1579" s="41">
        <f t="shared" si="147"/>
        <v>0</v>
      </c>
    </row>
    <row r="1580" spans="1:23" ht="14.4" customHeight="1" x14ac:dyDescent="0.25">
      <c r="A1580" s="149"/>
      <c r="V1580" s="128">
        <f t="shared" si="146"/>
        <v>0</v>
      </c>
      <c r="W1580" s="41">
        <f t="shared" si="147"/>
        <v>0</v>
      </c>
    </row>
    <row r="1581" spans="1:23" ht="14.4" customHeight="1" x14ac:dyDescent="0.25">
      <c r="A1581" s="149"/>
      <c r="V1581" s="128">
        <f t="shared" si="146"/>
        <v>0</v>
      </c>
      <c r="W1581" s="41">
        <f t="shared" si="147"/>
        <v>0</v>
      </c>
    </row>
    <row r="1582" spans="1:23" ht="14.4" customHeight="1" x14ac:dyDescent="0.25">
      <c r="A1582" s="149"/>
      <c r="V1582" s="128">
        <f t="shared" si="146"/>
        <v>0</v>
      </c>
      <c r="W1582" s="41">
        <f t="shared" si="147"/>
        <v>0</v>
      </c>
    </row>
    <row r="1583" spans="1:23" ht="14.4" customHeight="1" x14ac:dyDescent="0.25">
      <c r="A1583" s="149"/>
      <c r="V1583" s="128">
        <f t="shared" si="146"/>
        <v>0</v>
      </c>
      <c r="W1583" s="41">
        <f t="shared" si="147"/>
        <v>0</v>
      </c>
    </row>
    <row r="1584" spans="1:23" ht="14.4" customHeight="1" x14ac:dyDescent="0.25">
      <c r="A1584" s="149"/>
      <c r="V1584" s="128">
        <f t="shared" si="146"/>
        <v>0</v>
      </c>
      <c r="W1584" s="41">
        <f t="shared" si="147"/>
        <v>0</v>
      </c>
    </row>
    <row r="1585" spans="1:23" ht="14.4" customHeight="1" x14ac:dyDescent="0.25">
      <c r="A1585" s="149"/>
      <c r="V1585" s="128">
        <f t="shared" si="146"/>
        <v>0</v>
      </c>
      <c r="W1585" s="41">
        <f t="shared" si="147"/>
        <v>0</v>
      </c>
    </row>
    <row r="1586" spans="1:23" ht="14.4" customHeight="1" x14ac:dyDescent="0.25">
      <c r="A1586" s="149"/>
      <c r="V1586" s="128">
        <f t="shared" si="146"/>
        <v>0</v>
      </c>
      <c r="W1586" s="41">
        <f t="shared" si="147"/>
        <v>0</v>
      </c>
    </row>
    <row r="1587" spans="1:23" ht="14.4" customHeight="1" x14ac:dyDescent="0.25">
      <c r="A1587" s="149"/>
      <c r="V1587" s="128">
        <f t="shared" si="146"/>
        <v>0</v>
      </c>
      <c r="W1587" s="41">
        <f t="shared" si="147"/>
        <v>0</v>
      </c>
    </row>
    <row r="1588" spans="1:23" ht="14.4" customHeight="1" x14ac:dyDescent="0.25">
      <c r="A1588" s="149"/>
      <c r="V1588" s="128">
        <f t="shared" si="146"/>
        <v>0</v>
      </c>
      <c r="W1588" s="41">
        <f t="shared" si="147"/>
        <v>0</v>
      </c>
    </row>
    <row r="1589" spans="1:23" ht="14.4" customHeight="1" x14ac:dyDescent="0.25">
      <c r="A1589" s="149"/>
      <c r="V1589" s="128">
        <f t="shared" si="146"/>
        <v>0</v>
      </c>
      <c r="W1589" s="41">
        <f t="shared" si="147"/>
        <v>0</v>
      </c>
    </row>
    <row r="1590" spans="1:23" ht="14.4" customHeight="1" x14ac:dyDescent="0.25">
      <c r="A1590" s="149"/>
      <c r="V1590" s="128">
        <f t="shared" si="146"/>
        <v>0</v>
      </c>
      <c r="W1590" s="41">
        <f t="shared" si="147"/>
        <v>0</v>
      </c>
    </row>
    <row r="1591" spans="1:23" ht="14.4" customHeight="1" x14ac:dyDescent="0.25">
      <c r="A1591" s="149"/>
      <c r="V1591" s="128">
        <f t="shared" si="146"/>
        <v>0</v>
      </c>
      <c r="W1591" s="41">
        <f t="shared" si="147"/>
        <v>0</v>
      </c>
    </row>
    <row r="1592" spans="1:23" ht="14.4" customHeight="1" x14ac:dyDescent="0.25">
      <c r="A1592" s="149"/>
      <c r="V1592" s="128">
        <f t="shared" si="146"/>
        <v>0</v>
      </c>
      <c r="W1592" s="41">
        <f t="shared" si="147"/>
        <v>0</v>
      </c>
    </row>
    <row r="1593" spans="1:23" ht="14.4" customHeight="1" x14ac:dyDescent="0.25">
      <c r="A1593" s="149"/>
      <c r="V1593" s="128">
        <f t="shared" si="146"/>
        <v>0</v>
      </c>
      <c r="W1593" s="41">
        <f t="shared" si="147"/>
        <v>0</v>
      </c>
    </row>
    <row r="1594" spans="1:23" ht="14.4" customHeight="1" x14ac:dyDescent="0.25">
      <c r="A1594" s="149"/>
      <c r="V1594" s="128">
        <f t="shared" si="146"/>
        <v>0</v>
      </c>
      <c r="W1594" s="41">
        <f t="shared" si="147"/>
        <v>0</v>
      </c>
    </row>
    <row r="1595" spans="1:23" ht="14.4" customHeight="1" x14ac:dyDescent="0.25">
      <c r="A1595" s="149"/>
      <c r="V1595" s="128">
        <f t="shared" si="146"/>
        <v>0</v>
      </c>
      <c r="W1595" s="41">
        <f t="shared" si="147"/>
        <v>0</v>
      </c>
    </row>
    <row r="1596" spans="1:23" ht="14.4" customHeight="1" x14ac:dyDescent="0.25">
      <c r="A1596" s="149"/>
      <c r="V1596" s="128">
        <f t="shared" si="146"/>
        <v>0</v>
      </c>
      <c r="W1596" s="41">
        <f t="shared" si="147"/>
        <v>0</v>
      </c>
    </row>
    <row r="1597" spans="1:23" ht="14.4" customHeight="1" x14ac:dyDescent="0.25">
      <c r="A1597" s="149"/>
      <c r="V1597" s="128">
        <f t="shared" si="146"/>
        <v>0</v>
      </c>
      <c r="W1597" s="41">
        <f t="shared" si="147"/>
        <v>0</v>
      </c>
    </row>
    <row r="1598" spans="1:23" ht="14.4" customHeight="1" x14ac:dyDescent="0.25">
      <c r="A1598" s="149"/>
      <c r="V1598" s="128">
        <f t="shared" si="146"/>
        <v>0</v>
      </c>
      <c r="W1598" s="41">
        <f t="shared" si="147"/>
        <v>0</v>
      </c>
    </row>
    <row r="1599" spans="1:23" ht="14.4" customHeight="1" x14ac:dyDescent="0.25">
      <c r="A1599" s="149"/>
      <c r="V1599" s="128">
        <f t="shared" si="146"/>
        <v>0</v>
      </c>
      <c r="W1599" s="41">
        <f t="shared" si="147"/>
        <v>0</v>
      </c>
    </row>
    <row r="1600" spans="1:23" ht="14.4" customHeight="1" x14ac:dyDescent="0.25">
      <c r="A1600" s="149"/>
      <c r="V1600" s="128">
        <f t="shared" si="146"/>
        <v>0</v>
      </c>
      <c r="W1600" s="41">
        <f t="shared" si="147"/>
        <v>0</v>
      </c>
    </row>
    <row r="1601" spans="1:23" ht="14.4" customHeight="1" x14ac:dyDescent="0.25">
      <c r="A1601" s="149"/>
      <c r="V1601" s="128">
        <f t="shared" si="146"/>
        <v>0</v>
      </c>
      <c r="W1601" s="41">
        <f t="shared" si="147"/>
        <v>0</v>
      </c>
    </row>
    <row r="1602" spans="1:23" ht="14.4" customHeight="1" x14ac:dyDescent="0.25">
      <c r="A1602" s="149"/>
      <c r="V1602" s="128">
        <f t="shared" si="146"/>
        <v>0</v>
      </c>
      <c r="W1602" s="41">
        <f t="shared" si="147"/>
        <v>0</v>
      </c>
    </row>
    <row r="1603" spans="1:23" ht="14.4" customHeight="1" x14ac:dyDescent="0.25">
      <c r="A1603" s="149"/>
      <c r="V1603" s="128">
        <f t="shared" si="146"/>
        <v>0</v>
      </c>
      <c r="W1603" s="41">
        <f t="shared" si="147"/>
        <v>0</v>
      </c>
    </row>
    <row r="1604" spans="1:23" ht="14.4" customHeight="1" x14ac:dyDescent="0.25">
      <c r="A1604" s="149"/>
      <c r="V1604" s="128">
        <f t="shared" si="146"/>
        <v>0</v>
      </c>
      <c r="W1604" s="41">
        <f t="shared" si="147"/>
        <v>0</v>
      </c>
    </row>
    <row r="1605" spans="1:23" ht="14.4" customHeight="1" x14ac:dyDescent="0.25">
      <c r="A1605" s="149"/>
      <c r="V1605" s="128">
        <f t="shared" si="146"/>
        <v>0</v>
      </c>
      <c r="W1605" s="41">
        <f t="shared" si="147"/>
        <v>0</v>
      </c>
    </row>
    <row r="1606" spans="1:23" ht="14.4" customHeight="1" x14ac:dyDescent="0.25">
      <c r="A1606" s="149"/>
      <c r="V1606" s="128">
        <f t="shared" si="146"/>
        <v>0</v>
      </c>
      <c r="W1606" s="41">
        <f t="shared" si="147"/>
        <v>0</v>
      </c>
    </row>
    <row r="1607" spans="1:23" ht="14.4" customHeight="1" x14ac:dyDescent="0.25">
      <c r="A1607" s="149"/>
      <c r="V1607" s="128">
        <f t="shared" si="146"/>
        <v>0</v>
      </c>
      <c r="W1607" s="41">
        <f t="shared" si="147"/>
        <v>0</v>
      </c>
    </row>
    <row r="1608" spans="1:23" ht="14.4" customHeight="1" x14ac:dyDescent="0.25">
      <c r="A1608" s="149"/>
      <c r="V1608" s="128">
        <f t="shared" si="146"/>
        <v>0</v>
      </c>
      <c r="W1608" s="41">
        <f t="shared" si="147"/>
        <v>0</v>
      </c>
    </row>
    <row r="1609" spans="1:23" ht="14.4" customHeight="1" x14ac:dyDescent="0.25">
      <c r="A1609" s="149"/>
      <c r="V1609" s="128">
        <f t="shared" si="146"/>
        <v>0</v>
      </c>
      <c r="W1609" s="41">
        <f t="shared" si="147"/>
        <v>0</v>
      </c>
    </row>
    <row r="1610" spans="1:23" ht="14.4" customHeight="1" x14ac:dyDescent="0.25">
      <c r="A1610" s="149"/>
      <c r="V1610" s="128">
        <f t="shared" si="146"/>
        <v>0</v>
      </c>
      <c r="W1610" s="41">
        <f t="shared" si="147"/>
        <v>0</v>
      </c>
    </row>
    <row r="1611" spans="1:23" ht="14.4" customHeight="1" x14ac:dyDescent="0.25">
      <c r="A1611" s="149"/>
      <c r="V1611" s="128">
        <f t="shared" si="146"/>
        <v>0</v>
      </c>
      <c r="W1611" s="41">
        <f t="shared" si="147"/>
        <v>0</v>
      </c>
    </row>
    <row r="1612" spans="1:23" ht="14.4" customHeight="1" x14ac:dyDescent="0.25">
      <c r="A1612" s="149"/>
      <c r="V1612" s="128">
        <f t="shared" si="146"/>
        <v>0</v>
      </c>
      <c r="W1612" s="41">
        <f t="shared" si="147"/>
        <v>0</v>
      </c>
    </row>
    <row r="1613" spans="1:23" ht="14.4" customHeight="1" x14ac:dyDescent="0.25">
      <c r="A1613" s="149"/>
      <c r="V1613" s="128">
        <f t="shared" si="146"/>
        <v>0</v>
      </c>
      <c r="W1613" s="41">
        <f t="shared" si="147"/>
        <v>0</v>
      </c>
    </row>
    <row r="1614" spans="1:23" ht="14.4" customHeight="1" x14ac:dyDescent="0.25">
      <c r="A1614" s="149"/>
      <c r="V1614" s="128">
        <f t="shared" si="146"/>
        <v>0</v>
      </c>
      <c r="W1614" s="41">
        <f t="shared" si="147"/>
        <v>0</v>
      </c>
    </row>
    <row r="1615" spans="1:23" ht="14.4" customHeight="1" x14ac:dyDescent="0.25">
      <c r="A1615" s="149"/>
      <c r="V1615" s="128">
        <f t="shared" si="146"/>
        <v>0</v>
      </c>
      <c r="W1615" s="41">
        <f t="shared" si="147"/>
        <v>0</v>
      </c>
    </row>
    <row r="1616" spans="1:23" ht="14.4" customHeight="1" x14ac:dyDescent="0.25">
      <c r="A1616" s="149"/>
      <c r="V1616" s="128">
        <f t="shared" si="146"/>
        <v>0</v>
      </c>
      <c r="W1616" s="41">
        <f t="shared" si="147"/>
        <v>0</v>
      </c>
    </row>
    <row r="1617" spans="1:23" ht="14.4" customHeight="1" x14ac:dyDescent="0.25">
      <c r="A1617" s="149"/>
      <c r="V1617" s="128">
        <f t="shared" si="146"/>
        <v>0</v>
      </c>
      <c r="W1617" s="41">
        <f t="shared" si="147"/>
        <v>0</v>
      </c>
    </row>
    <row r="1618" spans="1:23" ht="14.4" customHeight="1" x14ac:dyDescent="0.25">
      <c r="A1618" s="149"/>
      <c r="V1618" s="128">
        <f t="shared" si="146"/>
        <v>0</v>
      </c>
      <c r="W1618" s="41">
        <f t="shared" si="147"/>
        <v>0</v>
      </c>
    </row>
    <row r="1619" spans="1:23" ht="14.4" customHeight="1" x14ac:dyDescent="0.25">
      <c r="A1619" s="149"/>
      <c r="V1619" s="128">
        <f t="shared" si="146"/>
        <v>0</v>
      </c>
      <c r="W1619" s="41">
        <f t="shared" si="147"/>
        <v>0</v>
      </c>
    </row>
    <row r="1620" spans="1:23" ht="14.4" customHeight="1" x14ac:dyDescent="0.25">
      <c r="A1620" s="149"/>
      <c r="V1620" s="128">
        <f t="shared" si="146"/>
        <v>0</v>
      </c>
      <c r="W1620" s="41">
        <f t="shared" si="147"/>
        <v>0</v>
      </c>
    </row>
    <row r="1621" spans="1:23" ht="14.4" customHeight="1" x14ac:dyDescent="0.25">
      <c r="A1621" s="149"/>
      <c r="V1621" s="128">
        <f t="shared" si="146"/>
        <v>0</v>
      </c>
      <c r="W1621" s="41">
        <f t="shared" si="147"/>
        <v>0</v>
      </c>
    </row>
    <row r="1622" spans="1:23" ht="14.4" customHeight="1" x14ac:dyDescent="0.25">
      <c r="A1622" s="149"/>
      <c r="V1622" s="128">
        <f t="shared" si="146"/>
        <v>0</v>
      </c>
      <c r="W1622" s="41">
        <f t="shared" si="147"/>
        <v>0</v>
      </c>
    </row>
    <row r="1623" spans="1:23" ht="14.4" customHeight="1" x14ac:dyDescent="0.25">
      <c r="A1623" s="149"/>
      <c r="V1623" s="128">
        <f t="shared" si="146"/>
        <v>0</v>
      </c>
      <c r="W1623" s="41">
        <f t="shared" si="147"/>
        <v>0</v>
      </c>
    </row>
    <row r="1624" spans="1:23" ht="14.4" customHeight="1" x14ac:dyDescent="0.25">
      <c r="A1624" s="149"/>
      <c r="V1624" s="128">
        <f t="shared" si="146"/>
        <v>0</v>
      </c>
      <c r="W1624" s="41">
        <f t="shared" si="147"/>
        <v>0</v>
      </c>
    </row>
    <row r="1625" spans="1:23" ht="14.4" customHeight="1" x14ac:dyDescent="0.25">
      <c r="A1625" s="149"/>
      <c r="V1625" s="128">
        <f t="shared" si="146"/>
        <v>0</v>
      </c>
      <c r="W1625" s="41">
        <f t="shared" si="147"/>
        <v>0</v>
      </c>
    </row>
    <row r="1626" spans="1:23" ht="14.4" customHeight="1" x14ac:dyDescent="0.25">
      <c r="A1626" s="149"/>
      <c r="V1626" s="128">
        <f t="shared" si="146"/>
        <v>0</v>
      </c>
      <c r="W1626" s="41">
        <f t="shared" si="147"/>
        <v>0</v>
      </c>
    </row>
    <row r="1627" spans="1:23" ht="14.4" customHeight="1" x14ac:dyDescent="0.25">
      <c r="A1627" s="149"/>
      <c r="V1627" s="128">
        <f t="shared" si="146"/>
        <v>0</v>
      </c>
      <c r="W1627" s="41">
        <f t="shared" si="147"/>
        <v>0</v>
      </c>
    </row>
    <row r="1628" spans="1:23" ht="14.4" customHeight="1" x14ac:dyDescent="0.25">
      <c r="A1628" s="149"/>
      <c r="V1628" s="128">
        <f t="shared" si="146"/>
        <v>0</v>
      </c>
      <c r="W1628" s="41">
        <f t="shared" si="147"/>
        <v>0</v>
      </c>
    </row>
    <row r="1629" spans="1:23" ht="14.4" customHeight="1" x14ac:dyDescent="0.25">
      <c r="A1629" s="149"/>
      <c r="V1629" s="128">
        <f t="shared" ref="V1629:V1692" si="148">D1629-G1629-I1629-L1629-R1629-E1629</f>
        <v>0</v>
      </c>
      <c r="W1629" s="41">
        <f t="shared" ref="W1629:W1692" si="149">G1629+I1629+L1629+R1629</f>
        <v>0</v>
      </c>
    </row>
    <row r="1630" spans="1:23" ht="14.4" customHeight="1" x14ac:dyDescent="0.25">
      <c r="A1630" s="149"/>
      <c r="V1630" s="128">
        <f t="shared" si="148"/>
        <v>0</v>
      </c>
      <c r="W1630" s="41">
        <f t="shared" si="149"/>
        <v>0</v>
      </c>
    </row>
    <row r="1631" spans="1:23" ht="14.4" customHeight="1" x14ac:dyDescent="0.25">
      <c r="A1631" s="149"/>
      <c r="V1631" s="128">
        <f t="shared" si="148"/>
        <v>0</v>
      </c>
      <c r="W1631" s="41">
        <f t="shared" si="149"/>
        <v>0</v>
      </c>
    </row>
    <row r="1632" spans="1:23" ht="14.4" customHeight="1" x14ac:dyDescent="0.25">
      <c r="A1632" s="149"/>
      <c r="V1632" s="128">
        <f t="shared" si="148"/>
        <v>0</v>
      </c>
      <c r="W1632" s="41">
        <f t="shared" si="149"/>
        <v>0</v>
      </c>
    </row>
    <row r="1633" spans="1:23" ht="14.4" customHeight="1" x14ac:dyDescent="0.25">
      <c r="A1633" s="149"/>
      <c r="V1633" s="128">
        <f t="shared" si="148"/>
        <v>0</v>
      </c>
      <c r="W1633" s="41">
        <f t="shared" si="149"/>
        <v>0</v>
      </c>
    </row>
    <row r="1634" spans="1:23" ht="14.4" customHeight="1" x14ac:dyDescent="0.25">
      <c r="A1634" s="149"/>
      <c r="V1634" s="128">
        <f t="shared" si="148"/>
        <v>0</v>
      </c>
      <c r="W1634" s="41">
        <f t="shared" si="149"/>
        <v>0</v>
      </c>
    </row>
    <row r="1635" spans="1:23" ht="14.4" customHeight="1" x14ac:dyDescent="0.25">
      <c r="A1635" s="149"/>
      <c r="V1635" s="128">
        <f t="shared" si="148"/>
        <v>0</v>
      </c>
      <c r="W1635" s="41">
        <f t="shared" si="149"/>
        <v>0</v>
      </c>
    </row>
    <row r="1636" spans="1:23" ht="14.4" customHeight="1" x14ac:dyDescent="0.25">
      <c r="A1636" s="149"/>
      <c r="V1636" s="128">
        <f t="shared" si="148"/>
        <v>0</v>
      </c>
      <c r="W1636" s="41">
        <f t="shared" si="149"/>
        <v>0</v>
      </c>
    </row>
    <row r="1637" spans="1:23" ht="14.4" customHeight="1" x14ac:dyDescent="0.25">
      <c r="A1637" s="149"/>
      <c r="V1637" s="128">
        <f t="shared" si="148"/>
        <v>0</v>
      </c>
      <c r="W1637" s="41">
        <f t="shared" si="149"/>
        <v>0</v>
      </c>
    </row>
    <row r="1638" spans="1:23" ht="14.4" customHeight="1" x14ac:dyDescent="0.25">
      <c r="A1638" s="149"/>
      <c r="V1638" s="128">
        <f t="shared" si="148"/>
        <v>0</v>
      </c>
      <c r="W1638" s="41">
        <f t="shared" si="149"/>
        <v>0</v>
      </c>
    </row>
    <row r="1639" spans="1:23" ht="14.4" customHeight="1" x14ac:dyDescent="0.25">
      <c r="A1639" s="149"/>
      <c r="V1639" s="128">
        <f t="shared" si="148"/>
        <v>0</v>
      </c>
      <c r="W1639" s="41">
        <f t="shared" si="149"/>
        <v>0</v>
      </c>
    </row>
    <row r="1640" spans="1:23" ht="14.4" customHeight="1" x14ac:dyDescent="0.25">
      <c r="A1640" s="149"/>
      <c r="V1640" s="128">
        <f t="shared" si="148"/>
        <v>0</v>
      </c>
      <c r="W1640" s="41">
        <f t="shared" si="149"/>
        <v>0</v>
      </c>
    </row>
    <row r="1641" spans="1:23" ht="14.4" customHeight="1" x14ac:dyDescent="0.25">
      <c r="A1641" s="149"/>
      <c r="V1641" s="128">
        <f t="shared" si="148"/>
        <v>0</v>
      </c>
      <c r="W1641" s="41">
        <f t="shared" si="149"/>
        <v>0</v>
      </c>
    </row>
    <row r="1642" spans="1:23" ht="14.4" customHeight="1" x14ac:dyDescent="0.25">
      <c r="A1642" s="149"/>
      <c r="V1642" s="128">
        <f t="shared" si="148"/>
        <v>0</v>
      </c>
      <c r="W1642" s="41">
        <f t="shared" si="149"/>
        <v>0</v>
      </c>
    </row>
    <row r="1643" spans="1:23" ht="14.4" customHeight="1" x14ac:dyDescent="0.25">
      <c r="A1643" s="149"/>
      <c r="V1643" s="128">
        <f t="shared" si="148"/>
        <v>0</v>
      </c>
      <c r="W1643" s="41">
        <f t="shared" si="149"/>
        <v>0</v>
      </c>
    </row>
    <row r="1644" spans="1:23" ht="14.4" customHeight="1" x14ac:dyDescent="0.25">
      <c r="A1644" s="149"/>
      <c r="V1644" s="128">
        <f t="shared" si="148"/>
        <v>0</v>
      </c>
      <c r="W1644" s="41">
        <f t="shared" si="149"/>
        <v>0</v>
      </c>
    </row>
    <row r="1645" spans="1:23" ht="14.4" customHeight="1" x14ac:dyDescent="0.25">
      <c r="A1645" s="149"/>
      <c r="V1645" s="128">
        <f t="shared" si="148"/>
        <v>0</v>
      </c>
      <c r="W1645" s="41">
        <f t="shared" si="149"/>
        <v>0</v>
      </c>
    </row>
    <row r="1646" spans="1:23" ht="14.4" customHeight="1" x14ac:dyDescent="0.25">
      <c r="A1646" s="149"/>
      <c r="V1646" s="128">
        <f t="shared" si="148"/>
        <v>0</v>
      </c>
      <c r="W1646" s="41">
        <f t="shared" si="149"/>
        <v>0</v>
      </c>
    </row>
    <row r="1647" spans="1:23" ht="14.4" customHeight="1" x14ac:dyDescent="0.25">
      <c r="A1647" s="149"/>
      <c r="V1647" s="128">
        <f t="shared" si="148"/>
        <v>0</v>
      </c>
      <c r="W1647" s="41">
        <f t="shared" si="149"/>
        <v>0</v>
      </c>
    </row>
    <row r="1648" spans="1:23" ht="14.4" customHeight="1" x14ac:dyDescent="0.25">
      <c r="A1648" s="149"/>
      <c r="V1648" s="128">
        <f t="shared" si="148"/>
        <v>0</v>
      </c>
      <c r="W1648" s="41">
        <f t="shared" si="149"/>
        <v>0</v>
      </c>
    </row>
    <row r="1649" spans="1:23" ht="14.4" customHeight="1" x14ac:dyDescent="0.25">
      <c r="A1649" s="149"/>
      <c r="V1649" s="128">
        <f t="shared" si="148"/>
        <v>0</v>
      </c>
      <c r="W1649" s="41">
        <f t="shared" si="149"/>
        <v>0</v>
      </c>
    </row>
    <row r="1650" spans="1:23" ht="14.4" customHeight="1" x14ac:dyDescent="0.25">
      <c r="A1650" s="149"/>
      <c r="V1650" s="128">
        <f t="shared" si="148"/>
        <v>0</v>
      </c>
      <c r="W1650" s="41">
        <f t="shared" si="149"/>
        <v>0</v>
      </c>
    </row>
    <row r="1651" spans="1:23" ht="14.4" customHeight="1" x14ac:dyDescent="0.25">
      <c r="A1651" s="149"/>
      <c r="V1651" s="128">
        <f t="shared" si="148"/>
        <v>0</v>
      </c>
      <c r="W1651" s="41">
        <f t="shared" si="149"/>
        <v>0</v>
      </c>
    </row>
    <row r="1652" spans="1:23" ht="14.4" customHeight="1" x14ac:dyDescent="0.25">
      <c r="A1652" s="149"/>
      <c r="V1652" s="128">
        <f t="shared" si="148"/>
        <v>0</v>
      </c>
      <c r="W1652" s="41">
        <f t="shared" si="149"/>
        <v>0</v>
      </c>
    </row>
    <row r="1653" spans="1:23" ht="14.4" customHeight="1" x14ac:dyDescent="0.25">
      <c r="A1653" s="149"/>
      <c r="V1653" s="128">
        <f t="shared" si="148"/>
        <v>0</v>
      </c>
      <c r="W1653" s="41">
        <f t="shared" si="149"/>
        <v>0</v>
      </c>
    </row>
    <row r="1654" spans="1:23" ht="14.4" customHeight="1" x14ac:dyDescent="0.25">
      <c r="A1654" s="149"/>
      <c r="V1654" s="128">
        <f t="shared" si="148"/>
        <v>0</v>
      </c>
      <c r="W1654" s="41">
        <f t="shared" si="149"/>
        <v>0</v>
      </c>
    </row>
    <row r="1655" spans="1:23" ht="14.4" customHeight="1" x14ac:dyDescent="0.25">
      <c r="A1655" s="149"/>
      <c r="V1655" s="128">
        <f t="shared" si="148"/>
        <v>0</v>
      </c>
      <c r="W1655" s="41">
        <f t="shared" si="149"/>
        <v>0</v>
      </c>
    </row>
    <row r="1656" spans="1:23" ht="14.4" customHeight="1" x14ac:dyDescent="0.25">
      <c r="A1656" s="149"/>
      <c r="V1656" s="128">
        <f t="shared" si="148"/>
        <v>0</v>
      </c>
      <c r="W1656" s="41">
        <f t="shared" si="149"/>
        <v>0</v>
      </c>
    </row>
    <row r="1657" spans="1:23" ht="14.4" customHeight="1" x14ac:dyDescent="0.25">
      <c r="A1657" s="149"/>
      <c r="V1657" s="128">
        <f t="shared" si="148"/>
        <v>0</v>
      </c>
      <c r="W1657" s="41">
        <f t="shared" si="149"/>
        <v>0</v>
      </c>
    </row>
    <row r="1658" spans="1:23" ht="14.4" customHeight="1" x14ac:dyDescent="0.25">
      <c r="A1658" s="149"/>
      <c r="V1658" s="128">
        <f t="shared" si="148"/>
        <v>0</v>
      </c>
      <c r="W1658" s="41">
        <f t="shared" si="149"/>
        <v>0</v>
      </c>
    </row>
    <row r="1659" spans="1:23" ht="14.4" customHeight="1" x14ac:dyDescent="0.25">
      <c r="A1659" s="149"/>
      <c r="V1659" s="128">
        <f t="shared" si="148"/>
        <v>0</v>
      </c>
      <c r="W1659" s="41">
        <f t="shared" si="149"/>
        <v>0</v>
      </c>
    </row>
    <row r="1660" spans="1:23" ht="14.4" customHeight="1" x14ac:dyDescent="0.25">
      <c r="A1660" s="149"/>
      <c r="V1660" s="128">
        <f t="shared" si="148"/>
        <v>0</v>
      </c>
      <c r="W1660" s="41">
        <f t="shared" si="149"/>
        <v>0</v>
      </c>
    </row>
    <row r="1661" spans="1:23" ht="14.4" customHeight="1" x14ac:dyDescent="0.25">
      <c r="A1661" s="149"/>
      <c r="V1661" s="128">
        <f t="shared" si="148"/>
        <v>0</v>
      </c>
      <c r="W1661" s="41">
        <f t="shared" si="149"/>
        <v>0</v>
      </c>
    </row>
    <row r="1662" spans="1:23" ht="14.4" customHeight="1" x14ac:dyDescent="0.25">
      <c r="A1662" s="149"/>
      <c r="V1662" s="128">
        <f t="shared" si="148"/>
        <v>0</v>
      </c>
      <c r="W1662" s="41">
        <f t="shared" si="149"/>
        <v>0</v>
      </c>
    </row>
    <row r="1663" spans="1:23" ht="14.4" customHeight="1" x14ac:dyDescent="0.25">
      <c r="A1663" s="149"/>
      <c r="V1663" s="128">
        <f t="shared" si="148"/>
        <v>0</v>
      </c>
      <c r="W1663" s="41">
        <f t="shared" si="149"/>
        <v>0</v>
      </c>
    </row>
    <row r="1664" spans="1:23" ht="14.4" customHeight="1" x14ac:dyDescent="0.25">
      <c r="A1664" s="149"/>
      <c r="V1664" s="128">
        <f t="shared" si="148"/>
        <v>0</v>
      </c>
      <c r="W1664" s="41">
        <f t="shared" si="149"/>
        <v>0</v>
      </c>
    </row>
    <row r="1665" spans="1:23" ht="14.4" customHeight="1" x14ac:dyDescent="0.25">
      <c r="A1665" s="149"/>
      <c r="V1665" s="128">
        <f t="shared" si="148"/>
        <v>0</v>
      </c>
      <c r="W1665" s="41">
        <f t="shared" si="149"/>
        <v>0</v>
      </c>
    </row>
    <row r="1666" spans="1:23" ht="14.4" customHeight="1" x14ac:dyDescent="0.25">
      <c r="A1666" s="149"/>
      <c r="V1666" s="128">
        <f t="shared" si="148"/>
        <v>0</v>
      </c>
      <c r="W1666" s="41">
        <f t="shared" si="149"/>
        <v>0</v>
      </c>
    </row>
    <row r="1667" spans="1:23" ht="14.4" customHeight="1" x14ac:dyDescent="0.25">
      <c r="A1667" s="149"/>
      <c r="V1667" s="128">
        <f t="shared" si="148"/>
        <v>0</v>
      </c>
      <c r="W1667" s="41">
        <f t="shared" si="149"/>
        <v>0</v>
      </c>
    </row>
    <row r="1668" spans="1:23" ht="14.4" customHeight="1" x14ac:dyDescent="0.25">
      <c r="A1668" s="149"/>
      <c r="V1668" s="128">
        <f t="shared" si="148"/>
        <v>0</v>
      </c>
      <c r="W1668" s="41">
        <f t="shared" si="149"/>
        <v>0</v>
      </c>
    </row>
    <row r="1669" spans="1:23" ht="14.4" customHeight="1" x14ac:dyDescent="0.25">
      <c r="A1669" s="149"/>
      <c r="V1669" s="128">
        <f t="shared" si="148"/>
        <v>0</v>
      </c>
      <c r="W1669" s="41">
        <f t="shared" si="149"/>
        <v>0</v>
      </c>
    </row>
    <row r="1670" spans="1:23" ht="14.4" customHeight="1" x14ac:dyDescent="0.25">
      <c r="A1670" s="149"/>
      <c r="V1670" s="128">
        <f t="shared" si="148"/>
        <v>0</v>
      </c>
      <c r="W1670" s="41">
        <f t="shared" si="149"/>
        <v>0</v>
      </c>
    </row>
    <row r="1671" spans="1:23" ht="14.4" customHeight="1" x14ac:dyDescent="0.25">
      <c r="A1671" s="149"/>
      <c r="V1671" s="128">
        <f t="shared" si="148"/>
        <v>0</v>
      </c>
      <c r="W1671" s="41">
        <f t="shared" si="149"/>
        <v>0</v>
      </c>
    </row>
    <row r="1672" spans="1:23" ht="14.4" customHeight="1" x14ac:dyDescent="0.25">
      <c r="A1672" s="149"/>
      <c r="V1672" s="128">
        <f t="shared" si="148"/>
        <v>0</v>
      </c>
      <c r="W1672" s="41">
        <f t="shared" si="149"/>
        <v>0</v>
      </c>
    </row>
    <row r="1673" spans="1:23" ht="14.4" customHeight="1" x14ac:dyDescent="0.25">
      <c r="A1673" s="149"/>
      <c r="V1673" s="128">
        <f t="shared" si="148"/>
        <v>0</v>
      </c>
      <c r="W1673" s="41">
        <f t="shared" si="149"/>
        <v>0</v>
      </c>
    </row>
    <row r="1674" spans="1:23" ht="14.4" customHeight="1" x14ac:dyDescent="0.25">
      <c r="A1674" s="149"/>
      <c r="V1674" s="128">
        <f t="shared" si="148"/>
        <v>0</v>
      </c>
      <c r="W1674" s="41">
        <f t="shared" si="149"/>
        <v>0</v>
      </c>
    </row>
    <row r="1675" spans="1:23" ht="14.4" customHeight="1" x14ac:dyDescent="0.25">
      <c r="A1675" s="149"/>
      <c r="V1675" s="128">
        <f t="shared" si="148"/>
        <v>0</v>
      </c>
      <c r="W1675" s="41">
        <f t="shared" si="149"/>
        <v>0</v>
      </c>
    </row>
    <row r="1676" spans="1:23" ht="14.4" customHeight="1" x14ac:dyDescent="0.25">
      <c r="A1676" s="149"/>
      <c r="V1676" s="128">
        <f t="shared" si="148"/>
        <v>0</v>
      </c>
      <c r="W1676" s="41">
        <f t="shared" si="149"/>
        <v>0</v>
      </c>
    </row>
    <row r="1677" spans="1:23" ht="14.4" customHeight="1" x14ac:dyDescent="0.25">
      <c r="A1677" s="149"/>
      <c r="V1677" s="128">
        <f t="shared" si="148"/>
        <v>0</v>
      </c>
      <c r="W1677" s="41">
        <f t="shared" si="149"/>
        <v>0</v>
      </c>
    </row>
    <row r="1678" spans="1:23" ht="14.4" customHeight="1" x14ac:dyDescent="0.25">
      <c r="A1678" s="149"/>
      <c r="V1678" s="128">
        <f t="shared" si="148"/>
        <v>0</v>
      </c>
      <c r="W1678" s="41">
        <f t="shared" si="149"/>
        <v>0</v>
      </c>
    </row>
    <row r="1679" spans="1:23" ht="14.4" customHeight="1" x14ac:dyDescent="0.25">
      <c r="A1679" s="149"/>
      <c r="V1679" s="128">
        <f t="shared" si="148"/>
        <v>0</v>
      </c>
      <c r="W1679" s="41">
        <f t="shared" si="149"/>
        <v>0</v>
      </c>
    </row>
    <row r="1680" spans="1:23" ht="14.4" customHeight="1" x14ac:dyDescent="0.25">
      <c r="A1680" s="149"/>
      <c r="V1680" s="128">
        <f t="shared" si="148"/>
        <v>0</v>
      </c>
      <c r="W1680" s="41">
        <f t="shared" si="149"/>
        <v>0</v>
      </c>
    </row>
    <row r="1681" spans="1:23" ht="14.4" customHeight="1" x14ac:dyDescent="0.25">
      <c r="A1681" s="149"/>
      <c r="V1681" s="128">
        <f t="shared" si="148"/>
        <v>0</v>
      </c>
      <c r="W1681" s="41">
        <f t="shared" si="149"/>
        <v>0</v>
      </c>
    </row>
    <row r="1682" spans="1:23" ht="14.4" customHeight="1" x14ac:dyDescent="0.25">
      <c r="A1682" s="149"/>
      <c r="V1682" s="128">
        <f t="shared" si="148"/>
        <v>0</v>
      </c>
      <c r="W1682" s="41">
        <f t="shared" si="149"/>
        <v>0</v>
      </c>
    </row>
    <row r="1683" spans="1:23" ht="14.4" customHeight="1" x14ac:dyDescent="0.25">
      <c r="A1683" s="149"/>
      <c r="V1683" s="128">
        <f t="shared" si="148"/>
        <v>0</v>
      </c>
      <c r="W1683" s="41">
        <f t="shared" si="149"/>
        <v>0</v>
      </c>
    </row>
    <row r="1684" spans="1:23" ht="14.4" customHeight="1" x14ac:dyDescent="0.25">
      <c r="A1684" s="149"/>
      <c r="V1684" s="128">
        <f t="shared" si="148"/>
        <v>0</v>
      </c>
      <c r="W1684" s="41">
        <f t="shared" si="149"/>
        <v>0</v>
      </c>
    </row>
    <row r="1685" spans="1:23" ht="14.4" customHeight="1" x14ac:dyDescent="0.25">
      <c r="A1685" s="149"/>
      <c r="V1685" s="128">
        <f t="shared" si="148"/>
        <v>0</v>
      </c>
      <c r="W1685" s="41">
        <f t="shared" si="149"/>
        <v>0</v>
      </c>
    </row>
    <row r="1686" spans="1:23" ht="14.4" customHeight="1" x14ac:dyDescent="0.25">
      <c r="A1686" s="149"/>
      <c r="V1686" s="128">
        <f t="shared" si="148"/>
        <v>0</v>
      </c>
      <c r="W1686" s="41">
        <f t="shared" si="149"/>
        <v>0</v>
      </c>
    </row>
    <row r="1687" spans="1:23" ht="14.4" customHeight="1" x14ac:dyDescent="0.25">
      <c r="A1687" s="149"/>
      <c r="V1687" s="128">
        <f t="shared" si="148"/>
        <v>0</v>
      </c>
      <c r="W1687" s="41">
        <f t="shared" si="149"/>
        <v>0</v>
      </c>
    </row>
    <row r="1688" spans="1:23" ht="14.4" customHeight="1" x14ac:dyDescent="0.25">
      <c r="A1688" s="149"/>
      <c r="V1688" s="128">
        <f t="shared" si="148"/>
        <v>0</v>
      </c>
      <c r="W1688" s="41">
        <f t="shared" si="149"/>
        <v>0</v>
      </c>
    </row>
    <row r="1689" spans="1:23" ht="14.4" customHeight="1" x14ac:dyDescent="0.25">
      <c r="A1689" s="149"/>
      <c r="V1689" s="128">
        <f t="shared" si="148"/>
        <v>0</v>
      </c>
      <c r="W1689" s="41">
        <f t="shared" si="149"/>
        <v>0</v>
      </c>
    </row>
    <row r="1690" spans="1:23" ht="14.4" customHeight="1" x14ac:dyDescent="0.25">
      <c r="A1690" s="149"/>
      <c r="V1690" s="128">
        <f t="shared" si="148"/>
        <v>0</v>
      </c>
      <c r="W1690" s="41">
        <f t="shared" si="149"/>
        <v>0</v>
      </c>
    </row>
    <row r="1691" spans="1:23" ht="14.4" customHeight="1" x14ac:dyDescent="0.25">
      <c r="A1691" s="149"/>
      <c r="V1691" s="128">
        <f t="shared" si="148"/>
        <v>0</v>
      </c>
      <c r="W1691" s="41">
        <f t="shared" si="149"/>
        <v>0</v>
      </c>
    </row>
    <row r="1692" spans="1:23" ht="14.4" customHeight="1" x14ac:dyDescent="0.25">
      <c r="A1692" s="149"/>
      <c r="V1692" s="128">
        <f t="shared" si="148"/>
        <v>0</v>
      </c>
      <c r="W1692" s="41">
        <f t="shared" si="149"/>
        <v>0</v>
      </c>
    </row>
    <row r="1693" spans="1:23" ht="14.4" customHeight="1" x14ac:dyDescent="0.25">
      <c r="A1693" s="149"/>
      <c r="V1693" s="128">
        <f t="shared" ref="V1693:V1756" si="150">D1693-G1693-I1693-L1693-R1693-E1693</f>
        <v>0</v>
      </c>
      <c r="W1693" s="41">
        <f t="shared" ref="W1693:W1756" si="151">G1693+I1693+L1693+R1693</f>
        <v>0</v>
      </c>
    </row>
    <row r="1694" spans="1:23" ht="14.4" customHeight="1" x14ac:dyDescent="0.25">
      <c r="A1694" s="149"/>
      <c r="V1694" s="128">
        <f t="shared" si="150"/>
        <v>0</v>
      </c>
      <c r="W1694" s="41">
        <f t="shared" si="151"/>
        <v>0</v>
      </c>
    </row>
    <row r="1695" spans="1:23" ht="14.4" customHeight="1" x14ac:dyDescent="0.25">
      <c r="A1695" s="149"/>
      <c r="V1695" s="128">
        <f t="shared" si="150"/>
        <v>0</v>
      </c>
      <c r="W1695" s="41">
        <f t="shared" si="151"/>
        <v>0</v>
      </c>
    </row>
    <row r="1696" spans="1:23" ht="14.4" customHeight="1" x14ac:dyDescent="0.25">
      <c r="A1696" s="149"/>
      <c r="V1696" s="128">
        <f t="shared" si="150"/>
        <v>0</v>
      </c>
      <c r="W1696" s="41">
        <f t="shared" si="151"/>
        <v>0</v>
      </c>
    </row>
    <row r="1697" spans="1:23" ht="14.4" customHeight="1" x14ac:dyDescent="0.25">
      <c r="A1697" s="149"/>
      <c r="V1697" s="128">
        <f t="shared" si="150"/>
        <v>0</v>
      </c>
      <c r="W1697" s="41">
        <f t="shared" si="151"/>
        <v>0</v>
      </c>
    </row>
    <row r="1698" spans="1:23" ht="14.4" customHeight="1" x14ac:dyDescent="0.25">
      <c r="A1698" s="149"/>
      <c r="V1698" s="128">
        <f t="shared" si="150"/>
        <v>0</v>
      </c>
      <c r="W1698" s="41">
        <f t="shared" si="151"/>
        <v>0</v>
      </c>
    </row>
    <row r="1699" spans="1:23" ht="14.4" customHeight="1" x14ac:dyDescent="0.25">
      <c r="A1699" s="149"/>
      <c r="V1699" s="128">
        <f t="shared" si="150"/>
        <v>0</v>
      </c>
      <c r="W1699" s="41">
        <f t="shared" si="151"/>
        <v>0</v>
      </c>
    </row>
    <row r="1700" spans="1:23" ht="14.4" customHeight="1" x14ac:dyDescent="0.25">
      <c r="A1700" s="149"/>
      <c r="V1700" s="128">
        <f t="shared" si="150"/>
        <v>0</v>
      </c>
      <c r="W1700" s="41">
        <f t="shared" si="151"/>
        <v>0</v>
      </c>
    </row>
    <row r="1701" spans="1:23" ht="14.4" customHeight="1" x14ac:dyDescent="0.25">
      <c r="A1701" s="149"/>
      <c r="V1701" s="128">
        <f t="shared" si="150"/>
        <v>0</v>
      </c>
      <c r="W1701" s="41">
        <f t="shared" si="151"/>
        <v>0</v>
      </c>
    </row>
    <row r="1702" spans="1:23" ht="14.4" customHeight="1" x14ac:dyDescent="0.25">
      <c r="A1702" s="149"/>
      <c r="V1702" s="128">
        <f t="shared" si="150"/>
        <v>0</v>
      </c>
      <c r="W1702" s="41">
        <f t="shared" si="151"/>
        <v>0</v>
      </c>
    </row>
    <row r="1703" spans="1:23" ht="14.4" customHeight="1" x14ac:dyDescent="0.25">
      <c r="A1703" s="149"/>
      <c r="V1703" s="128">
        <f t="shared" si="150"/>
        <v>0</v>
      </c>
      <c r="W1703" s="41">
        <f t="shared" si="151"/>
        <v>0</v>
      </c>
    </row>
    <row r="1704" spans="1:23" ht="14.4" customHeight="1" x14ac:dyDescent="0.25">
      <c r="A1704" s="149"/>
      <c r="V1704" s="128">
        <f t="shared" si="150"/>
        <v>0</v>
      </c>
      <c r="W1704" s="41">
        <f t="shared" si="151"/>
        <v>0</v>
      </c>
    </row>
    <row r="1705" spans="1:23" ht="14.4" customHeight="1" x14ac:dyDescent="0.25">
      <c r="A1705" s="149"/>
      <c r="V1705" s="128">
        <f t="shared" si="150"/>
        <v>0</v>
      </c>
      <c r="W1705" s="41">
        <f t="shared" si="151"/>
        <v>0</v>
      </c>
    </row>
    <row r="1706" spans="1:23" ht="14.4" customHeight="1" x14ac:dyDescent="0.25">
      <c r="A1706" s="149"/>
      <c r="V1706" s="128">
        <f t="shared" si="150"/>
        <v>0</v>
      </c>
      <c r="W1706" s="41">
        <f t="shared" si="151"/>
        <v>0</v>
      </c>
    </row>
    <row r="1707" spans="1:23" ht="14.4" customHeight="1" x14ac:dyDescent="0.25">
      <c r="A1707" s="149"/>
      <c r="V1707" s="128">
        <f t="shared" si="150"/>
        <v>0</v>
      </c>
      <c r="W1707" s="41">
        <f t="shared" si="151"/>
        <v>0</v>
      </c>
    </row>
    <row r="1708" spans="1:23" ht="14.4" customHeight="1" x14ac:dyDescent="0.25">
      <c r="A1708" s="149"/>
      <c r="V1708" s="128">
        <f t="shared" si="150"/>
        <v>0</v>
      </c>
      <c r="W1708" s="41">
        <f t="shared" si="151"/>
        <v>0</v>
      </c>
    </row>
    <row r="1709" spans="1:23" ht="14.4" customHeight="1" x14ac:dyDescent="0.25">
      <c r="A1709" s="149"/>
      <c r="V1709" s="128">
        <f t="shared" si="150"/>
        <v>0</v>
      </c>
      <c r="W1709" s="41">
        <f t="shared" si="151"/>
        <v>0</v>
      </c>
    </row>
    <row r="1710" spans="1:23" ht="14.4" customHeight="1" x14ac:dyDescent="0.25">
      <c r="A1710" s="149"/>
      <c r="V1710" s="128">
        <f t="shared" si="150"/>
        <v>0</v>
      </c>
      <c r="W1710" s="41">
        <f t="shared" si="151"/>
        <v>0</v>
      </c>
    </row>
    <row r="1711" spans="1:23" ht="14.4" customHeight="1" x14ac:dyDescent="0.25">
      <c r="A1711" s="149"/>
      <c r="V1711" s="128">
        <f t="shared" si="150"/>
        <v>0</v>
      </c>
      <c r="W1711" s="41">
        <f t="shared" si="151"/>
        <v>0</v>
      </c>
    </row>
    <row r="1712" spans="1:23" ht="14.4" customHeight="1" x14ac:dyDescent="0.25">
      <c r="A1712" s="149"/>
      <c r="V1712" s="128">
        <f t="shared" si="150"/>
        <v>0</v>
      </c>
      <c r="W1712" s="41">
        <f t="shared" si="151"/>
        <v>0</v>
      </c>
    </row>
    <row r="1713" spans="1:23" ht="14.4" customHeight="1" x14ac:dyDescent="0.25">
      <c r="A1713" s="149"/>
      <c r="V1713" s="128">
        <f t="shared" si="150"/>
        <v>0</v>
      </c>
      <c r="W1713" s="41">
        <f t="shared" si="151"/>
        <v>0</v>
      </c>
    </row>
    <row r="1714" spans="1:23" ht="14.4" customHeight="1" x14ac:dyDescent="0.25">
      <c r="A1714" s="149"/>
      <c r="V1714" s="128">
        <f t="shared" si="150"/>
        <v>0</v>
      </c>
      <c r="W1714" s="41">
        <f t="shared" si="151"/>
        <v>0</v>
      </c>
    </row>
    <row r="1715" spans="1:23" ht="14.4" customHeight="1" x14ac:dyDescent="0.25">
      <c r="A1715" s="149"/>
      <c r="V1715" s="128">
        <f t="shared" si="150"/>
        <v>0</v>
      </c>
      <c r="W1715" s="41">
        <f t="shared" si="151"/>
        <v>0</v>
      </c>
    </row>
    <row r="1716" spans="1:23" ht="14.4" customHeight="1" x14ac:dyDescent="0.25">
      <c r="A1716" s="149"/>
      <c r="V1716" s="128">
        <f t="shared" si="150"/>
        <v>0</v>
      </c>
      <c r="W1716" s="41">
        <f t="shared" si="151"/>
        <v>0</v>
      </c>
    </row>
    <row r="1717" spans="1:23" ht="14.4" customHeight="1" x14ac:dyDescent="0.25">
      <c r="A1717" s="149"/>
      <c r="V1717" s="128">
        <f t="shared" si="150"/>
        <v>0</v>
      </c>
      <c r="W1717" s="41">
        <f t="shared" si="151"/>
        <v>0</v>
      </c>
    </row>
    <row r="1718" spans="1:23" ht="14.4" customHeight="1" x14ac:dyDescent="0.25">
      <c r="A1718" s="149"/>
      <c r="V1718" s="128">
        <f t="shared" si="150"/>
        <v>0</v>
      </c>
      <c r="W1718" s="41">
        <f t="shared" si="151"/>
        <v>0</v>
      </c>
    </row>
    <row r="1719" spans="1:23" ht="14.4" customHeight="1" x14ac:dyDescent="0.25">
      <c r="A1719" s="149"/>
      <c r="V1719" s="128">
        <f t="shared" si="150"/>
        <v>0</v>
      </c>
      <c r="W1719" s="41">
        <f t="shared" si="151"/>
        <v>0</v>
      </c>
    </row>
    <row r="1720" spans="1:23" ht="14.4" customHeight="1" x14ac:dyDescent="0.25">
      <c r="A1720" s="149"/>
      <c r="V1720" s="128">
        <f t="shared" si="150"/>
        <v>0</v>
      </c>
      <c r="W1720" s="41">
        <f t="shared" si="151"/>
        <v>0</v>
      </c>
    </row>
    <row r="1721" spans="1:23" ht="14.4" customHeight="1" x14ac:dyDescent="0.25">
      <c r="A1721" s="149"/>
      <c r="V1721" s="128">
        <f t="shared" si="150"/>
        <v>0</v>
      </c>
      <c r="W1721" s="41">
        <f t="shared" si="151"/>
        <v>0</v>
      </c>
    </row>
    <row r="1722" spans="1:23" ht="14.4" customHeight="1" x14ac:dyDescent="0.25">
      <c r="A1722" s="149"/>
      <c r="V1722" s="128">
        <f t="shared" si="150"/>
        <v>0</v>
      </c>
      <c r="W1722" s="41">
        <f t="shared" si="151"/>
        <v>0</v>
      </c>
    </row>
    <row r="1723" spans="1:23" ht="14.4" customHeight="1" x14ac:dyDescent="0.25">
      <c r="A1723" s="149"/>
      <c r="V1723" s="128">
        <f t="shared" si="150"/>
        <v>0</v>
      </c>
      <c r="W1723" s="41">
        <f t="shared" si="151"/>
        <v>0</v>
      </c>
    </row>
    <row r="1724" spans="1:23" ht="14.4" customHeight="1" x14ac:dyDescent="0.25">
      <c r="A1724" s="149"/>
      <c r="V1724" s="128">
        <f t="shared" si="150"/>
        <v>0</v>
      </c>
      <c r="W1724" s="41">
        <f t="shared" si="151"/>
        <v>0</v>
      </c>
    </row>
    <row r="1725" spans="1:23" ht="14.4" customHeight="1" x14ac:dyDescent="0.25">
      <c r="A1725" s="149"/>
      <c r="V1725" s="128">
        <f t="shared" si="150"/>
        <v>0</v>
      </c>
      <c r="W1725" s="41">
        <f t="shared" si="151"/>
        <v>0</v>
      </c>
    </row>
    <row r="1726" spans="1:23" ht="14.4" customHeight="1" x14ac:dyDescent="0.25">
      <c r="A1726" s="149"/>
      <c r="V1726" s="128">
        <f t="shared" si="150"/>
        <v>0</v>
      </c>
      <c r="W1726" s="41">
        <f t="shared" si="151"/>
        <v>0</v>
      </c>
    </row>
    <row r="1727" spans="1:23" ht="14.4" customHeight="1" x14ac:dyDescent="0.25">
      <c r="A1727" s="149"/>
      <c r="V1727" s="128">
        <f t="shared" si="150"/>
        <v>0</v>
      </c>
      <c r="W1727" s="41">
        <f t="shared" si="151"/>
        <v>0</v>
      </c>
    </row>
    <row r="1728" spans="1:23" ht="14.4" customHeight="1" x14ac:dyDescent="0.25">
      <c r="A1728" s="149"/>
      <c r="V1728" s="128">
        <f t="shared" si="150"/>
        <v>0</v>
      </c>
      <c r="W1728" s="41">
        <f t="shared" si="151"/>
        <v>0</v>
      </c>
    </row>
    <row r="1729" spans="1:23" ht="14.4" customHeight="1" x14ac:dyDescent="0.25">
      <c r="A1729" s="149"/>
      <c r="V1729" s="128">
        <f t="shared" si="150"/>
        <v>0</v>
      </c>
      <c r="W1729" s="41">
        <f t="shared" si="151"/>
        <v>0</v>
      </c>
    </row>
    <row r="1730" spans="1:23" ht="14.4" customHeight="1" x14ac:dyDescent="0.25">
      <c r="A1730" s="149"/>
      <c r="V1730" s="128">
        <f t="shared" si="150"/>
        <v>0</v>
      </c>
      <c r="W1730" s="41">
        <f t="shared" si="151"/>
        <v>0</v>
      </c>
    </row>
    <row r="1731" spans="1:23" ht="14.4" customHeight="1" x14ac:dyDescent="0.25">
      <c r="A1731" s="149"/>
      <c r="V1731" s="128">
        <f t="shared" si="150"/>
        <v>0</v>
      </c>
      <c r="W1731" s="41">
        <f t="shared" si="151"/>
        <v>0</v>
      </c>
    </row>
    <row r="1732" spans="1:23" ht="14.4" customHeight="1" x14ac:dyDescent="0.25">
      <c r="A1732" s="149"/>
      <c r="V1732" s="128">
        <f t="shared" si="150"/>
        <v>0</v>
      </c>
      <c r="W1732" s="41">
        <f t="shared" si="151"/>
        <v>0</v>
      </c>
    </row>
    <row r="1733" spans="1:23" ht="14.4" customHeight="1" x14ac:dyDescent="0.25">
      <c r="A1733" s="149"/>
      <c r="V1733" s="128">
        <f t="shared" si="150"/>
        <v>0</v>
      </c>
      <c r="W1733" s="41">
        <f t="shared" si="151"/>
        <v>0</v>
      </c>
    </row>
    <row r="1734" spans="1:23" ht="14.4" customHeight="1" x14ac:dyDescent="0.25">
      <c r="A1734" s="149"/>
      <c r="V1734" s="128">
        <f t="shared" si="150"/>
        <v>0</v>
      </c>
      <c r="W1734" s="41">
        <f t="shared" si="151"/>
        <v>0</v>
      </c>
    </row>
    <row r="1735" spans="1:23" ht="14.4" customHeight="1" x14ac:dyDescent="0.25">
      <c r="A1735" s="149"/>
      <c r="V1735" s="128">
        <f t="shared" si="150"/>
        <v>0</v>
      </c>
      <c r="W1735" s="41">
        <f t="shared" si="151"/>
        <v>0</v>
      </c>
    </row>
    <row r="1736" spans="1:23" ht="14.4" customHeight="1" x14ac:dyDescent="0.25">
      <c r="A1736" s="149"/>
      <c r="V1736" s="128">
        <f t="shared" si="150"/>
        <v>0</v>
      </c>
      <c r="W1736" s="41">
        <f t="shared" si="151"/>
        <v>0</v>
      </c>
    </row>
    <row r="1737" spans="1:23" ht="14.4" customHeight="1" x14ac:dyDescent="0.25">
      <c r="A1737" s="149"/>
      <c r="V1737" s="128">
        <f t="shared" si="150"/>
        <v>0</v>
      </c>
      <c r="W1737" s="41">
        <f t="shared" si="151"/>
        <v>0</v>
      </c>
    </row>
    <row r="1738" spans="1:23" ht="14.4" customHeight="1" x14ac:dyDescent="0.25">
      <c r="A1738" s="149"/>
      <c r="V1738" s="128">
        <f t="shared" si="150"/>
        <v>0</v>
      </c>
      <c r="W1738" s="41">
        <f t="shared" si="151"/>
        <v>0</v>
      </c>
    </row>
    <row r="1739" spans="1:23" ht="14.4" customHeight="1" x14ac:dyDescent="0.25">
      <c r="A1739" s="149"/>
      <c r="V1739" s="128">
        <f t="shared" si="150"/>
        <v>0</v>
      </c>
      <c r="W1739" s="41">
        <f t="shared" si="151"/>
        <v>0</v>
      </c>
    </row>
    <row r="1740" spans="1:23" ht="14.4" customHeight="1" x14ac:dyDescent="0.25">
      <c r="A1740" s="149"/>
      <c r="V1740" s="128">
        <f t="shared" si="150"/>
        <v>0</v>
      </c>
      <c r="W1740" s="41">
        <f t="shared" si="151"/>
        <v>0</v>
      </c>
    </row>
    <row r="1741" spans="1:23" ht="14.4" customHeight="1" x14ac:dyDescent="0.25">
      <c r="A1741" s="149"/>
      <c r="V1741" s="128">
        <f t="shared" si="150"/>
        <v>0</v>
      </c>
      <c r="W1741" s="41">
        <f t="shared" si="151"/>
        <v>0</v>
      </c>
    </row>
    <row r="1742" spans="1:23" ht="14.4" customHeight="1" x14ac:dyDescent="0.25">
      <c r="A1742" s="149"/>
      <c r="V1742" s="128">
        <f t="shared" si="150"/>
        <v>0</v>
      </c>
      <c r="W1742" s="41">
        <f t="shared" si="151"/>
        <v>0</v>
      </c>
    </row>
    <row r="1743" spans="1:23" ht="14.4" customHeight="1" x14ac:dyDescent="0.25">
      <c r="A1743" s="149"/>
      <c r="V1743" s="128">
        <f t="shared" si="150"/>
        <v>0</v>
      </c>
      <c r="W1743" s="41">
        <f t="shared" si="151"/>
        <v>0</v>
      </c>
    </row>
    <row r="1744" spans="1:23" ht="14.4" customHeight="1" x14ac:dyDescent="0.25">
      <c r="A1744" s="149"/>
      <c r="V1744" s="128">
        <f t="shared" si="150"/>
        <v>0</v>
      </c>
      <c r="W1744" s="41">
        <f t="shared" si="151"/>
        <v>0</v>
      </c>
    </row>
    <row r="1745" spans="1:23" ht="14.4" customHeight="1" x14ac:dyDescent="0.25">
      <c r="A1745" s="149"/>
      <c r="V1745" s="128">
        <f t="shared" si="150"/>
        <v>0</v>
      </c>
      <c r="W1745" s="41">
        <f t="shared" si="151"/>
        <v>0</v>
      </c>
    </row>
    <row r="1746" spans="1:23" ht="14.4" customHeight="1" x14ac:dyDescent="0.25">
      <c r="A1746" s="149"/>
      <c r="V1746" s="128">
        <f t="shared" si="150"/>
        <v>0</v>
      </c>
      <c r="W1746" s="41">
        <f t="shared" si="151"/>
        <v>0</v>
      </c>
    </row>
    <row r="1747" spans="1:23" ht="14.4" customHeight="1" x14ac:dyDescent="0.25">
      <c r="A1747" s="149"/>
      <c r="V1747" s="128">
        <f t="shared" si="150"/>
        <v>0</v>
      </c>
      <c r="W1747" s="41">
        <f t="shared" si="151"/>
        <v>0</v>
      </c>
    </row>
    <row r="1748" spans="1:23" ht="14.4" customHeight="1" x14ac:dyDescent="0.25">
      <c r="A1748" s="149"/>
      <c r="V1748" s="128">
        <f t="shared" si="150"/>
        <v>0</v>
      </c>
      <c r="W1748" s="41">
        <f t="shared" si="151"/>
        <v>0</v>
      </c>
    </row>
    <row r="1749" spans="1:23" ht="14.4" customHeight="1" x14ac:dyDescent="0.25">
      <c r="A1749" s="149"/>
      <c r="V1749" s="128">
        <f t="shared" si="150"/>
        <v>0</v>
      </c>
      <c r="W1749" s="41">
        <f t="shared" si="151"/>
        <v>0</v>
      </c>
    </row>
    <row r="1750" spans="1:23" ht="14.4" customHeight="1" x14ac:dyDescent="0.25">
      <c r="A1750" s="149"/>
      <c r="V1750" s="128">
        <f t="shared" si="150"/>
        <v>0</v>
      </c>
      <c r="W1750" s="41">
        <f t="shared" si="151"/>
        <v>0</v>
      </c>
    </row>
    <row r="1751" spans="1:23" ht="14.4" customHeight="1" x14ac:dyDescent="0.25">
      <c r="A1751" s="149"/>
      <c r="V1751" s="128">
        <f t="shared" si="150"/>
        <v>0</v>
      </c>
      <c r="W1751" s="41">
        <f t="shared" si="151"/>
        <v>0</v>
      </c>
    </row>
    <row r="1752" spans="1:23" ht="14.4" customHeight="1" x14ac:dyDescent="0.25">
      <c r="A1752" s="149"/>
      <c r="V1752" s="128">
        <f t="shared" si="150"/>
        <v>0</v>
      </c>
      <c r="W1752" s="41">
        <f t="shared" si="151"/>
        <v>0</v>
      </c>
    </row>
    <row r="1753" spans="1:23" ht="14.4" customHeight="1" x14ac:dyDescent="0.25">
      <c r="A1753" s="149"/>
      <c r="V1753" s="128">
        <f t="shared" si="150"/>
        <v>0</v>
      </c>
      <c r="W1753" s="41">
        <f t="shared" si="151"/>
        <v>0</v>
      </c>
    </row>
    <row r="1754" spans="1:23" ht="14.4" customHeight="1" x14ac:dyDescent="0.25">
      <c r="A1754" s="149"/>
      <c r="V1754" s="128">
        <f t="shared" si="150"/>
        <v>0</v>
      </c>
      <c r="W1754" s="41">
        <f t="shared" si="151"/>
        <v>0</v>
      </c>
    </row>
    <row r="1755" spans="1:23" ht="14.4" customHeight="1" x14ac:dyDescent="0.25">
      <c r="A1755" s="149"/>
      <c r="V1755" s="128">
        <f t="shared" si="150"/>
        <v>0</v>
      </c>
      <c r="W1755" s="41">
        <f t="shared" si="151"/>
        <v>0</v>
      </c>
    </row>
    <row r="1756" spans="1:23" ht="14.4" customHeight="1" x14ac:dyDescent="0.25">
      <c r="A1756" s="149"/>
      <c r="V1756" s="128">
        <f t="shared" si="150"/>
        <v>0</v>
      </c>
      <c r="W1756" s="41">
        <f t="shared" si="151"/>
        <v>0</v>
      </c>
    </row>
    <row r="1757" spans="1:23" ht="14.4" customHeight="1" x14ac:dyDescent="0.25">
      <c r="A1757" s="149"/>
      <c r="V1757" s="128">
        <f t="shared" ref="V1757:V1820" si="152">D1757-G1757-I1757-L1757-R1757-E1757</f>
        <v>0</v>
      </c>
      <c r="W1757" s="41">
        <f t="shared" ref="W1757:W1820" si="153">G1757+I1757+L1757+R1757</f>
        <v>0</v>
      </c>
    </row>
    <row r="1758" spans="1:23" ht="14.4" customHeight="1" x14ac:dyDescent="0.25">
      <c r="A1758" s="149"/>
      <c r="V1758" s="128">
        <f t="shared" si="152"/>
        <v>0</v>
      </c>
      <c r="W1758" s="41">
        <f t="shared" si="153"/>
        <v>0</v>
      </c>
    </row>
    <row r="1759" spans="1:23" ht="14.4" customHeight="1" x14ac:dyDescent="0.25">
      <c r="A1759" s="149"/>
      <c r="V1759" s="128">
        <f t="shared" si="152"/>
        <v>0</v>
      </c>
      <c r="W1759" s="41">
        <f t="shared" si="153"/>
        <v>0</v>
      </c>
    </row>
    <row r="1760" spans="1:23" ht="14.4" customHeight="1" x14ac:dyDescent="0.25">
      <c r="A1760" s="149"/>
      <c r="V1760" s="128">
        <f t="shared" si="152"/>
        <v>0</v>
      </c>
      <c r="W1760" s="41">
        <f t="shared" si="153"/>
        <v>0</v>
      </c>
    </row>
    <row r="1761" spans="1:23" ht="14.4" customHeight="1" x14ac:dyDescent="0.25">
      <c r="A1761" s="149"/>
      <c r="V1761" s="128">
        <f t="shared" si="152"/>
        <v>0</v>
      </c>
      <c r="W1761" s="41">
        <f t="shared" si="153"/>
        <v>0</v>
      </c>
    </row>
    <row r="1762" spans="1:23" ht="14.4" customHeight="1" x14ac:dyDescent="0.25">
      <c r="A1762" s="149"/>
      <c r="V1762" s="128">
        <f t="shared" si="152"/>
        <v>0</v>
      </c>
      <c r="W1762" s="41">
        <f t="shared" si="153"/>
        <v>0</v>
      </c>
    </row>
    <row r="1763" spans="1:23" ht="14.4" customHeight="1" x14ac:dyDescent="0.25">
      <c r="A1763" s="149"/>
      <c r="V1763" s="128">
        <f t="shared" si="152"/>
        <v>0</v>
      </c>
      <c r="W1763" s="41">
        <f t="shared" si="153"/>
        <v>0</v>
      </c>
    </row>
    <row r="1764" spans="1:23" ht="14.4" customHeight="1" x14ac:dyDescent="0.25">
      <c r="A1764" s="149"/>
      <c r="V1764" s="128">
        <f t="shared" si="152"/>
        <v>0</v>
      </c>
      <c r="W1764" s="41">
        <f t="shared" si="153"/>
        <v>0</v>
      </c>
    </row>
    <row r="1765" spans="1:23" ht="14.4" customHeight="1" x14ac:dyDescent="0.25">
      <c r="A1765" s="149"/>
      <c r="V1765" s="128">
        <f t="shared" si="152"/>
        <v>0</v>
      </c>
      <c r="W1765" s="41">
        <f t="shared" si="153"/>
        <v>0</v>
      </c>
    </row>
    <row r="1766" spans="1:23" ht="14.4" customHeight="1" x14ac:dyDescent="0.25">
      <c r="A1766" s="149"/>
      <c r="V1766" s="128">
        <f t="shared" si="152"/>
        <v>0</v>
      </c>
      <c r="W1766" s="41">
        <f t="shared" si="153"/>
        <v>0</v>
      </c>
    </row>
    <row r="1767" spans="1:23" ht="14.4" customHeight="1" x14ac:dyDescent="0.25">
      <c r="A1767" s="149"/>
      <c r="V1767" s="128">
        <f t="shared" si="152"/>
        <v>0</v>
      </c>
      <c r="W1767" s="41">
        <f t="shared" si="153"/>
        <v>0</v>
      </c>
    </row>
    <row r="1768" spans="1:23" ht="14.4" customHeight="1" x14ac:dyDescent="0.25">
      <c r="A1768" s="149"/>
      <c r="V1768" s="128">
        <f t="shared" si="152"/>
        <v>0</v>
      </c>
      <c r="W1768" s="41">
        <f t="shared" si="153"/>
        <v>0</v>
      </c>
    </row>
    <row r="1769" spans="1:23" ht="14.4" customHeight="1" x14ac:dyDescent="0.25">
      <c r="A1769" s="149"/>
      <c r="V1769" s="128">
        <f t="shared" si="152"/>
        <v>0</v>
      </c>
      <c r="W1769" s="41">
        <f t="shared" si="153"/>
        <v>0</v>
      </c>
    </row>
    <row r="1770" spans="1:23" ht="14.4" customHeight="1" x14ac:dyDescent="0.25">
      <c r="A1770" s="149"/>
      <c r="V1770" s="128">
        <f t="shared" si="152"/>
        <v>0</v>
      </c>
      <c r="W1770" s="41">
        <f t="shared" si="153"/>
        <v>0</v>
      </c>
    </row>
    <row r="1771" spans="1:23" ht="14.4" customHeight="1" x14ac:dyDescent="0.25">
      <c r="A1771" s="149"/>
      <c r="V1771" s="128">
        <f t="shared" si="152"/>
        <v>0</v>
      </c>
      <c r="W1771" s="41">
        <f t="shared" si="153"/>
        <v>0</v>
      </c>
    </row>
    <row r="1772" spans="1:23" ht="14.4" customHeight="1" x14ac:dyDescent="0.25">
      <c r="A1772" s="149"/>
      <c r="V1772" s="128">
        <f t="shared" si="152"/>
        <v>0</v>
      </c>
      <c r="W1772" s="41">
        <f t="shared" si="153"/>
        <v>0</v>
      </c>
    </row>
    <row r="1773" spans="1:23" ht="14.4" customHeight="1" x14ac:dyDescent="0.25">
      <c r="A1773" s="149"/>
      <c r="V1773" s="128">
        <f t="shared" si="152"/>
        <v>0</v>
      </c>
      <c r="W1773" s="41">
        <f t="shared" si="153"/>
        <v>0</v>
      </c>
    </row>
    <row r="1774" spans="1:23" ht="14.4" customHeight="1" x14ac:dyDescent="0.25">
      <c r="A1774" s="149"/>
      <c r="V1774" s="128">
        <f t="shared" si="152"/>
        <v>0</v>
      </c>
      <c r="W1774" s="41">
        <f t="shared" si="153"/>
        <v>0</v>
      </c>
    </row>
    <row r="1775" spans="1:23" ht="14.4" customHeight="1" x14ac:dyDescent="0.25">
      <c r="A1775" s="149"/>
      <c r="V1775" s="128">
        <f t="shared" si="152"/>
        <v>0</v>
      </c>
      <c r="W1775" s="41">
        <f t="shared" si="153"/>
        <v>0</v>
      </c>
    </row>
    <row r="1776" spans="1:23" ht="14.4" customHeight="1" x14ac:dyDescent="0.25">
      <c r="A1776" s="149"/>
      <c r="V1776" s="128">
        <f t="shared" si="152"/>
        <v>0</v>
      </c>
      <c r="W1776" s="41">
        <f t="shared" si="153"/>
        <v>0</v>
      </c>
    </row>
    <row r="1777" spans="1:23" ht="14.4" customHeight="1" x14ac:dyDescent="0.25">
      <c r="A1777" s="149"/>
      <c r="V1777" s="128">
        <f t="shared" si="152"/>
        <v>0</v>
      </c>
      <c r="W1777" s="41">
        <f t="shared" si="153"/>
        <v>0</v>
      </c>
    </row>
    <row r="1778" spans="1:23" ht="14.4" customHeight="1" x14ac:dyDescent="0.25">
      <c r="A1778" s="149"/>
      <c r="V1778" s="128">
        <f t="shared" si="152"/>
        <v>0</v>
      </c>
      <c r="W1778" s="41">
        <f t="shared" si="153"/>
        <v>0</v>
      </c>
    </row>
    <row r="1779" spans="1:23" ht="14.4" customHeight="1" x14ac:dyDescent="0.25">
      <c r="A1779" s="149"/>
      <c r="V1779" s="128">
        <f t="shared" si="152"/>
        <v>0</v>
      </c>
      <c r="W1779" s="41">
        <f t="shared" si="153"/>
        <v>0</v>
      </c>
    </row>
    <row r="1780" spans="1:23" ht="14.4" customHeight="1" x14ac:dyDescent="0.25">
      <c r="A1780" s="149"/>
      <c r="V1780" s="128">
        <f t="shared" si="152"/>
        <v>0</v>
      </c>
      <c r="W1780" s="41">
        <f t="shared" si="153"/>
        <v>0</v>
      </c>
    </row>
    <row r="1781" spans="1:23" ht="14.4" customHeight="1" x14ac:dyDescent="0.25">
      <c r="A1781" s="149"/>
      <c r="V1781" s="128">
        <f t="shared" si="152"/>
        <v>0</v>
      </c>
      <c r="W1781" s="41">
        <f t="shared" si="153"/>
        <v>0</v>
      </c>
    </row>
    <row r="1782" spans="1:23" ht="14.4" customHeight="1" x14ac:dyDescent="0.25">
      <c r="A1782" s="149"/>
      <c r="V1782" s="128">
        <f t="shared" si="152"/>
        <v>0</v>
      </c>
      <c r="W1782" s="41">
        <f t="shared" si="153"/>
        <v>0</v>
      </c>
    </row>
    <row r="1783" spans="1:23" ht="14.4" customHeight="1" x14ac:dyDescent="0.25">
      <c r="A1783" s="149"/>
      <c r="V1783" s="128">
        <f t="shared" si="152"/>
        <v>0</v>
      </c>
      <c r="W1783" s="41">
        <f t="shared" si="153"/>
        <v>0</v>
      </c>
    </row>
    <row r="1784" spans="1:23" ht="14.4" customHeight="1" x14ac:dyDescent="0.25">
      <c r="A1784" s="149"/>
      <c r="V1784" s="128">
        <f t="shared" si="152"/>
        <v>0</v>
      </c>
      <c r="W1784" s="41">
        <f t="shared" si="153"/>
        <v>0</v>
      </c>
    </row>
    <row r="1785" spans="1:23" ht="14.4" customHeight="1" x14ac:dyDescent="0.25">
      <c r="A1785" s="149"/>
      <c r="V1785" s="128">
        <f t="shared" si="152"/>
        <v>0</v>
      </c>
      <c r="W1785" s="41">
        <f t="shared" si="153"/>
        <v>0</v>
      </c>
    </row>
    <row r="1786" spans="1:23" ht="14.4" customHeight="1" x14ac:dyDescent="0.25">
      <c r="A1786" s="149"/>
      <c r="V1786" s="128">
        <f t="shared" si="152"/>
        <v>0</v>
      </c>
      <c r="W1786" s="41">
        <f t="shared" si="153"/>
        <v>0</v>
      </c>
    </row>
    <row r="1787" spans="1:23" ht="14.4" customHeight="1" x14ac:dyDescent="0.25">
      <c r="A1787" s="149"/>
      <c r="V1787" s="128">
        <f t="shared" si="152"/>
        <v>0</v>
      </c>
      <c r="W1787" s="41">
        <f t="shared" si="153"/>
        <v>0</v>
      </c>
    </row>
    <row r="1788" spans="1:23" ht="14.4" customHeight="1" x14ac:dyDescent="0.25">
      <c r="A1788" s="149"/>
      <c r="V1788" s="128">
        <f t="shared" si="152"/>
        <v>0</v>
      </c>
      <c r="W1788" s="41">
        <f t="shared" si="153"/>
        <v>0</v>
      </c>
    </row>
    <row r="1789" spans="1:23" ht="14.4" customHeight="1" x14ac:dyDescent="0.25">
      <c r="A1789" s="149"/>
      <c r="V1789" s="128">
        <f t="shared" si="152"/>
        <v>0</v>
      </c>
      <c r="W1789" s="41">
        <f t="shared" si="153"/>
        <v>0</v>
      </c>
    </row>
    <row r="1790" spans="1:23" ht="14.4" customHeight="1" x14ac:dyDescent="0.25">
      <c r="A1790" s="149"/>
      <c r="V1790" s="128">
        <f t="shared" si="152"/>
        <v>0</v>
      </c>
      <c r="W1790" s="41">
        <f t="shared" si="153"/>
        <v>0</v>
      </c>
    </row>
    <row r="1791" spans="1:23" ht="14.4" customHeight="1" x14ac:dyDescent="0.25">
      <c r="A1791" s="149"/>
      <c r="V1791" s="128">
        <f t="shared" si="152"/>
        <v>0</v>
      </c>
      <c r="W1791" s="41">
        <f t="shared" si="153"/>
        <v>0</v>
      </c>
    </row>
    <row r="1792" spans="1:23" ht="14.4" customHeight="1" x14ac:dyDescent="0.25">
      <c r="A1792" s="149"/>
      <c r="V1792" s="128">
        <f t="shared" si="152"/>
        <v>0</v>
      </c>
      <c r="W1792" s="41">
        <f t="shared" si="153"/>
        <v>0</v>
      </c>
    </row>
    <row r="1793" spans="1:23" ht="14.4" customHeight="1" x14ac:dyDescent="0.25">
      <c r="A1793" s="149"/>
      <c r="V1793" s="128">
        <f t="shared" si="152"/>
        <v>0</v>
      </c>
      <c r="W1793" s="41">
        <f t="shared" si="153"/>
        <v>0</v>
      </c>
    </row>
    <row r="1794" spans="1:23" ht="14.4" customHeight="1" x14ac:dyDescent="0.25">
      <c r="A1794" s="149"/>
      <c r="V1794" s="128">
        <f t="shared" si="152"/>
        <v>0</v>
      </c>
      <c r="W1794" s="41">
        <f t="shared" si="153"/>
        <v>0</v>
      </c>
    </row>
    <row r="1795" spans="1:23" ht="14.4" customHeight="1" x14ac:dyDescent="0.25">
      <c r="A1795" s="149"/>
      <c r="V1795" s="128">
        <f t="shared" si="152"/>
        <v>0</v>
      </c>
      <c r="W1795" s="41">
        <f t="shared" si="153"/>
        <v>0</v>
      </c>
    </row>
    <row r="1796" spans="1:23" ht="14.4" customHeight="1" x14ac:dyDescent="0.25">
      <c r="A1796" s="149"/>
      <c r="V1796" s="128">
        <f t="shared" si="152"/>
        <v>0</v>
      </c>
      <c r="W1796" s="41">
        <f t="shared" si="153"/>
        <v>0</v>
      </c>
    </row>
    <row r="1797" spans="1:23" ht="14.4" customHeight="1" x14ac:dyDescent="0.25">
      <c r="A1797" s="149"/>
      <c r="V1797" s="128">
        <f t="shared" si="152"/>
        <v>0</v>
      </c>
      <c r="W1797" s="41">
        <f t="shared" si="153"/>
        <v>0</v>
      </c>
    </row>
    <row r="1798" spans="1:23" ht="14.4" customHeight="1" x14ac:dyDescent="0.25">
      <c r="A1798" s="149"/>
      <c r="V1798" s="128">
        <f t="shared" si="152"/>
        <v>0</v>
      </c>
      <c r="W1798" s="41">
        <f t="shared" si="153"/>
        <v>0</v>
      </c>
    </row>
    <row r="1799" spans="1:23" ht="14.4" customHeight="1" x14ac:dyDescent="0.25">
      <c r="A1799" s="149"/>
      <c r="V1799" s="128">
        <f t="shared" si="152"/>
        <v>0</v>
      </c>
      <c r="W1799" s="41">
        <f t="shared" si="153"/>
        <v>0</v>
      </c>
    </row>
    <row r="1800" spans="1:23" ht="14.4" customHeight="1" x14ac:dyDescent="0.25">
      <c r="A1800" s="149"/>
      <c r="V1800" s="128">
        <f t="shared" si="152"/>
        <v>0</v>
      </c>
      <c r="W1800" s="41">
        <f t="shared" si="153"/>
        <v>0</v>
      </c>
    </row>
    <row r="1801" spans="1:23" ht="14.4" customHeight="1" x14ac:dyDescent="0.25">
      <c r="A1801" s="149"/>
      <c r="V1801" s="128">
        <f t="shared" si="152"/>
        <v>0</v>
      </c>
      <c r="W1801" s="41">
        <f t="shared" si="153"/>
        <v>0</v>
      </c>
    </row>
    <row r="1802" spans="1:23" ht="14.4" customHeight="1" x14ac:dyDescent="0.25">
      <c r="A1802" s="149"/>
      <c r="V1802" s="128">
        <f t="shared" si="152"/>
        <v>0</v>
      </c>
      <c r="W1802" s="41">
        <f t="shared" si="153"/>
        <v>0</v>
      </c>
    </row>
    <row r="1803" spans="1:23" ht="14.4" customHeight="1" x14ac:dyDescent="0.25">
      <c r="A1803" s="149"/>
      <c r="V1803" s="128">
        <f t="shared" si="152"/>
        <v>0</v>
      </c>
      <c r="W1803" s="41">
        <f t="shared" si="153"/>
        <v>0</v>
      </c>
    </row>
    <row r="1804" spans="1:23" ht="14.4" customHeight="1" x14ac:dyDescent="0.25">
      <c r="A1804" s="149"/>
      <c r="V1804" s="128">
        <f t="shared" si="152"/>
        <v>0</v>
      </c>
      <c r="W1804" s="41">
        <f t="shared" si="153"/>
        <v>0</v>
      </c>
    </row>
    <row r="1805" spans="1:23" ht="14.4" customHeight="1" x14ac:dyDescent="0.25">
      <c r="A1805" s="149"/>
      <c r="V1805" s="128">
        <f t="shared" si="152"/>
        <v>0</v>
      </c>
      <c r="W1805" s="41">
        <f t="shared" si="153"/>
        <v>0</v>
      </c>
    </row>
    <row r="1806" spans="1:23" ht="14.4" customHeight="1" x14ac:dyDescent="0.25">
      <c r="A1806" s="149"/>
      <c r="V1806" s="128">
        <f t="shared" si="152"/>
        <v>0</v>
      </c>
      <c r="W1806" s="41">
        <f t="shared" si="153"/>
        <v>0</v>
      </c>
    </row>
    <row r="1807" spans="1:23" ht="14.4" customHeight="1" x14ac:dyDescent="0.25">
      <c r="A1807" s="149"/>
      <c r="V1807" s="128">
        <f t="shared" si="152"/>
        <v>0</v>
      </c>
      <c r="W1807" s="41">
        <f t="shared" si="153"/>
        <v>0</v>
      </c>
    </row>
    <row r="1808" spans="1:23" ht="14.4" customHeight="1" x14ac:dyDescent="0.25">
      <c r="A1808" s="149"/>
      <c r="V1808" s="128">
        <f t="shared" si="152"/>
        <v>0</v>
      </c>
      <c r="W1808" s="41">
        <f t="shared" si="153"/>
        <v>0</v>
      </c>
    </row>
    <row r="1809" spans="1:23" ht="14.4" customHeight="1" x14ac:dyDescent="0.25">
      <c r="A1809" s="149"/>
      <c r="V1809" s="128">
        <f t="shared" si="152"/>
        <v>0</v>
      </c>
      <c r="W1809" s="41">
        <f t="shared" si="153"/>
        <v>0</v>
      </c>
    </row>
    <row r="1810" spans="1:23" ht="14.4" customHeight="1" x14ac:dyDescent="0.25">
      <c r="A1810" s="149"/>
      <c r="V1810" s="128">
        <f t="shared" si="152"/>
        <v>0</v>
      </c>
      <c r="W1810" s="41">
        <f t="shared" si="153"/>
        <v>0</v>
      </c>
    </row>
    <row r="1811" spans="1:23" ht="14.4" customHeight="1" x14ac:dyDescent="0.25">
      <c r="A1811" s="149"/>
      <c r="V1811" s="128">
        <f t="shared" si="152"/>
        <v>0</v>
      </c>
      <c r="W1811" s="41">
        <f t="shared" si="153"/>
        <v>0</v>
      </c>
    </row>
    <row r="1812" spans="1:23" ht="14.4" customHeight="1" x14ac:dyDescent="0.25">
      <c r="A1812" s="149"/>
      <c r="V1812" s="128">
        <f t="shared" si="152"/>
        <v>0</v>
      </c>
      <c r="W1812" s="41">
        <f t="shared" si="153"/>
        <v>0</v>
      </c>
    </row>
    <row r="1813" spans="1:23" ht="14.4" customHeight="1" x14ac:dyDescent="0.25">
      <c r="A1813" s="149"/>
      <c r="V1813" s="128">
        <f t="shared" si="152"/>
        <v>0</v>
      </c>
      <c r="W1813" s="41">
        <f t="shared" si="153"/>
        <v>0</v>
      </c>
    </row>
    <row r="1814" spans="1:23" ht="14.4" customHeight="1" x14ac:dyDescent="0.25">
      <c r="A1814" s="149"/>
      <c r="V1814" s="128">
        <f t="shared" si="152"/>
        <v>0</v>
      </c>
      <c r="W1814" s="41">
        <f t="shared" si="153"/>
        <v>0</v>
      </c>
    </row>
    <row r="1815" spans="1:23" ht="14.4" customHeight="1" x14ac:dyDescent="0.25">
      <c r="A1815" s="149"/>
      <c r="V1815" s="128">
        <f t="shared" si="152"/>
        <v>0</v>
      </c>
      <c r="W1815" s="41">
        <f t="shared" si="153"/>
        <v>0</v>
      </c>
    </row>
    <row r="1816" spans="1:23" ht="14.4" customHeight="1" x14ac:dyDescent="0.25">
      <c r="A1816" s="149"/>
      <c r="V1816" s="128">
        <f t="shared" si="152"/>
        <v>0</v>
      </c>
      <c r="W1816" s="41">
        <f t="shared" si="153"/>
        <v>0</v>
      </c>
    </row>
    <row r="1817" spans="1:23" ht="14.4" customHeight="1" x14ac:dyDescent="0.25">
      <c r="A1817" s="149"/>
      <c r="V1817" s="128">
        <f t="shared" si="152"/>
        <v>0</v>
      </c>
      <c r="W1817" s="41">
        <f t="shared" si="153"/>
        <v>0</v>
      </c>
    </row>
    <row r="1818" spans="1:23" ht="14.4" customHeight="1" x14ac:dyDescent="0.25">
      <c r="A1818" s="149"/>
      <c r="V1818" s="128">
        <f t="shared" si="152"/>
        <v>0</v>
      </c>
      <c r="W1818" s="41">
        <f t="shared" si="153"/>
        <v>0</v>
      </c>
    </row>
    <row r="1819" spans="1:23" ht="14.4" customHeight="1" x14ac:dyDescent="0.25">
      <c r="A1819" s="149"/>
      <c r="V1819" s="128">
        <f t="shared" si="152"/>
        <v>0</v>
      </c>
      <c r="W1819" s="41">
        <f t="shared" si="153"/>
        <v>0</v>
      </c>
    </row>
    <row r="1820" spans="1:23" ht="14.4" customHeight="1" x14ac:dyDescent="0.25">
      <c r="A1820" s="149"/>
      <c r="V1820" s="128">
        <f t="shared" si="152"/>
        <v>0</v>
      </c>
      <c r="W1820" s="41">
        <f t="shared" si="153"/>
        <v>0</v>
      </c>
    </row>
    <row r="1821" spans="1:23" ht="14.4" customHeight="1" x14ac:dyDescent="0.25">
      <c r="A1821" s="149"/>
      <c r="V1821" s="128">
        <f t="shared" ref="V1821:V1884" si="154">D1821-G1821-I1821-L1821-R1821-E1821</f>
        <v>0</v>
      </c>
      <c r="W1821" s="41">
        <f t="shared" ref="W1821:W1884" si="155">G1821+I1821+L1821+R1821</f>
        <v>0</v>
      </c>
    </row>
    <row r="1822" spans="1:23" ht="14.4" customHeight="1" x14ac:dyDescent="0.25">
      <c r="A1822" s="149"/>
      <c r="V1822" s="128">
        <f t="shared" si="154"/>
        <v>0</v>
      </c>
      <c r="W1822" s="41">
        <f t="shared" si="155"/>
        <v>0</v>
      </c>
    </row>
    <row r="1823" spans="1:23" ht="14.4" customHeight="1" x14ac:dyDescent="0.25">
      <c r="A1823" s="149"/>
      <c r="V1823" s="128">
        <f t="shared" si="154"/>
        <v>0</v>
      </c>
      <c r="W1823" s="41">
        <f t="shared" si="155"/>
        <v>0</v>
      </c>
    </row>
    <row r="1824" spans="1:23" ht="14.4" customHeight="1" x14ac:dyDescent="0.25">
      <c r="A1824" s="149"/>
      <c r="V1824" s="128">
        <f t="shared" si="154"/>
        <v>0</v>
      </c>
      <c r="W1824" s="41">
        <f t="shared" si="155"/>
        <v>0</v>
      </c>
    </row>
    <row r="1825" spans="1:23" ht="14.4" customHeight="1" x14ac:dyDescent="0.25">
      <c r="A1825" s="149"/>
      <c r="V1825" s="128">
        <f t="shared" si="154"/>
        <v>0</v>
      </c>
      <c r="W1825" s="41">
        <f t="shared" si="155"/>
        <v>0</v>
      </c>
    </row>
    <row r="1826" spans="1:23" ht="14.4" customHeight="1" x14ac:dyDescent="0.25">
      <c r="A1826" s="149"/>
      <c r="V1826" s="128">
        <f t="shared" si="154"/>
        <v>0</v>
      </c>
      <c r="W1826" s="41">
        <f t="shared" si="155"/>
        <v>0</v>
      </c>
    </row>
    <row r="1827" spans="1:23" ht="14.4" customHeight="1" x14ac:dyDescent="0.25">
      <c r="A1827" s="149"/>
      <c r="V1827" s="128">
        <f t="shared" si="154"/>
        <v>0</v>
      </c>
      <c r="W1827" s="41">
        <f t="shared" si="155"/>
        <v>0</v>
      </c>
    </row>
    <row r="1828" spans="1:23" ht="14.4" customHeight="1" x14ac:dyDescent="0.25">
      <c r="A1828" s="149"/>
      <c r="V1828" s="128">
        <f t="shared" si="154"/>
        <v>0</v>
      </c>
      <c r="W1828" s="41">
        <f t="shared" si="155"/>
        <v>0</v>
      </c>
    </row>
    <row r="1829" spans="1:23" ht="14.4" customHeight="1" x14ac:dyDescent="0.25">
      <c r="A1829" s="149"/>
      <c r="V1829" s="128">
        <f t="shared" si="154"/>
        <v>0</v>
      </c>
      <c r="W1829" s="41">
        <f t="shared" si="155"/>
        <v>0</v>
      </c>
    </row>
    <row r="1830" spans="1:23" ht="14.4" customHeight="1" x14ac:dyDescent="0.25">
      <c r="A1830" s="149"/>
      <c r="V1830" s="128">
        <f t="shared" si="154"/>
        <v>0</v>
      </c>
      <c r="W1830" s="41">
        <f t="shared" si="155"/>
        <v>0</v>
      </c>
    </row>
    <row r="1831" spans="1:23" ht="14.4" customHeight="1" x14ac:dyDescent="0.25">
      <c r="A1831" s="149"/>
      <c r="V1831" s="128">
        <f t="shared" si="154"/>
        <v>0</v>
      </c>
      <c r="W1831" s="41">
        <f t="shared" si="155"/>
        <v>0</v>
      </c>
    </row>
    <row r="1832" spans="1:23" ht="14.4" customHeight="1" x14ac:dyDescent="0.25">
      <c r="A1832" s="149"/>
      <c r="V1832" s="128">
        <f t="shared" si="154"/>
        <v>0</v>
      </c>
      <c r="W1832" s="41">
        <f t="shared" si="155"/>
        <v>0</v>
      </c>
    </row>
    <row r="1833" spans="1:23" ht="14.4" customHeight="1" x14ac:dyDescent="0.25">
      <c r="A1833" s="149"/>
      <c r="V1833" s="128">
        <f t="shared" si="154"/>
        <v>0</v>
      </c>
      <c r="W1833" s="41">
        <f t="shared" si="155"/>
        <v>0</v>
      </c>
    </row>
    <row r="1834" spans="1:23" ht="14.4" customHeight="1" x14ac:dyDescent="0.25">
      <c r="A1834" s="149"/>
      <c r="V1834" s="128">
        <f t="shared" si="154"/>
        <v>0</v>
      </c>
      <c r="W1834" s="41">
        <f t="shared" si="155"/>
        <v>0</v>
      </c>
    </row>
    <row r="1835" spans="1:23" ht="14.4" customHeight="1" x14ac:dyDescent="0.25">
      <c r="A1835" s="149"/>
      <c r="V1835" s="128">
        <f t="shared" si="154"/>
        <v>0</v>
      </c>
      <c r="W1835" s="41">
        <f t="shared" si="155"/>
        <v>0</v>
      </c>
    </row>
    <row r="1836" spans="1:23" ht="14.4" customHeight="1" x14ac:dyDescent="0.25">
      <c r="A1836" s="149"/>
      <c r="V1836" s="128">
        <f t="shared" si="154"/>
        <v>0</v>
      </c>
      <c r="W1836" s="41">
        <f t="shared" si="155"/>
        <v>0</v>
      </c>
    </row>
    <row r="1837" spans="1:23" ht="14.4" customHeight="1" x14ac:dyDescent="0.25">
      <c r="A1837" s="149"/>
      <c r="V1837" s="128">
        <f t="shared" si="154"/>
        <v>0</v>
      </c>
      <c r="W1837" s="41">
        <f t="shared" si="155"/>
        <v>0</v>
      </c>
    </row>
    <row r="1838" spans="1:23" ht="14.4" customHeight="1" x14ac:dyDescent="0.25">
      <c r="A1838" s="149"/>
      <c r="V1838" s="128">
        <f t="shared" si="154"/>
        <v>0</v>
      </c>
      <c r="W1838" s="41">
        <f t="shared" si="155"/>
        <v>0</v>
      </c>
    </row>
    <row r="1839" spans="1:23" ht="14.4" customHeight="1" x14ac:dyDescent="0.25">
      <c r="A1839" s="149"/>
      <c r="V1839" s="128">
        <f t="shared" si="154"/>
        <v>0</v>
      </c>
      <c r="W1839" s="41">
        <f t="shared" si="155"/>
        <v>0</v>
      </c>
    </row>
    <row r="1840" spans="1:23" ht="14.4" customHeight="1" x14ac:dyDescent="0.25">
      <c r="A1840" s="149"/>
      <c r="V1840" s="128">
        <f t="shared" si="154"/>
        <v>0</v>
      </c>
      <c r="W1840" s="41">
        <f t="shared" si="155"/>
        <v>0</v>
      </c>
    </row>
    <row r="1841" spans="1:23" ht="14.4" customHeight="1" x14ac:dyDescent="0.25">
      <c r="A1841" s="149"/>
      <c r="V1841" s="128">
        <f t="shared" si="154"/>
        <v>0</v>
      </c>
      <c r="W1841" s="41">
        <f t="shared" si="155"/>
        <v>0</v>
      </c>
    </row>
    <row r="1842" spans="1:23" ht="14.4" customHeight="1" x14ac:dyDescent="0.25">
      <c r="A1842" s="149"/>
      <c r="V1842" s="128">
        <f t="shared" si="154"/>
        <v>0</v>
      </c>
      <c r="W1842" s="41">
        <f t="shared" si="155"/>
        <v>0</v>
      </c>
    </row>
    <row r="1843" spans="1:23" ht="14.4" customHeight="1" x14ac:dyDescent="0.25">
      <c r="A1843" s="149"/>
      <c r="V1843" s="128">
        <f t="shared" si="154"/>
        <v>0</v>
      </c>
      <c r="W1843" s="41">
        <f t="shared" si="155"/>
        <v>0</v>
      </c>
    </row>
    <row r="1844" spans="1:23" ht="14.4" customHeight="1" x14ac:dyDescent="0.25">
      <c r="A1844" s="149"/>
      <c r="V1844" s="128">
        <f t="shared" si="154"/>
        <v>0</v>
      </c>
      <c r="W1844" s="41">
        <f t="shared" si="155"/>
        <v>0</v>
      </c>
    </row>
    <row r="1845" spans="1:23" ht="14.4" customHeight="1" x14ac:dyDescent="0.25">
      <c r="A1845" s="149"/>
      <c r="V1845" s="128">
        <f t="shared" si="154"/>
        <v>0</v>
      </c>
      <c r="W1845" s="41">
        <f t="shared" si="155"/>
        <v>0</v>
      </c>
    </row>
    <row r="1846" spans="1:23" ht="14.4" customHeight="1" x14ac:dyDescent="0.25">
      <c r="A1846" s="149"/>
      <c r="V1846" s="128">
        <f t="shared" si="154"/>
        <v>0</v>
      </c>
      <c r="W1846" s="41">
        <f t="shared" si="155"/>
        <v>0</v>
      </c>
    </row>
    <row r="1847" spans="1:23" ht="14.4" customHeight="1" x14ac:dyDescent="0.25">
      <c r="A1847" s="149"/>
      <c r="V1847" s="128">
        <f t="shared" si="154"/>
        <v>0</v>
      </c>
      <c r="W1847" s="41">
        <f t="shared" si="155"/>
        <v>0</v>
      </c>
    </row>
    <row r="1848" spans="1:23" ht="14.4" customHeight="1" x14ac:dyDescent="0.25">
      <c r="A1848" s="149"/>
      <c r="V1848" s="128">
        <f t="shared" si="154"/>
        <v>0</v>
      </c>
      <c r="W1848" s="41">
        <f t="shared" si="155"/>
        <v>0</v>
      </c>
    </row>
    <row r="1849" spans="1:23" ht="14.4" customHeight="1" x14ac:dyDescent="0.25">
      <c r="A1849" s="149"/>
      <c r="V1849" s="128">
        <f t="shared" si="154"/>
        <v>0</v>
      </c>
      <c r="W1849" s="41">
        <f t="shared" si="155"/>
        <v>0</v>
      </c>
    </row>
    <row r="1850" spans="1:23" ht="14.4" customHeight="1" x14ac:dyDescent="0.25">
      <c r="A1850" s="149"/>
      <c r="V1850" s="128">
        <f t="shared" si="154"/>
        <v>0</v>
      </c>
      <c r="W1850" s="41">
        <f t="shared" si="155"/>
        <v>0</v>
      </c>
    </row>
    <row r="1851" spans="1:23" ht="14.4" customHeight="1" x14ac:dyDescent="0.25">
      <c r="A1851" s="149"/>
      <c r="V1851" s="128">
        <f t="shared" si="154"/>
        <v>0</v>
      </c>
      <c r="W1851" s="41">
        <f t="shared" si="155"/>
        <v>0</v>
      </c>
    </row>
    <row r="1852" spans="1:23" ht="14.4" customHeight="1" x14ac:dyDescent="0.25">
      <c r="A1852" s="149"/>
      <c r="V1852" s="128">
        <f t="shared" si="154"/>
        <v>0</v>
      </c>
      <c r="W1852" s="41">
        <f t="shared" si="155"/>
        <v>0</v>
      </c>
    </row>
    <row r="1853" spans="1:23" ht="14.4" customHeight="1" x14ac:dyDescent="0.25">
      <c r="A1853" s="149"/>
      <c r="V1853" s="128">
        <f t="shared" si="154"/>
        <v>0</v>
      </c>
      <c r="W1853" s="41">
        <f t="shared" si="155"/>
        <v>0</v>
      </c>
    </row>
    <row r="1854" spans="1:23" ht="14.4" customHeight="1" x14ac:dyDescent="0.25">
      <c r="A1854" s="149"/>
      <c r="V1854" s="128">
        <f t="shared" si="154"/>
        <v>0</v>
      </c>
      <c r="W1854" s="41">
        <f t="shared" si="155"/>
        <v>0</v>
      </c>
    </row>
    <row r="1855" spans="1:23" ht="14.4" customHeight="1" x14ac:dyDescent="0.25">
      <c r="A1855" s="149"/>
      <c r="V1855" s="128">
        <f t="shared" si="154"/>
        <v>0</v>
      </c>
      <c r="W1855" s="41">
        <f t="shared" si="155"/>
        <v>0</v>
      </c>
    </row>
    <row r="1856" spans="1:23" ht="14.4" customHeight="1" x14ac:dyDescent="0.25">
      <c r="A1856" s="149"/>
      <c r="V1856" s="128">
        <f t="shared" si="154"/>
        <v>0</v>
      </c>
      <c r="W1856" s="41">
        <f t="shared" si="155"/>
        <v>0</v>
      </c>
    </row>
    <row r="1857" spans="1:23" ht="14.4" customHeight="1" x14ac:dyDescent="0.25">
      <c r="A1857" s="149"/>
      <c r="V1857" s="128">
        <f t="shared" si="154"/>
        <v>0</v>
      </c>
      <c r="W1857" s="41">
        <f t="shared" si="155"/>
        <v>0</v>
      </c>
    </row>
    <row r="1858" spans="1:23" ht="14.4" customHeight="1" x14ac:dyDescent="0.25">
      <c r="A1858" s="149"/>
      <c r="V1858" s="128">
        <f t="shared" si="154"/>
        <v>0</v>
      </c>
      <c r="W1858" s="41">
        <f t="shared" si="155"/>
        <v>0</v>
      </c>
    </row>
    <row r="1859" spans="1:23" ht="14.4" customHeight="1" x14ac:dyDescent="0.25">
      <c r="A1859" s="149"/>
      <c r="V1859" s="128">
        <f t="shared" si="154"/>
        <v>0</v>
      </c>
      <c r="W1859" s="41">
        <f t="shared" si="155"/>
        <v>0</v>
      </c>
    </row>
    <row r="1860" spans="1:23" ht="14.4" customHeight="1" x14ac:dyDescent="0.25">
      <c r="A1860" s="149"/>
      <c r="V1860" s="128">
        <f t="shared" si="154"/>
        <v>0</v>
      </c>
      <c r="W1860" s="41">
        <f t="shared" si="155"/>
        <v>0</v>
      </c>
    </row>
    <row r="1861" spans="1:23" ht="14.4" customHeight="1" x14ac:dyDescent="0.25">
      <c r="A1861" s="149"/>
      <c r="V1861" s="128">
        <f t="shared" si="154"/>
        <v>0</v>
      </c>
      <c r="W1861" s="41">
        <f t="shared" si="155"/>
        <v>0</v>
      </c>
    </row>
    <row r="1862" spans="1:23" ht="14.4" customHeight="1" x14ac:dyDescent="0.25">
      <c r="A1862" s="149"/>
      <c r="V1862" s="128">
        <f t="shared" si="154"/>
        <v>0</v>
      </c>
      <c r="W1862" s="41">
        <f t="shared" si="155"/>
        <v>0</v>
      </c>
    </row>
    <row r="1863" spans="1:23" ht="14.4" customHeight="1" x14ac:dyDescent="0.25">
      <c r="A1863" s="149"/>
      <c r="V1863" s="128">
        <f t="shared" si="154"/>
        <v>0</v>
      </c>
      <c r="W1863" s="41">
        <f t="shared" si="155"/>
        <v>0</v>
      </c>
    </row>
    <row r="1864" spans="1:23" ht="14.4" customHeight="1" x14ac:dyDescent="0.25">
      <c r="A1864" s="149"/>
      <c r="V1864" s="128">
        <f t="shared" si="154"/>
        <v>0</v>
      </c>
      <c r="W1864" s="41">
        <f t="shared" si="155"/>
        <v>0</v>
      </c>
    </row>
    <row r="1865" spans="1:23" ht="14.4" customHeight="1" x14ac:dyDescent="0.25">
      <c r="A1865" s="149"/>
      <c r="V1865" s="128">
        <f t="shared" si="154"/>
        <v>0</v>
      </c>
      <c r="W1865" s="41">
        <f t="shared" si="155"/>
        <v>0</v>
      </c>
    </row>
    <row r="1866" spans="1:23" ht="14.4" customHeight="1" x14ac:dyDescent="0.25">
      <c r="A1866" s="149"/>
      <c r="V1866" s="128">
        <f t="shared" si="154"/>
        <v>0</v>
      </c>
      <c r="W1866" s="41">
        <f t="shared" si="155"/>
        <v>0</v>
      </c>
    </row>
    <row r="1867" spans="1:23" ht="14.4" customHeight="1" x14ac:dyDescent="0.25">
      <c r="A1867" s="149"/>
      <c r="V1867" s="128">
        <f t="shared" si="154"/>
        <v>0</v>
      </c>
      <c r="W1867" s="41">
        <f t="shared" si="155"/>
        <v>0</v>
      </c>
    </row>
    <row r="1868" spans="1:23" ht="14.4" customHeight="1" x14ac:dyDescent="0.25">
      <c r="A1868" s="149"/>
      <c r="V1868" s="128">
        <f t="shared" si="154"/>
        <v>0</v>
      </c>
      <c r="W1868" s="41">
        <f t="shared" si="155"/>
        <v>0</v>
      </c>
    </row>
    <row r="1869" spans="1:23" ht="14.4" customHeight="1" x14ac:dyDescent="0.25">
      <c r="A1869" s="149"/>
      <c r="V1869" s="128">
        <f t="shared" si="154"/>
        <v>0</v>
      </c>
      <c r="W1869" s="41">
        <f t="shared" si="155"/>
        <v>0</v>
      </c>
    </row>
    <row r="1870" spans="1:23" ht="14.4" customHeight="1" x14ac:dyDescent="0.25">
      <c r="A1870" s="149"/>
      <c r="V1870" s="128">
        <f t="shared" si="154"/>
        <v>0</v>
      </c>
      <c r="W1870" s="41">
        <f t="shared" si="155"/>
        <v>0</v>
      </c>
    </row>
    <row r="1871" spans="1:23" ht="14.4" customHeight="1" x14ac:dyDescent="0.25">
      <c r="A1871" s="149"/>
      <c r="V1871" s="128">
        <f t="shared" si="154"/>
        <v>0</v>
      </c>
      <c r="W1871" s="41">
        <f t="shared" si="155"/>
        <v>0</v>
      </c>
    </row>
    <row r="1872" spans="1:23" ht="14.4" customHeight="1" x14ac:dyDescent="0.25">
      <c r="A1872" s="149"/>
      <c r="V1872" s="128">
        <f t="shared" si="154"/>
        <v>0</v>
      </c>
      <c r="W1872" s="41">
        <f t="shared" si="155"/>
        <v>0</v>
      </c>
    </row>
    <row r="1873" spans="1:23" ht="14.4" customHeight="1" x14ac:dyDescent="0.25">
      <c r="A1873" s="149"/>
      <c r="V1873" s="128">
        <f t="shared" si="154"/>
        <v>0</v>
      </c>
      <c r="W1873" s="41">
        <f t="shared" si="155"/>
        <v>0</v>
      </c>
    </row>
    <row r="1874" spans="1:23" ht="14.4" customHeight="1" x14ac:dyDescent="0.25">
      <c r="A1874" s="149"/>
      <c r="V1874" s="128">
        <f t="shared" si="154"/>
        <v>0</v>
      </c>
      <c r="W1874" s="41">
        <f t="shared" si="155"/>
        <v>0</v>
      </c>
    </row>
    <row r="1875" spans="1:23" ht="14.4" customHeight="1" x14ac:dyDescent="0.25">
      <c r="A1875" s="149"/>
      <c r="V1875" s="128">
        <f t="shared" si="154"/>
        <v>0</v>
      </c>
      <c r="W1875" s="41">
        <f t="shared" si="155"/>
        <v>0</v>
      </c>
    </row>
    <row r="1876" spans="1:23" ht="14.4" customHeight="1" x14ac:dyDescent="0.25">
      <c r="A1876" s="149"/>
      <c r="V1876" s="128">
        <f t="shared" si="154"/>
        <v>0</v>
      </c>
      <c r="W1876" s="41">
        <f t="shared" si="155"/>
        <v>0</v>
      </c>
    </row>
    <row r="1877" spans="1:23" ht="14.4" customHeight="1" x14ac:dyDescent="0.25">
      <c r="A1877" s="149"/>
      <c r="V1877" s="128">
        <f t="shared" si="154"/>
        <v>0</v>
      </c>
      <c r="W1877" s="41">
        <f t="shared" si="155"/>
        <v>0</v>
      </c>
    </row>
    <row r="1878" spans="1:23" ht="14.4" customHeight="1" x14ac:dyDescent="0.25">
      <c r="A1878" s="149"/>
      <c r="V1878" s="128">
        <f t="shared" si="154"/>
        <v>0</v>
      </c>
      <c r="W1878" s="41">
        <f t="shared" si="155"/>
        <v>0</v>
      </c>
    </row>
    <row r="1879" spans="1:23" ht="14.4" customHeight="1" x14ac:dyDescent="0.25">
      <c r="A1879" s="149"/>
      <c r="V1879" s="128">
        <f t="shared" si="154"/>
        <v>0</v>
      </c>
      <c r="W1879" s="41">
        <f t="shared" si="155"/>
        <v>0</v>
      </c>
    </row>
    <row r="1880" spans="1:23" ht="14.4" customHeight="1" x14ac:dyDescent="0.25">
      <c r="A1880" s="149"/>
      <c r="V1880" s="128">
        <f t="shared" si="154"/>
        <v>0</v>
      </c>
      <c r="W1880" s="41">
        <f t="shared" si="155"/>
        <v>0</v>
      </c>
    </row>
    <row r="1881" spans="1:23" ht="14.4" customHeight="1" x14ac:dyDescent="0.25">
      <c r="A1881" s="149"/>
      <c r="V1881" s="128">
        <f t="shared" si="154"/>
        <v>0</v>
      </c>
      <c r="W1881" s="41">
        <f t="shared" si="155"/>
        <v>0</v>
      </c>
    </row>
    <row r="1882" spans="1:23" ht="14.4" customHeight="1" x14ac:dyDescent="0.25">
      <c r="A1882" s="149"/>
      <c r="V1882" s="128">
        <f t="shared" si="154"/>
        <v>0</v>
      </c>
      <c r="W1882" s="41">
        <f t="shared" si="155"/>
        <v>0</v>
      </c>
    </row>
    <row r="1883" spans="1:23" ht="14.4" customHeight="1" x14ac:dyDescent="0.25">
      <c r="A1883" s="149"/>
      <c r="V1883" s="128">
        <f t="shared" si="154"/>
        <v>0</v>
      </c>
      <c r="W1883" s="41">
        <f t="shared" si="155"/>
        <v>0</v>
      </c>
    </row>
    <row r="1884" spans="1:23" ht="14.4" customHeight="1" x14ac:dyDescent="0.25">
      <c r="A1884" s="149"/>
      <c r="V1884" s="128">
        <f t="shared" si="154"/>
        <v>0</v>
      </c>
      <c r="W1884" s="41">
        <f t="shared" si="155"/>
        <v>0</v>
      </c>
    </row>
    <row r="1885" spans="1:23" ht="14.4" customHeight="1" x14ac:dyDescent="0.25">
      <c r="A1885" s="149"/>
      <c r="V1885" s="128">
        <f t="shared" ref="V1885:V1919" si="156">D1885-G1885-I1885-L1885-R1885-E1885</f>
        <v>0</v>
      </c>
      <c r="W1885" s="41">
        <f t="shared" ref="W1885:W1948" si="157">G1885+I1885+L1885+R1885</f>
        <v>0</v>
      </c>
    </row>
    <row r="1886" spans="1:23" ht="14.4" customHeight="1" x14ac:dyDescent="0.25">
      <c r="A1886" s="149"/>
      <c r="V1886" s="128">
        <f t="shared" si="156"/>
        <v>0</v>
      </c>
      <c r="W1886" s="41">
        <f t="shared" si="157"/>
        <v>0</v>
      </c>
    </row>
    <row r="1887" spans="1:23" ht="14.4" customHeight="1" x14ac:dyDescent="0.25">
      <c r="A1887" s="149"/>
      <c r="V1887" s="128">
        <f t="shared" si="156"/>
        <v>0</v>
      </c>
      <c r="W1887" s="41">
        <f t="shared" si="157"/>
        <v>0</v>
      </c>
    </row>
    <row r="1888" spans="1:23" ht="14.4" customHeight="1" x14ac:dyDescent="0.25">
      <c r="A1888" s="149"/>
      <c r="V1888" s="128">
        <f t="shared" si="156"/>
        <v>0</v>
      </c>
      <c r="W1888" s="41">
        <f t="shared" si="157"/>
        <v>0</v>
      </c>
    </row>
    <row r="1889" spans="1:23" ht="14.4" customHeight="1" x14ac:dyDescent="0.25">
      <c r="A1889" s="149"/>
      <c r="V1889" s="128">
        <f t="shared" si="156"/>
        <v>0</v>
      </c>
      <c r="W1889" s="41">
        <f t="shared" si="157"/>
        <v>0</v>
      </c>
    </row>
    <row r="1890" spans="1:23" ht="14.4" customHeight="1" x14ac:dyDescent="0.25">
      <c r="A1890" s="149"/>
      <c r="V1890" s="128">
        <f t="shared" si="156"/>
        <v>0</v>
      </c>
      <c r="W1890" s="41">
        <f t="shared" si="157"/>
        <v>0</v>
      </c>
    </row>
    <row r="1891" spans="1:23" ht="14.4" customHeight="1" x14ac:dyDescent="0.25">
      <c r="A1891" s="149"/>
      <c r="V1891" s="128">
        <f t="shared" si="156"/>
        <v>0</v>
      </c>
      <c r="W1891" s="41">
        <f t="shared" si="157"/>
        <v>0</v>
      </c>
    </row>
    <row r="1892" spans="1:23" ht="14.4" customHeight="1" x14ac:dyDescent="0.25">
      <c r="A1892" s="149"/>
      <c r="V1892" s="128">
        <f t="shared" si="156"/>
        <v>0</v>
      </c>
      <c r="W1892" s="41">
        <f t="shared" si="157"/>
        <v>0</v>
      </c>
    </row>
    <row r="1893" spans="1:23" ht="14.4" customHeight="1" x14ac:dyDescent="0.25">
      <c r="A1893" s="149"/>
      <c r="V1893" s="128">
        <f t="shared" si="156"/>
        <v>0</v>
      </c>
      <c r="W1893" s="41">
        <f t="shared" si="157"/>
        <v>0</v>
      </c>
    </row>
    <row r="1894" spans="1:23" ht="14.4" customHeight="1" x14ac:dyDescent="0.25">
      <c r="A1894" s="149"/>
      <c r="V1894" s="128">
        <f t="shared" si="156"/>
        <v>0</v>
      </c>
      <c r="W1894" s="41">
        <f t="shared" si="157"/>
        <v>0</v>
      </c>
    </row>
    <row r="1895" spans="1:23" ht="14.4" customHeight="1" x14ac:dyDescent="0.25">
      <c r="A1895" s="149"/>
      <c r="V1895" s="128">
        <f t="shared" si="156"/>
        <v>0</v>
      </c>
      <c r="W1895" s="41">
        <f t="shared" si="157"/>
        <v>0</v>
      </c>
    </row>
    <row r="1896" spans="1:23" ht="14.4" customHeight="1" x14ac:dyDescent="0.25">
      <c r="A1896" s="149"/>
      <c r="V1896" s="128">
        <f t="shared" si="156"/>
        <v>0</v>
      </c>
      <c r="W1896" s="41">
        <f t="shared" si="157"/>
        <v>0</v>
      </c>
    </row>
    <row r="1897" spans="1:23" ht="14.4" customHeight="1" x14ac:dyDescent="0.25">
      <c r="A1897" s="149"/>
      <c r="V1897" s="128">
        <f t="shared" si="156"/>
        <v>0</v>
      </c>
      <c r="W1897" s="41">
        <f t="shared" si="157"/>
        <v>0</v>
      </c>
    </row>
    <row r="1898" spans="1:23" ht="14.4" customHeight="1" x14ac:dyDescent="0.25">
      <c r="A1898" s="149"/>
      <c r="V1898" s="128">
        <f t="shared" si="156"/>
        <v>0</v>
      </c>
      <c r="W1898" s="41">
        <f t="shared" si="157"/>
        <v>0</v>
      </c>
    </row>
    <row r="1899" spans="1:23" ht="14.4" customHeight="1" x14ac:dyDescent="0.25">
      <c r="A1899" s="149"/>
      <c r="V1899" s="128">
        <f t="shared" si="156"/>
        <v>0</v>
      </c>
      <c r="W1899" s="41">
        <f t="shared" si="157"/>
        <v>0</v>
      </c>
    </row>
    <row r="1900" spans="1:23" ht="14.4" customHeight="1" x14ac:dyDescent="0.25">
      <c r="A1900" s="149"/>
      <c r="V1900" s="128">
        <f t="shared" si="156"/>
        <v>0</v>
      </c>
      <c r="W1900" s="41">
        <f t="shared" si="157"/>
        <v>0</v>
      </c>
    </row>
    <row r="1901" spans="1:23" ht="14.4" customHeight="1" x14ac:dyDescent="0.25">
      <c r="A1901" s="149"/>
      <c r="V1901" s="128">
        <f t="shared" si="156"/>
        <v>0</v>
      </c>
      <c r="W1901" s="41">
        <f t="shared" si="157"/>
        <v>0</v>
      </c>
    </row>
    <row r="1902" spans="1:23" ht="14.4" customHeight="1" x14ac:dyDescent="0.25">
      <c r="A1902" s="149"/>
      <c r="V1902" s="128">
        <f t="shared" si="156"/>
        <v>0</v>
      </c>
      <c r="W1902" s="41">
        <f t="shared" si="157"/>
        <v>0</v>
      </c>
    </row>
    <row r="1903" spans="1:23" ht="14.4" customHeight="1" x14ac:dyDescent="0.25">
      <c r="A1903" s="149"/>
      <c r="V1903" s="128">
        <f t="shared" si="156"/>
        <v>0</v>
      </c>
      <c r="W1903" s="41">
        <f t="shared" si="157"/>
        <v>0</v>
      </c>
    </row>
    <row r="1904" spans="1:23" ht="14.4" customHeight="1" x14ac:dyDescent="0.25">
      <c r="A1904" s="149"/>
      <c r="V1904" s="128">
        <f t="shared" si="156"/>
        <v>0</v>
      </c>
      <c r="W1904" s="41">
        <f t="shared" si="157"/>
        <v>0</v>
      </c>
    </row>
    <row r="1905" spans="1:23" ht="14.4" customHeight="1" x14ac:dyDescent="0.25">
      <c r="A1905" s="149"/>
      <c r="V1905" s="128">
        <f t="shared" si="156"/>
        <v>0</v>
      </c>
      <c r="W1905" s="41">
        <f t="shared" si="157"/>
        <v>0</v>
      </c>
    </row>
    <row r="1906" spans="1:23" ht="14.4" customHeight="1" x14ac:dyDescent="0.25">
      <c r="A1906" s="149"/>
      <c r="V1906" s="128">
        <f t="shared" si="156"/>
        <v>0</v>
      </c>
      <c r="W1906" s="41">
        <f t="shared" si="157"/>
        <v>0</v>
      </c>
    </row>
    <row r="1907" spans="1:23" ht="14.4" customHeight="1" x14ac:dyDescent="0.25">
      <c r="A1907" s="149"/>
      <c r="V1907" s="128">
        <f t="shared" si="156"/>
        <v>0</v>
      </c>
      <c r="W1907" s="41">
        <f t="shared" si="157"/>
        <v>0</v>
      </c>
    </row>
    <row r="1908" spans="1:23" ht="14.4" customHeight="1" x14ac:dyDescent="0.25">
      <c r="A1908" s="149"/>
      <c r="V1908" s="128">
        <f t="shared" si="156"/>
        <v>0</v>
      </c>
      <c r="W1908" s="41">
        <f t="shared" si="157"/>
        <v>0</v>
      </c>
    </row>
    <row r="1909" spans="1:23" ht="14.4" customHeight="1" x14ac:dyDescent="0.25">
      <c r="A1909" s="149"/>
      <c r="V1909" s="128">
        <f t="shared" si="156"/>
        <v>0</v>
      </c>
      <c r="W1909" s="41">
        <f t="shared" si="157"/>
        <v>0</v>
      </c>
    </row>
    <row r="1910" spans="1:23" ht="14.4" customHeight="1" x14ac:dyDescent="0.25">
      <c r="A1910" s="149"/>
      <c r="V1910" s="128">
        <f t="shared" si="156"/>
        <v>0</v>
      </c>
      <c r="W1910" s="41">
        <f t="shared" si="157"/>
        <v>0</v>
      </c>
    </row>
    <row r="1911" spans="1:23" ht="14.4" customHeight="1" x14ac:dyDescent="0.25">
      <c r="A1911" s="149"/>
      <c r="V1911" s="128">
        <f t="shared" si="156"/>
        <v>0</v>
      </c>
      <c r="W1911" s="41">
        <f t="shared" si="157"/>
        <v>0</v>
      </c>
    </row>
    <row r="1912" spans="1:23" ht="14.4" customHeight="1" x14ac:dyDescent="0.25">
      <c r="A1912" s="149"/>
      <c r="V1912" s="128">
        <f t="shared" si="156"/>
        <v>0</v>
      </c>
      <c r="W1912" s="41">
        <f t="shared" si="157"/>
        <v>0</v>
      </c>
    </row>
    <row r="1913" spans="1:23" ht="14.4" customHeight="1" x14ac:dyDescent="0.25">
      <c r="A1913" s="149"/>
      <c r="V1913" s="128">
        <f t="shared" si="156"/>
        <v>0</v>
      </c>
      <c r="W1913" s="41">
        <f t="shared" si="157"/>
        <v>0</v>
      </c>
    </row>
    <row r="1914" spans="1:23" ht="14.4" customHeight="1" x14ac:dyDescent="0.25">
      <c r="A1914" s="149"/>
      <c r="V1914" s="128">
        <f t="shared" si="156"/>
        <v>0</v>
      </c>
      <c r="W1914" s="41">
        <f t="shared" si="157"/>
        <v>0</v>
      </c>
    </row>
    <row r="1915" spans="1:23" ht="14.4" customHeight="1" x14ac:dyDescent="0.25">
      <c r="A1915" s="149"/>
      <c r="V1915" s="128">
        <f t="shared" si="156"/>
        <v>0</v>
      </c>
      <c r="W1915" s="41">
        <f t="shared" si="157"/>
        <v>0</v>
      </c>
    </row>
    <row r="1916" spans="1:23" ht="14.4" customHeight="1" x14ac:dyDescent="0.25">
      <c r="A1916" s="149"/>
      <c r="V1916" s="128">
        <f t="shared" si="156"/>
        <v>0</v>
      </c>
      <c r="W1916" s="41">
        <f t="shared" si="157"/>
        <v>0</v>
      </c>
    </row>
    <row r="1917" spans="1:23" ht="14.4" customHeight="1" x14ac:dyDescent="0.25">
      <c r="A1917" s="149"/>
      <c r="V1917" s="128">
        <f t="shared" si="156"/>
        <v>0</v>
      </c>
      <c r="W1917" s="41">
        <f t="shared" si="157"/>
        <v>0</v>
      </c>
    </row>
    <row r="1918" spans="1:23" ht="14.4" customHeight="1" x14ac:dyDescent="0.25">
      <c r="A1918" s="149"/>
      <c r="V1918" s="128">
        <f t="shared" si="156"/>
        <v>0</v>
      </c>
      <c r="W1918" s="41">
        <f t="shared" si="157"/>
        <v>0</v>
      </c>
    </row>
    <row r="1919" spans="1:23" ht="14.4" customHeight="1" x14ac:dyDescent="0.25">
      <c r="A1919" s="149"/>
      <c r="V1919" s="128">
        <f t="shared" si="156"/>
        <v>0</v>
      </c>
      <c r="W1919" s="41">
        <f t="shared" si="157"/>
        <v>0</v>
      </c>
    </row>
    <row r="1920" spans="1:23" ht="14.4" customHeight="1" x14ac:dyDescent="0.25">
      <c r="A1920" s="149"/>
      <c r="V1920" s="128">
        <f t="shared" ref="V1920:V1983" si="158">D1920-G1920-I1920-L1920-R1920</f>
        <v>0</v>
      </c>
      <c r="W1920" s="41">
        <f t="shared" si="157"/>
        <v>0</v>
      </c>
    </row>
    <row r="1921" spans="1:23" ht="14.4" customHeight="1" x14ac:dyDescent="0.25">
      <c r="A1921" s="149"/>
      <c r="V1921" s="128">
        <f t="shared" si="158"/>
        <v>0</v>
      </c>
      <c r="W1921" s="41">
        <f t="shared" si="157"/>
        <v>0</v>
      </c>
    </row>
    <row r="1922" spans="1:23" ht="14.4" customHeight="1" x14ac:dyDescent="0.25">
      <c r="A1922" s="149"/>
      <c r="V1922" s="128">
        <f t="shared" si="158"/>
        <v>0</v>
      </c>
      <c r="W1922" s="41">
        <f t="shared" si="157"/>
        <v>0</v>
      </c>
    </row>
    <row r="1923" spans="1:23" ht="14.4" customHeight="1" x14ac:dyDescent="0.25">
      <c r="A1923" s="149"/>
      <c r="V1923" s="128">
        <f t="shared" si="158"/>
        <v>0</v>
      </c>
      <c r="W1923" s="41">
        <f t="shared" si="157"/>
        <v>0</v>
      </c>
    </row>
    <row r="1924" spans="1:23" ht="14.4" customHeight="1" x14ac:dyDescent="0.25">
      <c r="A1924" s="149"/>
      <c r="V1924" s="128">
        <f t="shared" si="158"/>
        <v>0</v>
      </c>
      <c r="W1924" s="41">
        <f t="shared" si="157"/>
        <v>0</v>
      </c>
    </row>
    <row r="1925" spans="1:23" ht="14.4" customHeight="1" x14ac:dyDescent="0.25">
      <c r="A1925" s="149"/>
      <c r="V1925" s="128">
        <f t="shared" si="158"/>
        <v>0</v>
      </c>
      <c r="W1925" s="41">
        <f t="shared" si="157"/>
        <v>0</v>
      </c>
    </row>
    <row r="1926" spans="1:23" ht="14.4" customHeight="1" x14ac:dyDescent="0.25">
      <c r="A1926" s="149"/>
      <c r="V1926" s="128">
        <f t="shared" si="158"/>
        <v>0</v>
      </c>
      <c r="W1926" s="41">
        <f t="shared" si="157"/>
        <v>0</v>
      </c>
    </row>
    <row r="1927" spans="1:23" ht="14.4" customHeight="1" x14ac:dyDescent="0.25">
      <c r="A1927" s="149"/>
      <c r="V1927" s="128">
        <f t="shared" si="158"/>
        <v>0</v>
      </c>
      <c r="W1927" s="41">
        <f t="shared" si="157"/>
        <v>0</v>
      </c>
    </row>
    <row r="1928" spans="1:23" ht="14.4" customHeight="1" x14ac:dyDescent="0.25">
      <c r="A1928" s="149"/>
      <c r="V1928" s="128">
        <f t="shared" si="158"/>
        <v>0</v>
      </c>
      <c r="W1928" s="41">
        <f t="shared" si="157"/>
        <v>0</v>
      </c>
    </row>
    <row r="1929" spans="1:23" ht="14.4" customHeight="1" x14ac:dyDescent="0.25">
      <c r="A1929" s="149"/>
      <c r="V1929" s="128">
        <f t="shared" si="158"/>
        <v>0</v>
      </c>
      <c r="W1929" s="41">
        <f t="shared" si="157"/>
        <v>0</v>
      </c>
    </row>
    <row r="1930" spans="1:23" ht="14.4" customHeight="1" x14ac:dyDescent="0.25">
      <c r="A1930" s="149"/>
      <c r="V1930" s="128">
        <f t="shared" si="158"/>
        <v>0</v>
      </c>
      <c r="W1930" s="41">
        <f t="shared" si="157"/>
        <v>0</v>
      </c>
    </row>
    <row r="1931" spans="1:23" ht="14.4" customHeight="1" x14ac:dyDescent="0.25">
      <c r="A1931" s="149"/>
      <c r="V1931" s="128">
        <f t="shared" si="158"/>
        <v>0</v>
      </c>
      <c r="W1931" s="41">
        <f t="shared" si="157"/>
        <v>0</v>
      </c>
    </row>
    <row r="1932" spans="1:23" ht="14.4" customHeight="1" x14ac:dyDescent="0.25">
      <c r="A1932" s="149"/>
      <c r="V1932" s="128">
        <f t="shared" si="158"/>
        <v>0</v>
      </c>
      <c r="W1932" s="41">
        <f t="shared" si="157"/>
        <v>0</v>
      </c>
    </row>
    <row r="1933" spans="1:23" ht="14.4" customHeight="1" x14ac:dyDescent="0.25">
      <c r="A1933" s="149"/>
      <c r="V1933" s="128">
        <f t="shared" si="158"/>
        <v>0</v>
      </c>
      <c r="W1933" s="41">
        <f t="shared" si="157"/>
        <v>0</v>
      </c>
    </row>
    <row r="1934" spans="1:23" ht="14.4" customHeight="1" x14ac:dyDescent="0.25">
      <c r="A1934" s="149"/>
      <c r="V1934" s="128">
        <f t="shared" si="158"/>
        <v>0</v>
      </c>
      <c r="W1934" s="41">
        <f t="shared" si="157"/>
        <v>0</v>
      </c>
    </row>
    <row r="1935" spans="1:23" ht="14.4" customHeight="1" x14ac:dyDescent="0.25">
      <c r="A1935" s="149"/>
      <c r="V1935" s="128">
        <f t="shared" si="158"/>
        <v>0</v>
      </c>
      <c r="W1935" s="41">
        <f t="shared" si="157"/>
        <v>0</v>
      </c>
    </row>
    <row r="1936" spans="1:23" ht="14.4" customHeight="1" x14ac:dyDescent="0.25">
      <c r="A1936" s="149"/>
      <c r="V1936" s="128">
        <f t="shared" si="158"/>
        <v>0</v>
      </c>
      <c r="W1936" s="41">
        <f t="shared" si="157"/>
        <v>0</v>
      </c>
    </row>
    <row r="1937" spans="1:23" ht="14.4" customHeight="1" x14ac:dyDescent="0.25">
      <c r="A1937" s="149"/>
      <c r="V1937" s="128">
        <f t="shared" si="158"/>
        <v>0</v>
      </c>
      <c r="W1937" s="41">
        <f t="shared" si="157"/>
        <v>0</v>
      </c>
    </row>
    <row r="1938" spans="1:23" ht="14.4" customHeight="1" x14ac:dyDescent="0.25">
      <c r="A1938" s="149"/>
      <c r="V1938" s="128">
        <f t="shared" si="158"/>
        <v>0</v>
      </c>
      <c r="W1938" s="41">
        <f t="shared" si="157"/>
        <v>0</v>
      </c>
    </row>
    <row r="1939" spans="1:23" ht="14.4" customHeight="1" x14ac:dyDescent="0.25">
      <c r="A1939" s="149"/>
      <c r="V1939" s="128">
        <f t="shared" si="158"/>
        <v>0</v>
      </c>
      <c r="W1939" s="41">
        <f t="shared" si="157"/>
        <v>0</v>
      </c>
    </row>
    <row r="1940" spans="1:23" ht="14.4" customHeight="1" x14ac:dyDescent="0.25">
      <c r="A1940" s="149"/>
      <c r="V1940" s="128">
        <f t="shared" si="158"/>
        <v>0</v>
      </c>
      <c r="W1940" s="41">
        <f t="shared" si="157"/>
        <v>0</v>
      </c>
    </row>
    <row r="1941" spans="1:23" ht="14.4" customHeight="1" x14ac:dyDescent="0.25">
      <c r="A1941" s="149"/>
      <c r="V1941" s="128">
        <f t="shared" si="158"/>
        <v>0</v>
      </c>
      <c r="W1941" s="41">
        <f t="shared" si="157"/>
        <v>0</v>
      </c>
    </row>
    <row r="1942" spans="1:23" ht="14.4" customHeight="1" x14ac:dyDescent="0.25">
      <c r="A1942" s="149"/>
      <c r="V1942" s="128">
        <f t="shared" si="158"/>
        <v>0</v>
      </c>
      <c r="W1942" s="41">
        <f t="shared" si="157"/>
        <v>0</v>
      </c>
    </row>
    <row r="1943" spans="1:23" ht="14.4" customHeight="1" x14ac:dyDescent="0.25">
      <c r="A1943" s="149"/>
      <c r="V1943" s="128">
        <f t="shared" si="158"/>
        <v>0</v>
      </c>
      <c r="W1943" s="41">
        <f t="shared" si="157"/>
        <v>0</v>
      </c>
    </row>
    <row r="1944" spans="1:23" ht="14.4" customHeight="1" x14ac:dyDescent="0.25">
      <c r="A1944" s="149"/>
      <c r="V1944" s="128">
        <f t="shared" si="158"/>
        <v>0</v>
      </c>
      <c r="W1944" s="41">
        <f t="shared" si="157"/>
        <v>0</v>
      </c>
    </row>
    <row r="1945" spans="1:23" ht="14.4" customHeight="1" x14ac:dyDescent="0.25">
      <c r="A1945" s="149"/>
      <c r="V1945" s="128">
        <f t="shared" si="158"/>
        <v>0</v>
      </c>
      <c r="W1945" s="41">
        <f t="shared" si="157"/>
        <v>0</v>
      </c>
    </row>
    <row r="1946" spans="1:23" ht="14.4" customHeight="1" x14ac:dyDescent="0.25">
      <c r="A1946" s="149"/>
      <c r="V1946" s="128">
        <f t="shared" si="158"/>
        <v>0</v>
      </c>
      <c r="W1946" s="41">
        <f t="shared" si="157"/>
        <v>0</v>
      </c>
    </row>
    <row r="1947" spans="1:23" ht="14.4" customHeight="1" x14ac:dyDescent="0.25">
      <c r="A1947" s="149"/>
      <c r="V1947" s="128">
        <f t="shared" si="158"/>
        <v>0</v>
      </c>
      <c r="W1947" s="41">
        <f t="shared" si="157"/>
        <v>0</v>
      </c>
    </row>
    <row r="1948" spans="1:23" ht="14.4" customHeight="1" x14ac:dyDescent="0.25">
      <c r="A1948" s="149"/>
      <c r="V1948" s="128">
        <f t="shared" si="158"/>
        <v>0</v>
      </c>
      <c r="W1948" s="41">
        <f t="shared" si="157"/>
        <v>0</v>
      </c>
    </row>
    <row r="1949" spans="1:23" ht="14.4" customHeight="1" x14ac:dyDescent="0.25">
      <c r="A1949" s="149"/>
      <c r="V1949" s="128">
        <f t="shared" si="158"/>
        <v>0</v>
      </c>
      <c r="W1949" s="41">
        <f t="shared" ref="W1949:W1961" si="159">G1949+I1949+L1949+R1949</f>
        <v>0</v>
      </c>
    </row>
    <row r="1950" spans="1:23" ht="14.4" customHeight="1" x14ac:dyDescent="0.25">
      <c r="A1950" s="149"/>
      <c r="V1950" s="128">
        <f t="shared" si="158"/>
        <v>0</v>
      </c>
      <c r="W1950" s="41">
        <f t="shared" si="159"/>
        <v>0</v>
      </c>
    </row>
    <row r="1951" spans="1:23" ht="14.4" customHeight="1" x14ac:dyDescent="0.25">
      <c r="A1951" s="149"/>
      <c r="V1951" s="128">
        <f t="shared" si="158"/>
        <v>0</v>
      </c>
      <c r="W1951" s="41">
        <f t="shared" si="159"/>
        <v>0</v>
      </c>
    </row>
    <row r="1952" spans="1:23" ht="14.4" customHeight="1" x14ac:dyDescent="0.25">
      <c r="A1952" s="149"/>
      <c r="V1952" s="128">
        <f t="shared" si="158"/>
        <v>0</v>
      </c>
      <c r="W1952" s="41">
        <f t="shared" si="159"/>
        <v>0</v>
      </c>
    </row>
    <row r="1953" spans="1:23" ht="14.4" customHeight="1" x14ac:dyDescent="0.25">
      <c r="A1953" s="149"/>
      <c r="V1953" s="128">
        <f t="shared" si="158"/>
        <v>0</v>
      </c>
      <c r="W1953" s="41">
        <f t="shared" si="159"/>
        <v>0</v>
      </c>
    </row>
    <row r="1954" spans="1:23" ht="14.4" customHeight="1" x14ac:dyDescent="0.25">
      <c r="A1954" s="149"/>
      <c r="V1954" s="128">
        <f t="shared" si="158"/>
        <v>0</v>
      </c>
      <c r="W1954" s="41">
        <f t="shared" si="159"/>
        <v>0</v>
      </c>
    </row>
    <row r="1955" spans="1:23" ht="14.4" customHeight="1" x14ac:dyDescent="0.25">
      <c r="A1955" s="149"/>
      <c r="V1955" s="128">
        <f t="shared" si="158"/>
        <v>0</v>
      </c>
      <c r="W1955" s="41">
        <f t="shared" si="159"/>
        <v>0</v>
      </c>
    </row>
    <row r="1956" spans="1:23" ht="14.4" customHeight="1" x14ac:dyDescent="0.25">
      <c r="A1956" s="149"/>
      <c r="V1956" s="128">
        <f t="shared" si="158"/>
        <v>0</v>
      </c>
      <c r="W1956" s="41">
        <f t="shared" si="159"/>
        <v>0</v>
      </c>
    </row>
    <row r="1957" spans="1:23" ht="14.4" customHeight="1" x14ac:dyDescent="0.25">
      <c r="A1957" s="149"/>
      <c r="V1957" s="128">
        <f t="shared" si="158"/>
        <v>0</v>
      </c>
      <c r="W1957" s="41">
        <f t="shared" si="159"/>
        <v>0</v>
      </c>
    </row>
    <row r="1958" spans="1:23" ht="14.4" customHeight="1" x14ac:dyDescent="0.25">
      <c r="A1958" s="149"/>
      <c r="V1958" s="128">
        <f t="shared" si="158"/>
        <v>0</v>
      </c>
      <c r="W1958" s="41">
        <f t="shared" si="159"/>
        <v>0</v>
      </c>
    </row>
    <row r="1959" spans="1:23" ht="14.4" customHeight="1" x14ac:dyDescent="0.25">
      <c r="A1959" s="149"/>
      <c r="V1959" s="128">
        <f t="shared" si="158"/>
        <v>0</v>
      </c>
      <c r="W1959" s="41">
        <f t="shared" si="159"/>
        <v>0</v>
      </c>
    </row>
    <row r="1960" spans="1:23" ht="14.4" customHeight="1" x14ac:dyDescent="0.25">
      <c r="A1960" s="149"/>
      <c r="V1960" s="128">
        <f t="shared" si="158"/>
        <v>0</v>
      </c>
      <c r="W1960" s="41">
        <f t="shared" si="159"/>
        <v>0</v>
      </c>
    </row>
    <row r="1961" spans="1:23" ht="14.4" customHeight="1" x14ac:dyDescent="0.25">
      <c r="A1961" s="149"/>
      <c r="V1961" s="128">
        <f t="shared" si="158"/>
        <v>0</v>
      </c>
      <c r="W1961" s="41">
        <f t="shared" si="159"/>
        <v>0</v>
      </c>
    </row>
    <row r="1962" spans="1:23" ht="14.4" customHeight="1" x14ac:dyDescent="0.25">
      <c r="A1962" s="149"/>
      <c r="V1962" s="128">
        <f t="shared" si="158"/>
        <v>0</v>
      </c>
    </row>
    <row r="1963" spans="1:23" ht="14.4" customHeight="1" x14ac:dyDescent="0.25">
      <c r="A1963" s="149"/>
      <c r="V1963" s="128">
        <f t="shared" si="158"/>
        <v>0</v>
      </c>
    </row>
    <row r="1964" spans="1:23" ht="14.4" customHeight="1" x14ac:dyDescent="0.25">
      <c r="A1964" s="149"/>
      <c r="V1964" s="128">
        <f t="shared" si="158"/>
        <v>0</v>
      </c>
    </row>
    <row r="1965" spans="1:23" ht="14.4" customHeight="1" x14ac:dyDescent="0.25">
      <c r="A1965" s="149"/>
      <c r="V1965" s="128">
        <f t="shared" si="158"/>
        <v>0</v>
      </c>
    </row>
    <row r="1966" spans="1:23" ht="14.4" customHeight="1" x14ac:dyDescent="0.25">
      <c r="A1966" s="149"/>
      <c r="V1966" s="128">
        <f t="shared" si="158"/>
        <v>0</v>
      </c>
    </row>
    <row r="1967" spans="1:23" ht="14.4" customHeight="1" x14ac:dyDescent="0.25">
      <c r="A1967" s="149"/>
      <c r="V1967" s="128">
        <f t="shared" si="158"/>
        <v>0</v>
      </c>
    </row>
    <row r="1968" spans="1:23" ht="14.4" customHeight="1" x14ac:dyDescent="0.25">
      <c r="A1968" s="149"/>
      <c r="V1968" s="128">
        <f t="shared" si="158"/>
        <v>0</v>
      </c>
    </row>
    <row r="1969" spans="1:22" ht="14.4" customHeight="1" x14ac:dyDescent="0.25">
      <c r="A1969" s="149"/>
      <c r="V1969" s="128">
        <f t="shared" si="158"/>
        <v>0</v>
      </c>
    </row>
    <row r="1970" spans="1:22" ht="14.4" customHeight="1" x14ac:dyDescent="0.25">
      <c r="A1970" s="149"/>
      <c r="V1970" s="128">
        <f t="shared" si="158"/>
        <v>0</v>
      </c>
    </row>
    <row r="1971" spans="1:22" ht="14.4" customHeight="1" x14ac:dyDescent="0.25">
      <c r="A1971" s="149"/>
      <c r="V1971" s="128">
        <f t="shared" si="158"/>
        <v>0</v>
      </c>
    </row>
    <row r="1972" spans="1:22" ht="14.4" customHeight="1" x14ac:dyDescent="0.25">
      <c r="A1972" s="149"/>
      <c r="V1972" s="128">
        <f t="shared" si="158"/>
        <v>0</v>
      </c>
    </row>
    <row r="1973" spans="1:22" ht="14.4" customHeight="1" x14ac:dyDescent="0.25">
      <c r="A1973" s="149"/>
      <c r="V1973" s="128">
        <f t="shared" si="158"/>
        <v>0</v>
      </c>
    </row>
    <row r="1974" spans="1:22" ht="14.4" customHeight="1" x14ac:dyDescent="0.25">
      <c r="A1974" s="149"/>
      <c r="V1974" s="128">
        <f t="shared" si="158"/>
        <v>0</v>
      </c>
    </row>
    <row r="1975" spans="1:22" ht="14.4" customHeight="1" x14ac:dyDescent="0.25">
      <c r="A1975" s="149"/>
      <c r="V1975" s="128">
        <f t="shared" si="158"/>
        <v>0</v>
      </c>
    </row>
    <row r="1976" spans="1:22" ht="14.4" customHeight="1" x14ac:dyDescent="0.25">
      <c r="A1976" s="149"/>
      <c r="V1976" s="128">
        <f t="shared" si="158"/>
        <v>0</v>
      </c>
    </row>
    <row r="1977" spans="1:22" ht="14.4" customHeight="1" x14ac:dyDescent="0.25">
      <c r="A1977" s="149"/>
      <c r="V1977" s="128">
        <f t="shared" si="158"/>
        <v>0</v>
      </c>
    </row>
    <row r="1978" spans="1:22" ht="14.4" customHeight="1" x14ac:dyDescent="0.25">
      <c r="A1978" s="149"/>
      <c r="V1978" s="128">
        <f t="shared" si="158"/>
        <v>0</v>
      </c>
    </row>
    <row r="1979" spans="1:22" ht="14.4" customHeight="1" x14ac:dyDescent="0.25">
      <c r="A1979" s="149"/>
      <c r="V1979" s="128">
        <f t="shared" si="158"/>
        <v>0</v>
      </c>
    </row>
    <row r="1980" spans="1:22" ht="14.4" customHeight="1" x14ac:dyDescent="0.25">
      <c r="A1980" s="149"/>
      <c r="V1980" s="128">
        <f t="shared" si="158"/>
        <v>0</v>
      </c>
    </row>
    <row r="1981" spans="1:22" ht="14.4" customHeight="1" x14ac:dyDescent="0.25">
      <c r="A1981" s="149"/>
      <c r="V1981" s="128">
        <f t="shared" si="158"/>
        <v>0</v>
      </c>
    </row>
    <row r="1982" spans="1:22" ht="14.4" customHeight="1" x14ac:dyDescent="0.25">
      <c r="A1982" s="149"/>
      <c r="V1982" s="128">
        <f t="shared" si="158"/>
        <v>0</v>
      </c>
    </row>
    <row r="1983" spans="1:22" ht="14.4" customHeight="1" x14ac:dyDescent="0.25">
      <c r="A1983" s="149"/>
      <c r="V1983" s="128">
        <f t="shared" si="158"/>
        <v>0</v>
      </c>
    </row>
    <row r="1984" spans="1:22" ht="14.4" customHeight="1" x14ac:dyDescent="0.25">
      <c r="A1984" s="149"/>
      <c r="V1984" s="128">
        <f t="shared" ref="V1984:V2047" si="160">D1984-G1984-I1984-L1984-R1984</f>
        <v>0</v>
      </c>
    </row>
    <row r="1985" spans="1:22" ht="14.4" customHeight="1" x14ac:dyDescent="0.25">
      <c r="A1985" s="149"/>
      <c r="V1985" s="128">
        <f t="shared" si="160"/>
        <v>0</v>
      </c>
    </row>
    <row r="1986" spans="1:22" ht="14.4" customHeight="1" x14ac:dyDescent="0.25">
      <c r="A1986" s="149"/>
      <c r="V1986" s="128">
        <f t="shared" si="160"/>
        <v>0</v>
      </c>
    </row>
    <row r="1987" spans="1:22" ht="14.4" customHeight="1" x14ac:dyDescent="0.25">
      <c r="A1987" s="149"/>
      <c r="V1987" s="128">
        <f t="shared" si="160"/>
        <v>0</v>
      </c>
    </row>
    <row r="1988" spans="1:22" ht="14.4" customHeight="1" x14ac:dyDescent="0.25">
      <c r="A1988" s="149"/>
      <c r="V1988" s="128">
        <f t="shared" si="160"/>
        <v>0</v>
      </c>
    </row>
    <row r="1989" spans="1:22" ht="14.4" customHeight="1" x14ac:dyDescent="0.25">
      <c r="A1989" s="149"/>
      <c r="V1989" s="128">
        <f t="shared" si="160"/>
        <v>0</v>
      </c>
    </row>
    <row r="1990" spans="1:22" ht="14.4" customHeight="1" x14ac:dyDescent="0.25">
      <c r="A1990" s="149"/>
      <c r="V1990" s="128">
        <f t="shared" si="160"/>
        <v>0</v>
      </c>
    </row>
    <row r="1991" spans="1:22" ht="14.4" customHeight="1" x14ac:dyDescent="0.25">
      <c r="A1991" s="149"/>
      <c r="V1991" s="128">
        <f t="shared" si="160"/>
        <v>0</v>
      </c>
    </row>
    <row r="1992" spans="1:22" ht="14.4" customHeight="1" x14ac:dyDescent="0.25">
      <c r="A1992" s="149"/>
      <c r="V1992" s="128">
        <f t="shared" si="160"/>
        <v>0</v>
      </c>
    </row>
    <row r="1993" spans="1:22" ht="14.4" customHeight="1" x14ac:dyDescent="0.25">
      <c r="A1993" s="149"/>
      <c r="V1993" s="128">
        <f t="shared" si="160"/>
        <v>0</v>
      </c>
    </row>
    <row r="1994" spans="1:22" ht="14.4" customHeight="1" x14ac:dyDescent="0.25">
      <c r="A1994" s="149"/>
      <c r="V1994" s="128">
        <f t="shared" si="160"/>
        <v>0</v>
      </c>
    </row>
    <row r="1995" spans="1:22" ht="14.4" customHeight="1" x14ac:dyDescent="0.25">
      <c r="A1995" s="149"/>
      <c r="V1995" s="128">
        <f t="shared" si="160"/>
        <v>0</v>
      </c>
    </row>
    <row r="1996" spans="1:22" ht="14.4" customHeight="1" x14ac:dyDescent="0.25">
      <c r="A1996" s="149"/>
      <c r="V1996" s="128">
        <f t="shared" si="160"/>
        <v>0</v>
      </c>
    </row>
    <row r="1997" spans="1:22" ht="14.4" customHeight="1" x14ac:dyDescent="0.25">
      <c r="A1997" s="149"/>
      <c r="V1997" s="128">
        <f t="shared" si="160"/>
        <v>0</v>
      </c>
    </row>
    <row r="1998" spans="1:22" ht="14.4" customHeight="1" x14ac:dyDescent="0.25">
      <c r="A1998" s="149"/>
      <c r="V1998" s="128">
        <f t="shared" si="160"/>
        <v>0</v>
      </c>
    </row>
    <row r="1999" spans="1:22" ht="14.4" customHeight="1" x14ac:dyDescent="0.25">
      <c r="A1999" s="149"/>
      <c r="V1999" s="128">
        <f t="shared" si="160"/>
        <v>0</v>
      </c>
    </row>
    <row r="2000" spans="1:22" ht="14.4" customHeight="1" x14ac:dyDescent="0.25">
      <c r="A2000" s="149"/>
      <c r="V2000" s="128">
        <f t="shared" si="160"/>
        <v>0</v>
      </c>
    </row>
    <row r="2001" spans="1:22" ht="14.4" customHeight="1" x14ac:dyDescent="0.25">
      <c r="A2001" s="149"/>
      <c r="V2001" s="128">
        <f t="shared" si="160"/>
        <v>0</v>
      </c>
    </row>
    <row r="2002" spans="1:22" ht="14.4" customHeight="1" x14ac:dyDescent="0.25">
      <c r="A2002" s="149"/>
      <c r="V2002" s="128">
        <f t="shared" si="160"/>
        <v>0</v>
      </c>
    </row>
    <row r="2003" spans="1:22" ht="14.4" customHeight="1" x14ac:dyDescent="0.25">
      <c r="A2003" s="149"/>
      <c r="V2003" s="128">
        <f t="shared" si="160"/>
        <v>0</v>
      </c>
    </row>
    <row r="2004" spans="1:22" ht="14.4" customHeight="1" x14ac:dyDescent="0.25">
      <c r="A2004" s="149"/>
      <c r="V2004" s="128">
        <f t="shared" si="160"/>
        <v>0</v>
      </c>
    </row>
    <row r="2005" spans="1:22" ht="14.4" customHeight="1" x14ac:dyDescent="0.25">
      <c r="A2005" s="149"/>
      <c r="V2005" s="128">
        <f t="shared" si="160"/>
        <v>0</v>
      </c>
    </row>
    <row r="2006" spans="1:22" ht="14.4" customHeight="1" x14ac:dyDescent="0.25">
      <c r="A2006" s="149"/>
      <c r="V2006" s="128">
        <f t="shared" si="160"/>
        <v>0</v>
      </c>
    </row>
    <row r="2007" spans="1:22" ht="14.4" customHeight="1" x14ac:dyDescent="0.25">
      <c r="A2007" s="149"/>
      <c r="V2007" s="128">
        <f t="shared" si="160"/>
        <v>0</v>
      </c>
    </row>
    <row r="2008" spans="1:22" ht="14.4" customHeight="1" x14ac:dyDescent="0.25">
      <c r="A2008" s="149"/>
      <c r="V2008" s="128">
        <f t="shared" si="160"/>
        <v>0</v>
      </c>
    </row>
    <row r="2009" spans="1:22" ht="14.4" customHeight="1" x14ac:dyDescent="0.25">
      <c r="A2009" s="149"/>
      <c r="V2009" s="128">
        <f t="shared" si="160"/>
        <v>0</v>
      </c>
    </row>
    <row r="2010" spans="1:22" ht="14.4" customHeight="1" x14ac:dyDescent="0.25">
      <c r="A2010" s="149"/>
      <c r="V2010" s="128">
        <f t="shared" si="160"/>
        <v>0</v>
      </c>
    </row>
    <row r="2011" spans="1:22" ht="14.4" customHeight="1" x14ac:dyDescent="0.25">
      <c r="A2011" s="149"/>
      <c r="V2011" s="128">
        <f t="shared" si="160"/>
        <v>0</v>
      </c>
    </row>
    <row r="2012" spans="1:22" ht="14.4" customHeight="1" x14ac:dyDescent="0.25">
      <c r="A2012" s="149"/>
      <c r="V2012" s="128">
        <f t="shared" si="160"/>
        <v>0</v>
      </c>
    </row>
    <row r="2013" spans="1:22" ht="14.4" customHeight="1" x14ac:dyDescent="0.25">
      <c r="A2013" s="149"/>
      <c r="V2013" s="128">
        <f t="shared" si="160"/>
        <v>0</v>
      </c>
    </row>
    <row r="2014" spans="1:22" ht="14.4" customHeight="1" x14ac:dyDescent="0.25">
      <c r="A2014" s="149"/>
      <c r="V2014" s="128">
        <f t="shared" si="160"/>
        <v>0</v>
      </c>
    </row>
    <row r="2015" spans="1:22" ht="14.4" customHeight="1" x14ac:dyDescent="0.25">
      <c r="A2015" s="149"/>
      <c r="V2015" s="128">
        <f t="shared" si="160"/>
        <v>0</v>
      </c>
    </row>
    <row r="2016" spans="1:22" ht="14.4" customHeight="1" x14ac:dyDescent="0.25">
      <c r="A2016" s="149"/>
      <c r="V2016" s="128">
        <f t="shared" si="160"/>
        <v>0</v>
      </c>
    </row>
    <row r="2017" spans="1:22" ht="14.4" customHeight="1" x14ac:dyDescent="0.25">
      <c r="A2017" s="149"/>
      <c r="V2017" s="128">
        <f t="shared" si="160"/>
        <v>0</v>
      </c>
    </row>
    <row r="2018" spans="1:22" ht="14.4" customHeight="1" x14ac:dyDescent="0.25">
      <c r="A2018" s="149"/>
      <c r="V2018" s="128">
        <f t="shared" si="160"/>
        <v>0</v>
      </c>
    </row>
    <row r="2019" spans="1:22" ht="14.4" customHeight="1" x14ac:dyDescent="0.25">
      <c r="A2019" s="149"/>
      <c r="V2019" s="128">
        <f t="shared" si="160"/>
        <v>0</v>
      </c>
    </row>
    <row r="2020" spans="1:22" ht="14.4" customHeight="1" x14ac:dyDescent="0.25">
      <c r="A2020" s="149"/>
      <c r="V2020" s="128">
        <f t="shared" si="160"/>
        <v>0</v>
      </c>
    </row>
    <row r="2021" spans="1:22" ht="14.4" customHeight="1" x14ac:dyDescent="0.25">
      <c r="A2021" s="149"/>
      <c r="V2021" s="128">
        <f t="shared" si="160"/>
        <v>0</v>
      </c>
    </row>
    <row r="2022" spans="1:22" ht="14.4" customHeight="1" x14ac:dyDescent="0.25">
      <c r="A2022" s="149"/>
      <c r="V2022" s="128">
        <f t="shared" si="160"/>
        <v>0</v>
      </c>
    </row>
    <row r="2023" spans="1:22" ht="14.4" customHeight="1" x14ac:dyDescent="0.25">
      <c r="A2023" s="149"/>
      <c r="V2023" s="128">
        <f t="shared" si="160"/>
        <v>0</v>
      </c>
    </row>
    <row r="2024" spans="1:22" ht="14.4" customHeight="1" x14ac:dyDescent="0.25">
      <c r="A2024" s="149"/>
      <c r="V2024" s="128">
        <f t="shared" si="160"/>
        <v>0</v>
      </c>
    </row>
    <row r="2025" spans="1:22" ht="14.4" customHeight="1" x14ac:dyDescent="0.25">
      <c r="A2025" s="149"/>
      <c r="V2025" s="128">
        <f t="shared" si="160"/>
        <v>0</v>
      </c>
    </row>
    <row r="2026" spans="1:22" ht="14.4" customHeight="1" x14ac:dyDescent="0.25">
      <c r="A2026" s="149"/>
      <c r="V2026" s="128">
        <f t="shared" si="160"/>
        <v>0</v>
      </c>
    </row>
    <row r="2027" spans="1:22" ht="14.4" customHeight="1" x14ac:dyDescent="0.25">
      <c r="A2027" s="149"/>
      <c r="V2027" s="128">
        <f t="shared" si="160"/>
        <v>0</v>
      </c>
    </row>
    <row r="2028" spans="1:22" ht="14.4" customHeight="1" x14ac:dyDescent="0.25">
      <c r="A2028" s="149"/>
      <c r="V2028" s="128">
        <f t="shared" si="160"/>
        <v>0</v>
      </c>
    </row>
    <row r="2029" spans="1:22" ht="14.4" customHeight="1" x14ac:dyDescent="0.25">
      <c r="A2029" s="149"/>
      <c r="V2029" s="128">
        <f t="shared" si="160"/>
        <v>0</v>
      </c>
    </row>
    <row r="2030" spans="1:22" ht="14.4" customHeight="1" x14ac:dyDescent="0.25">
      <c r="A2030" s="149"/>
      <c r="V2030" s="128">
        <f t="shared" si="160"/>
        <v>0</v>
      </c>
    </row>
    <row r="2031" spans="1:22" ht="14.4" customHeight="1" x14ac:dyDescent="0.25">
      <c r="A2031" s="149"/>
      <c r="V2031" s="128">
        <f t="shared" si="160"/>
        <v>0</v>
      </c>
    </row>
    <row r="2032" spans="1:22" ht="14.4" customHeight="1" x14ac:dyDescent="0.25">
      <c r="A2032" s="149"/>
      <c r="V2032" s="128">
        <f t="shared" si="160"/>
        <v>0</v>
      </c>
    </row>
    <row r="2033" spans="1:22" ht="14.4" customHeight="1" x14ac:dyDescent="0.25">
      <c r="A2033" s="149"/>
      <c r="V2033" s="128">
        <f t="shared" si="160"/>
        <v>0</v>
      </c>
    </row>
    <row r="2034" spans="1:22" ht="14.4" customHeight="1" x14ac:dyDescent="0.25">
      <c r="A2034" s="149"/>
      <c r="V2034" s="128">
        <f t="shared" si="160"/>
        <v>0</v>
      </c>
    </row>
    <row r="2035" spans="1:22" ht="14.4" customHeight="1" x14ac:dyDescent="0.25">
      <c r="A2035" s="149"/>
      <c r="V2035" s="128">
        <f t="shared" si="160"/>
        <v>0</v>
      </c>
    </row>
    <row r="2036" spans="1:22" ht="14.4" customHeight="1" x14ac:dyDescent="0.25">
      <c r="A2036" s="149"/>
      <c r="V2036" s="128">
        <f t="shared" si="160"/>
        <v>0</v>
      </c>
    </row>
    <row r="2037" spans="1:22" ht="14.4" customHeight="1" x14ac:dyDescent="0.25">
      <c r="A2037" s="149"/>
      <c r="V2037" s="128">
        <f t="shared" si="160"/>
        <v>0</v>
      </c>
    </row>
    <row r="2038" spans="1:22" ht="14.4" customHeight="1" x14ac:dyDescent="0.25">
      <c r="A2038" s="149"/>
      <c r="V2038" s="128">
        <f t="shared" si="160"/>
        <v>0</v>
      </c>
    </row>
    <row r="2039" spans="1:22" ht="14.4" customHeight="1" x14ac:dyDescent="0.25">
      <c r="A2039" s="149"/>
      <c r="V2039" s="128">
        <f t="shared" si="160"/>
        <v>0</v>
      </c>
    </row>
    <row r="2040" spans="1:22" ht="14.4" customHeight="1" x14ac:dyDescent="0.25">
      <c r="A2040" s="149"/>
      <c r="V2040" s="128">
        <f t="shared" si="160"/>
        <v>0</v>
      </c>
    </row>
    <row r="2041" spans="1:22" ht="14.4" customHeight="1" x14ac:dyDescent="0.25">
      <c r="A2041" s="149"/>
      <c r="V2041" s="128">
        <f t="shared" si="160"/>
        <v>0</v>
      </c>
    </row>
    <row r="2042" spans="1:22" ht="14.4" customHeight="1" x14ac:dyDescent="0.25">
      <c r="A2042" s="149"/>
      <c r="V2042" s="128">
        <f t="shared" si="160"/>
        <v>0</v>
      </c>
    </row>
    <row r="2043" spans="1:22" ht="14.4" customHeight="1" x14ac:dyDescent="0.25">
      <c r="A2043" s="149"/>
      <c r="V2043" s="128">
        <f t="shared" si="160"/>
        <v>0</v>
      </c>
    </row>
    <row r="2044" spans="1:22" ht="14.4" customHeight="1" x14ac:dyDescent="0.25">
      <c r="A2044" s="149"/>
      <c r="V2044" s="128">
        <f t="shared" si="160"/>
        <v>0</v>
      </c>
    </row>
    <row r="2045" spans="1:22" ht="14.4" customHeight="1" x14ac:dyDescent="0.25">
      <c r="A2045" s="149"/>
      <c r="V2045" s="128">
        <f t="shared" si="160"/>
        <v>0</v>
      </c>
    </row>
    <row r="2046" spans="1:22" ht="14.4" customHeight="1" x14ac:dyDescent="0.25">
      <c r="A2046" s="149"/>
      <c r="V2046" s="128">
        <f t="shared" si="160"/>
        <v>0</v>
      </c>
    </row>
    <row r="2047" spans="1:22" ht="14.4" customHeight="1" x14ac:dyDescent="0.25">
      <c r="A2047" s="149"/>
      <c r="V2047" s="128">
        <f t="shared" si="160"/>
        <v>0</v>
      </c>
    </row>
    <row r="2048" spans="1:22" ht="14.4" customHeight="1" x14ac:dyDescent="0.25">
      <c r="A2048" s="149"/>
      <c r="V2048" s="128">
        <f t="shared" ref="V2048:V2111" si="161">D2048-G2048-I2048-L2048-R2048</f>
        <v>0</v>
      </c>
    </row>
    <row r="2049" spans="1:22" ht="14.4" customHeight="1" x14ac:dyDescent="0.25">
      <c r="A2049" s="149"/>
      <c r="V2049" s="128">
        <f t="shared" si="161"/>
        <v>0</v>
      </c>
    </row>
    <row r="2050" spans="1:22" ht="14.4" customHeight="1" x14ac:dyDescent="0.25">
      <c r="A2050" s="149"/>
      <c r="V2050" s="128">
        <f t="shared" si="161"/>
        <v>0</v>
      </c>
    </row>
    <row r="2051" spans="1:22" ht="14.4" customHeight="1" x14ac:dyDescent="0.25">
      <c r="A2051" s="149"/>
      <c r="V2051" s="128">
        <f t="shared" si="161"/>
        <v>0</v>
      </c>
    </row>
    <row r="2052" spans="1:22" ht="14.4" customHeight="1" x14ac:dyDescent="0.25">
      <c r="A2052" s="149"/>
      <c r="V2052" s="128">
        <f t="shared" si="161"/>
        <v>0</v>
      </c>
    </row>
    <row r="2053" spans="1:22" ht="14.4" customHeight="1" x14ac:dyDescent="0.25">
      <c r="A2053" s="149"/>
      <c r="V2053" s="128">
        <f t="shared" si="161"/>
        <v>0</v>
      </c>
    </row>
    <row r="2054" spans="1:22" ht="14.4" customHeight="1" x14ac:dyDescent="0.25">
      <c r="A2054" s="149"/>
      <c r="V2054" s="128">
        <f t="shared" si="161"/>
        <v>0</v>
      </c>
    </row>
    <row r="2055" spans="1:22" ht="14.4" customHeight="1" x14ac:dyDescent="0.25">
      <c r="A2055" s="149"/>
      <c r="V2055" s="128">
        <f t="shared" si="161"/>
        <v>0</v>
      </c>
    </row>
    <row r="2056" spans="1:22" ht="14.4" customHeight="1" x14ac:dyDescent="0.25">
      <c r="A2056" s="149"/>
      <c r="V2056" s="128">
        <f t="shared" si="161"/>
        <v>0</v>
      </c>
    </row>
    <row r="2057" spans="1:22" ht="14.4" customHeight="1" x14ac:dyDescent="0.25">
      <c r="A2057" s="149"/>
      <c r="V2057" s="128">
        <f t="shared" si="161"/>
        <v>0</v>
      </c>
    </row>
    <row r="2058" spans="1:22" ht="14.4" customHeight="1" x14ac:dyDescent="0.25">
      <c r="A2058" s="149"/>
      <c r="V2058" s="128">
        <f t="shared" si="161"/>
        <v>0</v>
      </c>
    </row>
    <row r="2059" spans="1:22" ht="14.4" customHeight="1" x14ac:dyDescent="0.25">
      <c r="A2059" s="149"/>
      <c r="V2059" s="128">
        <f t="shared" si="161"/>
        <v>0</v>
      </c>
    </row>
    <row r="2060" spans="1:22" ht="14.4" customHeight="1" x14ac:dyDescent="0.25">
      <c r="A2060" s="149"/>
      <c r="V2060" s="128">
        <f t="shared" si="161"/>
        <v>0</v>
      </c>
    </row>
    <row r="2061" spans="1:22" ht="14.4" customHeight="1" x14ac:dyDescent="0.25">
      <c r="A2061" s="149"/>
      <c r="V2061" s="128">
        <f t="shared" si="161"/>
        <v>0</v>
      </c>
    </row>
    <row r="2062" spans="1:22" ht="14.4" customHeight="1" x14ac:dyDescent="0.25">
      <c r="A2062" s="149"/>
      <c r="V2062" s="128">
        <f t="shared" si="161"/>
        <v>0</v>
      </c>
    </row>
    <row r="2063" spans="1:22" ht="14.4" customHeight="1" x14ac:dyDescent="0.25">
      <c r="A2063" s="149"/>
      <c r="V2063" s="128">
        <f t="shared" si="161"/>
        <v>0</v>
      </c>
    </row>
    <row r="2064" spans="1:22" ht="14.4" customHeight="1" x14ac:dyDescent="0.25">
      <c r="A2064" s="149"/>
      <c r="V2064" s="128">
        <f t="shared" si="161"/>
        <v>0</v>
      </c>
    </row>
    <row r="2065" spans="1:22" ht="14.4" customHeight="1" x14ac:dyDescent="0.25">
      <c r="A2065" s="149"/>
      <c r="V2065" s="128">
        <f t="shared" si="161"/>
        <v>0</v>
      </c>
    </row>
    <row r="2066" spans="1:22" ht="14.4" customHeight="1" x14ac:dyDescent="0.25">
      <c r="A2066" s="149"/>
      <c r="V2066" s="128">
        <f t="shared" si="161"/>
        <v>0</v>
      </c>
    </row>
    <row r="2067" spans="1:22" ht="14.4" customHeight="1" x14ac:dyDescent="0.25">
      <c r="A2067" s="149"/>
      <c r="V2067" s="128">
        <f t="shared" si="161"/>
        <v>0</v>
      </c>
    </row>
    <row r="2068" spans="1:22" ht="14.4" customHeight="1" x14ac:dyDescent="0.25">
      <c r="A2068" s="149"/>
      <c r="V2068" s="128">
        <f t="shared" si="161"/>
        <v>0</v>
      </c>
    </row>
    <row r="2069" spans="1:22" ht="14.4" customHeight="1" x14ac:dyDescent="0.25">
      <c r="A2069" s="149"/>
      <c r="V2069" s="128">
        <f t="shared" si="161"/>
        <v>0</v>
      </c>
    </row>
    <row r="2070" spans="1:22" ht="14.4" customHeight="1" x14ac:dyDescent="0.25">
      <c r="A2070" s="149"/>
      <c r="V2070" s="128">
        <f t="shared" si="161"/>
        <v>0</v>
      </c>
    </row>
    <row r="2071" spans="1:22" ht="14.4" customHeight="1" x14ac:dyDescent="0.25">
      <c r="A2071" s="149"/>
      <c r="V2071" s="128">
        <f t="shared" si="161"/>
        <v>0</v>
      </c>
    </row>
    <row r="2072" spans="1:22" ht="14.4" customHeight="1" x14ac:dyDescent="0.25">
      <c r="A2072" s="149"/>
      <c r="V2072" s="128">
        <f t="shared" si="161"/>
        <v>0</v>
      </c>
    </row>
    <row r="2073" spans="1:22" ht="14.4" customHeight="1" x14ac:dyDescent="0.25">
      <c r="A2073" s="149"/>
      <c r="V2073" s="128">
        <f t="shared" si="161"/>
        <v>0</v>
      </c>
    </row>
    <row r="2074" spans="1:22" ht="14.4" customHeight="1" x14ac:dyDescent="0.25">
      <c r="A2074" s="149"/>
      <c r="V2074" s="128">
        <f t="shared" si="161"/>
        <v>0</v>
      </c>
    </row>
    <row r="2075" spans="1:22" ht="14.4" customHeight="1" x14ac:dyDescent="0.25">
      <c r="A2075" s="149"/>
      <c r="V2075" s="128">
        <f t="shared" si="161"/>
        <v>0</v>
      </c>
    </row>
    <row r="2076" spans="1:22" ht="14.4" customHeight="1" x14ac:dyDescent="0.25">
      <c r="A2076" s="149"/>
      <c r="V2076" s="128">
        <f t="shared" si="161"/>
        <v>0</v>
      </c>
    </row>
    <row r="2077" spans="1:22" ht="14.4" customHeight="1" x14ac:dyDescent="0.25">
      <c r="A2077" s="149"/>
      <c r="V2077" s="128">
        <f t="shared" si="161"/>
        <v>0</v>
      </c>
    </row>
    <row r="2078" spans="1:22" ht="14.4" customHeight="1" x14ac:dyDescent="0.25">
      <c r="A2078" s="149"/>
      <c r="V2078" s="128">
        <f t="shared" si="161"/>
        <v>0</v>
      </c>
    </row>
    <row r="2079" spans="1:22" ht="14.4" customHeight="1" x14ac:dyDescent="0.25">
      <c r="A2079" s="149"/>
      <c r="V2079" s="128">
        <f t="shared" si="161"/>
        <v>0</v>
      </c>
    </row>
    <row r="2080" spans="1:22" ht="14.4" customHeight="1" x14ac:dyDescent="0.25">
      <c r="A2080" s="149"/>
      <c r="V2080" s="128">
        <f t="shared" si="161"/>
        <v>0</v>
      </c>
    </row>
    <row r="2081" spans="1:22" ht="14.4" customHeight="1" x14ac:dyDescent="0.25">
      <c r="A2081" s="149"/>
      <c r="V2081" s="128">
        <f t="shared" si="161"/>
        <v>0</v>
      </c>
    </row>
    <row r="2082" spans="1:22" ht="14.4" customHeight="1" x14ac:dyDescent="0.25">
      <c r="A2082" s="149"/>
      <c r="V2082" s="128">
        <f t="shared" si="161"/>
        <v>0</v>
      </c>
    </row>
    <row r="2083" spans="1:22" ht="14.4" customHeight="1" x14ac:dyDescent="0.25">
      <c r="A2083" s="149"/>
      <c r="V2083" s="128">
        <f t="shared" si="161"/>
        <v>0</v>
      </c>
    </row>
    <row r="2084" spans="1:22" ht="14.4" customHeight="1" x14ac:dyDescent="0.25">
      <c r="A2084" s="149"/>
      <c r="V2084" s="128">
        <f t="shared" si="161"/>
        <v>0</v>
      </c>
    </row>
    <row r="2085" spans="1:22" ht="14.4" customHeight="1" x14ac:dyDescent="0.25">
      <c r="A2085" s="149"/>
      <c r="V2085" s="128">
        <f t="shared" si="161"/>
        <v>0</v>
      </c>
    </row>
    <row r="2086" spans="1:22" ht="14.4" customHeight="1" x14ac:dyDescent="0.25">
      <c r="A2086" s="149"/>
      <c r="V2086" s="128">
        <f t="shared" si="161"/>
        <v>0</v>
      </c>
    </row>
    <row r="2087" spans="1:22" ht="14.4" customHeight="1" x14ac:dyDescent="0.25">
      <c r="A2087" s="149"/>
      <c r="V2087" s="128">
        <f t="shared" si="161"/>
        <v>0</v>
      </c>
    </row>
    <row r="2088" spans="1:22" ht="14.4" customHeight="1" x14ac:dyDescent="0.25">
      <c r="A2088" s="149"/>
      <c r="V2088" s="128">
        <f t="shared" si="161"/>
        <v>0</v>
      </c>
    </row>
    <row r="2089" spans="1:22" ht="14.4" customHeight="1" x14ac:dyDescent="0.25">
      <c r="A2089" s="149"/>
      <c r="V2089" s="128">
        <f t="shared" si="161"/>
        <v>0</v>
      </c>
    </row>
    <row r="2090" spans="1:22" ht="14.4" customHeight="1" x14ac:dyDescent="0.25">
      <c r="A2090" s="149"/>
      <c r="V2090" s="128">
        <f t="shared" si="161"/>
        <v>0</v>
      </c>
    </row>
    <row r="2091" spans="1:22" ht="14.4" customHeight="1" x14ac:dyDescent="0.25">
      <c r="A2091" s="149"/>
      <c r="V2091" s="128">
        <f t="shared" si="161"/>
        <v>0</v>
      </c>
    </row>
    <row r="2092" spans="1:22" ht="14.4" customHeight="1" x14ac:dyDescent="0.25">
      <c r="A2092" s="149"/>
      <c r="V2092" s="128">
        <f t="shared" si="161"/>
        <v>0</v>
      </c>
    </row>
    <row r="2093" spans="1:22" ht="14.4" customHeight="1" x14ac:dyDescent="0.25">
      <c r="A2093" s="149"/>
      <c r="V2093" s="128">
        <f t="shared" si="161"/>
        <v>0</v>
      </c>
    </row>
    <row r="2094" spans="1:22" ht="14.4" customHeight="1" x14ac:dyDescent="0.25">
      <c r="A2094" s="149"/>
      <c r="V2094" s="128">
        <f t="shared" si="161"/>
        <v>0</v>
      </c>
    </row>
    <row r="2095" spans="1:22" ht="14.4" customHeight="1" x14ac:dyDescent="0.25">
      <c r="A2095" s="149"/>
      <c r="V2095" s="128">
        <f t="shared" si="161"/>
        <v>0</v>
      </c>
    </row>
    <row r="2096" spans="1:22" ht="14.4" customHeight="1" x14ac:dyDescent="0.25">
      <c r="A2096" s="149"/>
      <c r="V2096" s="128">
        <f t="shared" si="161"/>
        <v>0</v>
      </c>
    </row>
    <row r="2097" spans="1:22" ht="14.4" customHeight="1" x14ac:dyDescent="0.25">
      <c r="A2097" s="149"/>
      <c r="V2097" s="128">
        <f t="shared" si="161"/>
        <v>0</v>
      </c>
    </row>
    <row r="2098" spans="1:22" ht="14.4" customHeight="1" x14ac:dyDescent="0.25">
      <c r="A2098" s="149"/>
      <c r="V2098" s="128">
        <f t="shared" si="161"/>
        <v>0</v>
      </c>
    </row>
    <row r="2099" spans="1:22" ht="14.4" customHeight="1" x14ac:dyDescent="0.25">
      <c r="A2099" s="149"/>
      <c r="V2099" s="128">
        <f t="shared" si="161"/>
        <v>0</v>
      </c>
    </row>
    <row r="2100" spans="1:22" ht="14.4" customHeight="1" x14ac:dyDescent="0.25">
      <c r="A2100" s="149"/>
      <c r="V2100" s="128">
        <f t="shared" si="161"/>
        <v>0</v>
      </c>
    </row>
    <row r="2101" spans="1:22" ht="14.4" customHeight="1" x14ac:dyDescent="0.25">
      <c r="A2101" s="149"/>
      <c r="V2101" s="128">
        <f t="shared" si="161"/>
        <v>0</v>
      </c>
    </row>
    <row r="2102" spans="1:22" ht="14.4" customHeight="1" x14ac:dyDescent="0.25">
      <c r="A2102" s="149"/>
      <c r="V2102" s="128">
        <f t="shared" si="161"/>
        <v>0</v>
      </c>
    </row>
    <row r="2103" spans="1:22" ht="14.4" customHeight="1" x14ac:dyDescent="0.25">
      <c r="A2103" s="149"/>
      <c r="V2103" s="128">
        <f t="shared" si="161"/>
        <v>0</v>
      </c>
    </row>
    <row r="2104" spans="1:22" ht="14.4" customHeight="1" x14ac:dyDescent="0.25">
      <c r="A2104" s="149"/>
      <c r="V2104" s="128">
        <f t="shared" si="161"/>
        <v>0</v>
      </c>
    </row>
    <row r="2105" spans="1:22" ht="14.4" customHeight="1" x14ac:dyDescent="0.25">
      <c r="A2105" s="149"/>
      <c r="V2105" s="128">
        <f t="shared" si="161"/>
        <v>0</v>
      </c>
    </row>
    <row r="2106" spans="1:22" ht="14.4" customHeight="1" x14ac:dyDescent="0.25">
      <c r="A2106" s="149"/>
      <c r="V2106" s="128">
        <f t="shared" si="161"/>
        <v>0</v>
      </c>
    </row>
    <row r="2107" spans="1:22" ht="14.4" customHeight="1" x14ac:dyDescent="0.25">
      <c r="A2107" s="149"/>
      <c r="V2107" s="128">
        <f t="shared" si="161"/>
        <v>0</v>
      </c>
    </row>
    <row r="2108" spans="1:22" ht="14.4" customHeight="1" x14ac:dyDescent="0.25">
      <c r="A2108" s="149"/>
      <c r="V2108" s="128">
        <f t="shared" si="161"/>
        <v>0</v>
      </c>
    </row>
    <row r="2109" spans="1:22" ht="14.4" customHeight="1" x14ac:dyDescent="0.25">
      <c r="A2109" s="149"/>
      <c r="V2109" s="128">
        <f t="shared" si="161"/>
        <v>0</v>
      </c>
    </row>
    <row r="2110" spans="1:22" ht="14.4" customHeight="1" x14ac:dyDescent="0.25">
      <c r="A2110" s="149"/>
      <c r="V2110" s="128">
        <f t="shared" si="161"/>
        <v>0</v>
      </c>
    </row>
    <row r="2111" spans="1:22" ht="14.4" customHeight="1" x14ac:dyDescent="0.25">
      <c r="A2111" s="149"/>
      <c r="V2111" s="128">
        <f t="shared" si="161"/>
        <v>0</v>
      </c>
    </row>
    <row r="2112" spans="1:22" ht="14.4" customHeight="1" x14ac:dyDescent="0.25">
      <c r="A2112" s="149"/>
      <c r="V2112" s="128">
        <f t="shared" ref="V2112:V2175" si="162">D2112-G2112-I2112-L2112-R2112</f>
        <v>0</v>
      </c>
    </row>
    <row r="2113" spans="1:22" ht="14.4" customHeight="1" x14ac:dyDescent="0.25">
      <c r="A2113" s="149"/>
      <c r="V2113" s="128">
        <f t="shared" si="162"/>
        <v>0</v>
      </c>
    </row>
    <row r="2114" spans="1:22" ht="14.4" customHeight="1" x14ac:dyDescent="0.25">
      <c r="A2114" s="149"/>
      <c r="V2114" s="128">
        <f t="shared" si="162"/>
        <v>0</v>
      </c>
    </row>
    <row r="2115" spans="1:22" ht="14.4" customHeight="1" x14ac:dyDescent="0.25">
      <c r="A2115" s="149"/>
      <c r="V2115" s="128">
        <f t="shared" si="162"/>
        <v>0</v>
      </c>
    </row>
    <row r="2116" spans="1:22" ht="14.4" customHeight="1" x14ac:dyDescent="0.25">
      <c r="A2116" s="149"/>
      <c r="V2116" s="128">
        <f t="shared" si="162"/>
        <v>0</v>
      </c>
    </row>
    <row r="2117" spans="1:22" ht="14.4" customHeight="1" x14ac:dyDescent="0.25">
      <c r="A2117" s="149"/>
      <c r="V2117" s="128">
        <f t="shared" si="162"/>
        <v>0</v>
      </c>
    </row>
    <row r="2118" spans="1:22" ht="14.4" customHeight="1" x14ac:dyDescent="0.25">
      <c r="A2118" s="149"/>
      <c r="V2118" s="128">
        <f t="shared" si="162"/>
        <v>0</v>
      </c>
    </row>
    <row r="2119" spans="1:22" ht="14.4" customHeight="1" x14ac:dyDescent="0.25">
      <c r="A2119" s="149"/>
      <c r="V2119" s="128">
        <f t="shared" si="162"/>
        <v>0</v>
      </c>
    </row>
    <row r="2120" spans="1:22" ht="14.4" customHeight="1" x14ac:dyDescent="0.25">
      <c r="A2120" s="149"/>
      <c r="V2120" s="128">
        <f t="shared" si="162"/>
        <v>0</v>
      </c>
    </row>
    <row r="2121" spans="1:22" ht="14.4" customHeight="1" x14ac:dyDescent="0.25">
      <c r="A2121" s="149"/>
      <c r="V2121" s="128">
        <f t="shared" si="162"/>
        <v>0</v>
      </c>
    </row>
    <row r="2122" spans="1:22" ht="14.4" customHeight="1" x14ac:dyDescent="0.25">
      <c r="A2122" s="149"/>
      <c r="V2122" s="128">
        <f t="shared" si="162"/>
        <v>0</v>
      </c>
    </row>
    <row r="2123" spans="1:22" ht="14.4" customHeight="1" x14ac:dyDescent="0.25">
      <c r="A2123" s="149"/>
      <c r="V2123" s="128">
        <f t="shared" si="162"/>
        <v>0</v>
      </c>
    </row>
    <row r="2124" spans="1:22" ht="14.4" customHeight="1" x14ac:dyDescent="0.25">
      <c r="A2124" s="149"/>
      <c r="V2124" s="128">
        <f t="shared" si="162"/>
        <v>0</v>
      </c>
    </row>
    <row r="2125" spans="1:22" ht="14.4" customHeight="1" x14ac:dyDescent="0.25">
      <c r="A2125" s="149"/>
      <c r="V2125" s="128">
        <f t="shared" si="162"/>
        <v>0</v>
      </c>
    </row>
    <row r="2126" spans="1:22" ht="14.4" customHeight="1" x14ac:dyDescent="0.25">
      <c r="A2126" s="149"/>
      <c r="V2126" s="128">
        <f t="shared" si="162"/>
        <v>0</v>
      </c>
    </row>
    <row r="2127" spans="1:22" ht="14.4" customHeight="1" x14ac:dyDescent="0.25">
      <c r="A2127" s="149"/>
      <c r="V2127" s="128">
        <f t="shared" si="162"/>
        <v>0</v>
      </c>
    </row>
    <row r="2128" spans="1:22" ht="14.4" customHeight="1" x14ac:dyDescent="0.25">
      <c r="A2128" s="149"/>
      <c r="V2128" s="128">
        <f t="shared" si="162"/>
        <v>0</v>
      </c>
    </row>
    <row r="2129" spans="1:22" ht="14.4" customHeight="1" x14ac:dyDescent="0.25">
      <c r="A2129" s="149"/>
      <c r="V2129" s="128">
        <f t="shared" si="162"/>
        <v>0</v>
      </c>
    </row>
    <row r="2130" spans="1:22" ht="14.4" customHeight="1" x14ac:dyDescent="0.25">
      <c r="A2130" s="149"/>
      <c r="V2130" s="128">
        <f t="shared" si="162"/>
        <v>0</v>
      </c>
    </row>
    <row r="2131" spans="1:22" ht="14.4" customHeight="1" x14ac:dyDescent="0.25">
      <c r="A2131" s="149"/>
      <c r="V2131" s="128">
        <f t="shared" si="162"/>
        <v>0</v>
      </c>
    </row>
    <row r="2132" spans="1:22" ht="14.4" customHeight="1" x14ac:dyDescent="0.25">
      <c r="A2132" s="149"/>
      <c r="V2132" s="128">
        <f t="shared" si="162"/>
        <v>0</v>
      </c>
    </row>
    <row r="2133" spans="1:22" ht="14.4" customHeight="1" x14ac:dyDescent="0.25">
      <c r="A2133" s="149"/>
      <c r="V2133" s="128">
        <f t="shared" si="162"/>
        <v>0</v>
      </c>
    </row>
    <row r="2134" spans="1:22" ht="14.4" customHeight="1" x14ac:dyDescent="0.25">
      <c r="A2134" s="149"/>
      <c r="V2134" s="128">
        <f t="shared" si="162"/>
        <v>0</v>
      </c>
    </row>
    <row r="2135" spans="1:22" ht="14.4" customHeight="1" x14ac:dyDescent="0.25">
      <c r="A2135" s="149"/>
      <c r="V2135" s="128">
        <f t="shared" si="162"/>
        <v>0</v>
      </c>
    </row>
    <row r="2136" spans="1:22" ht="14.4" customHeight="1" x14ac:dyDescent="0.25">
      <c r="A2136" s="149"/>
      <c r="V2136" s="128">
        <f t="shared" si="162"/>
        <v>0</v>
      </c>
    </row>
    <row r="2137" spans="1:22" ht="14.4" customHeight="1" x14ac:dyDescent="0.25">
      <c r="A2137" s="149"/>
      <c r="V2137" s="128">
        <f t="shared" si="162"/>
        <v>0</v>
      </c>
    </row>
    <row r="2138" spans="1:22" ht="14.4" customHeight="1" x14ac:dyDescent="0.25">
      <c r="A2138" s="149"/>
      <c r="V2138" s="128">
        <f t="shared" si="162"/>
        <v>0</v>
      </c>
    </row>
    <row r="2139" spans="1:22" ht="14.4" customHeight="1" x14ac:dyDescent="0.25">
      <c r="A2139" s="149"/>
      <c r="V2139" s="128">
        <f t="shared" si="162"/>
        <v>0</v>
      </c>
    </row>
    <row r="2140" spans="1:22" ht="14.4" customHeight="1" x14ac:dyDescent="0.25">
      <c r="A2140" s="149"/>
      <c r="V2140" s="128">
        <f t="shared" si="162"/>
        <v>0</v>
      </c>
    </row>
    <row r="2141" spans="1:22" ht="14.4" customHeight="1" x14ac:dyDescent="0.25">
      <c r="A2141" s="149"/>
      <c r="V2141" s="128">
        <f t="shared" si="162"/>
        <v>0</v>
      </c>
    </row>
    <row r="2142" spans="1:22" ht="14.4" customHeight="1" x14ac:dyDescent="0.25">
      <c r="A2142" s="149"/>
      <c r="V2142" s="128">
        <f t="shared" si="162"/>
        <v>0</v>
      </c>
    </row>
    <row r="2143" spans="1:22" ht="14.4" customHeight="1" x14ac:dyDescent="0.25">
      <c r="A2143" s="149"/>
      <c r="V2143" s="128">
        <f t="shared" si="162"/>
        <v>0</v>
      </c>
    </row>
    <row r="2144" spans="1:22" ht="14.4" customHeight="1" x14ac:dyDescent="0.25">
      <c r="A2144" s="149"/>
      <c r="V2144" s="128">
        <f t="shared" si="162"/>
        <v>0</v>
      </c>
    </row>
    <row r="2145" spans="1:22" ht="14.4" customHeight="1" x14ac:dyDescent="0.25">
      <c r="A2145" s="149"/>
      <c r="V2145" s="128">
        <f t="shared" si="162"/>
        <v>0</v>
      </c>
    </row>
    <row r="2146" spans="1:22" ht="14.4" customHeight="1" x14ac:dyDescent="0.25">
      <c r="A2146" s="149"/>
      <c r="V2146" s="128">
        <f t="shared" si="162"/>
        <v>0</v>
      </c>
    </row>
    <row r="2147" spans="1:22" ht="14.4" customHeight="1" x14ac:dyDescent="0.25">
      <c r="A2147" s="149"/>
      <c r="V2147" s="128">
        <f t="shared" si="162"/>
        <v>0</v>
      </c>
    </row>
    <row r="2148" spans="1:22" ht="14.4" customHeight="1" x14ac:dyDescent="0.25">
      <c r="A2148" s="149"/>
      <c r="V2148" s="128">
        <f t="shared" si="162"/>
        <v>0</v>
      </c>
    </row>
    <row r="2149" spans="1:22" ht="14.4" customHeight="1" x14ac:dyDescent="0.25">
      <c r="A2149" s="149"/>
      <c r="V2149" s="128">
        <f t="shared" si="162"/>
        <v>0</v>
      </c>
    </row>
    <row r="2150" spans="1:22" ht="14.4" customHeight="1" x14ac:dyDescent="0.25">
      <c r="A2150" s="149"/>
      <c r="V2150" s="128">
        <f t="shared" si="162"/>
        <v>0</v>
      </c>
    </row>
    <row r="2151" spans="1:22" ht="14.4" customHeight="1" x14ac:dyDescent="0.25">
      <c r="A2151" s="149"/>
      <c r="V2151" s="128">
        <f t="shared" si="162"/>
        <v>0</v>
      </c>
    </row>
    <row r="2152" spans="1:22" ht="14.4" customHeight="1" x14ac:dyDescent="0.25">
      <c r="A2152" s="149"/>
      <c r="V2152" s="128">
        <f t="shared" si="162"/>
        <v>0</v>
      </c>
    </row>
    <row r="2153" spans="1:22" ht="14.4" customHeight="1" x14ac:dyDescent="0.25">
      <c r="A2153" s="149"/>
      <c r="V2153" s="128">
        <f t="shared" si="162"/>
        <v>0</v>
      </c>
    </row>
    <row r="2154" spans="1:22" ht="14.4" customHeight="1" x14ac:dyDescent="0.25">
      <c r="A2154" s="149"/>
      <c r="V2154" s="128">
        <f t="shared" si="162"/>
        <v>0</v>
      </c>
    </row>
    <row r="2155" spans="1:22" ht="14.4" customHeight="1" x14ac:dyDescent="0.25">
      <c r="A2155" s="149"/>
      <c r="V2155" s="128">
        <f t="shared" si="162"/>
        <v>0</v>
      </c>
    </row>
    <row r="2156" spans="1:22" ht="14.4" customHeight="1" x14ac:dyDescent="0.25">
      <c r="A2156" s="149"/>
      <c r="V2156" s="128">
        <f t="shared" si="162"/>
        <v>0</v>
      </c>
    </row>
    <row r="2157" spans="1:22" ht="14.4" customHeight="1" x14ac:dyDescent="0.25">
      <c r="A2157" s="149"/>
      <c r="V2157" s="128">
        <f t="shared" si="162"/>
        <v>0</v>
      </c>
    </row>
    <row r="2158" spans="1:22" ht="14.4" customHeight="1" x14ac:dyDescent="0.25">
      <c r="A2158" s="149"/>
      <c r="V2158" s="128">
        <f t="shared" si="162"/>
        <v>0</v>
      </c>
    </row>
    <row r="2159" spans="1:22" ht="14.4" customHeight="1" x14ac:dyDescent="0.25">
      <c r="A2159" s="149"/>
      <c r="V2159" s="128">
        <f t="shared" si="162"/>
        <v>0</v>
      </c>
    </row>
    <row r="2160" spans="1:22" ht="14.4" customHeight="1" x14ac:dyDescent="0.25">
      <c r="A2160" s="149"/>
      <c r="V2160" s="128">
        <f t="shared" si="162"/>
        <v>0</v>
      </c>
    </row>
    <row r="2161" spans="1:22" ht="14.4" customHeight="1" x14ac:dyDescent="0.25">
      <c r="A2161" s="149"/>
      <c r="V2161" s="128">
        <f t="shared" si="162"/>
        <v>0</v>
      </c>
    </row>
    <row r="2162" spans="1:22" ht="14.4" customHeight="1" x14ac:dyDescent="0.25">
      <c r="A2162" s="149"/>
      <c r="V2162" s="128">
        <f t="shared" si="162"/>
        <v>0</v>
      </c>
    </row>
    <row r="2163" spans="1:22" ht="14.4" customHeight="1" x14ac:dyDescent="0.25">
      <c r="A2163" s="149"/>
      <c r="V2163" s="128">
        <f t="shared" si="162"/>
        <v>0</v>
      </c>
    </row>
    <row r="2164" spans="1:22" ht="14.4" customHeight="1" x14ac:dyDescent="0.25">
      <c r="A2164" s="149"/>
      <c r="V2164" s="128">
        <f t="shared" si="162"/>
        <v>0</v>
      </c>
    </row>
    <row r="2165" spans="1:22" ht="14.4" customHeight="1" x14ac:dyDescent="0.25">
      <c r="A2165" s="149"/>
      <c r="V2165" s="128">
        <f t="shared" si="162"/>
        <v>0</v>
      </c>
    </row>
    <row r="2166" spans="1:22" ht="14.4" customHeight="1" x14ac:dyDescent="0.25">
      <c r="A2166" s="149"/>
      <c r="V2166" s="128">
        <f t="shared" si="162"/>
        <v>0</v>
      </c>
    </row>
    <row r="2167" spans="1:22" ht="14.4" customHeight="1" x14ac:dyDescent="0.25">
      <c r="A2167" s="149"/>
      <c r="V2167" s="128">
        <f t="shared" si="162"/>
        <v>0</v>
      </c>
    </row>
    <row r="2168" spans="1:22" ht="14.4" customHeight="1" x14ac:dyDescent="0.25">
      <c r="A2168" s="149"/>
      <c r="V2168" s="128">
        <f t="shared" si="162"/>
        <v>0</v>
      </c>
    </row>
    <row r="2169" spans="1:22" ht="14.4" customHeight="1" x14ac:dyDescent="0.25">
      <c r="A2169" s="149"/>
      <c r="V2169" s="128">
        <f t="shared" si="162"/>
        <v>0</v>
      </c>
    </row>
    <row r="2170" spans="1:22" ht="14.4" customHeight="1" x14ac:dyDescent="0.25">
      <c r="A2170" s="149"/>
      <c r="V2170" s="128">
        <f t="shared" si="162"/>
        <v>0</v>
      </c>
    </row>
    <row r="2171" spans="1:22" ht="14.4" customHeight="1" x14ac:dyDescent="0.25">
      <c r="A2171" s="149"/>
      <c r="V2171" s="128">
        <f t="shared" si="162"/>
        <v>0</v>
      </c>
    </row>
    <row r="2172" spans="1:22" ht="14.4" customHeight="1" x14ac:dyDescent="0.25">
      <c r="A2172" s="149"/>
      <c r="V2172" s="128">
        <f t="shared" si="162"/>
        <v>0</v>
      </c>
    </row>
    <row r="2173" spans="1:22" ht="14.4" customHeight="1" x14ac:dyDescent="0.25">
      <c r="A2173" s="149"/>
      <c r="V2173" s="128">
        <f t="shared" si="162"/>
        <v>0</v>
      </c>
    </row>
    <row r="2174" spans="1:22" ht="14.4" customHeight="1" x14ac:dyDescent="0.25">
      <c r="A2174" s="149"/>
      <c r="V2174" s="128">
        <f t="shared" si="162"/>
        <v>0</v>
      </c>
    </row>
    <row r="2175" spans="1:22" ht="14.4" customHeight="1" x14ac:dyDescent="0.25">
      <c r="A2175" s="149"/>
      <c r="V2175" s="128">
        <f t="shared" si="162"/>
        <v>0</v>
      </c>
    </row>
    <row r="2176" spans="1:22" ht="14.4" customHeight="1" x14ac:dyDescent="0.25">
      <c r="A2176" s="149"/>
      <c r="V2176" s="128">
        <f t="shared" ref="V2176:V2231" si="163">D2176-G2176-I2176-L2176-R2176</f>
        <v>0</v>
      </c>
    </row>
    <row r="2177" spans="1:22" ht="14.4" customHeight="1" x14ac:dyDescent="0.25">
      <c r="A2177" s="149"/>
      <c r="V2177" s="128">
        <f t="shared" si="163"/>
        <v>0</v>
      </c>
    </row>
    <row r="2178" spans="1:22" ht="14.4" customHeight="1" x14ac:dyDescent="0.25">
      <c r="A2178" s="149"/>
      <c r="V2178" s="128">
        <f t="shared" si="163"/>
        <v>0</v>
      </c>
    </row>
    <row r="2179" spans="1:22" ht="14.4" customHeight="1" x14ac:dyDescent="0.25">
      <c r="A2179" s="149"/>
      <c r="V2179" s="128">
        <f t="shared" si="163"/>
        <v>0</v>
      </c>
    </row>
    <row r="2180" spans="1:22" ht="14.4" customHeight="1" x14ac:dyDescent="0.25">
      <c r="A2180" s="149"/>
      <c r="V2180" s="128">
        <f t="shared" si="163"/>
        <v>0</v>
      </c>
    </row>
    <row r="2181" spans="1:22" ht="14.4" customHeight="1" x14ac:dyDescent="0.25">
      <c r="A2181" s="149"/>
      <c r="V2181" s="128">
        <f t="shared" si="163"/>
        <v>0</v>
      </c>
    </row>
    <row r="2182" spans="1:22" ht="14.4" customHeight="1" x14ac:dyDescent="0.25">
      <c r="A2182" s="149"/>
      <c r="V2182" s="128">
        <f t="shared" si="163"/>
        <v>0</v>
      </c>
    </row>
    <row r="2183" spans="1:22" ht="14.4" customHeight="1" x14ac:dyDescent="0.25">
      <c r="A2183" s="149"/>
      <c r="V2183" s="128">
        <f t="shared" si="163"/>
        <v>0</v>
      </c>
    </row>
    <row r="2184" spans="1:22" ht="14.4" customHeight="1" x14ac:dyDescent="0.25">
      <c r="A2184" s="149"/>
      <c r="V2184" s="128">
        <f t="shared" si="163"/>
        <v>0</v>
      </c>
    </row>
    <row r="2185" spans="1:22" ht="14.4" customHeight="1" x14ac:dyDescent="0.25">
      <c r="A2185" s="149"/>
      <c r="V2185" s="128">
        <f t="shared" si="163"/>
        <v>0</v>
      </c>
    </row>
    <row r="2186" spans="1:22" ht="14.4" customHeight="1" x14ac:dyDescent="0.25">
      <c r="A2186" s="149"/>
      <c r="V2186" s="128">
        <f t="shared" si="163"/>
        <v>0</v>
      </c>
    </row>
    <row r="2187" spans="1:22" ht="14.4" customHeight="1" x14ac:dyDescent="0.25">
      <c r="A2187" s="149"/>
      <c r="V2187" s="128">
        <f t="shared" si="163"/>
        <v>0</v>
      </c>
    </row>
    <row r="2188" spans="1:22" ht="14.4" customHeight="1" x14ac:dyDescent="0.25">
      <c r="A2188" s="149"/>
      <c r="V2188" s="128">
        <f t="shared" si="163"/>
        <v>0</v>
      </c>
    </row>
    <row r="2189" spans="1:22" ht="14.4" customHeight="1" x14ac:dyDescent="0.25">
      <c r="A2189" s="149"/>
      <c r="V2189" s="128">
        <f t="shared" si="163"/>
        <v>0</v>
      </c>
    </row>
    <row r="2190" spans="1:22" ht="14.4" customHeight="1" x14ac:dyDescent="0.25">
      <c r="A2190" s="149"/>
      <c r="V2190" s="128">
        <f t="shared" si="163"/>
        <v>0</v>
      </c>
    </row>
    <row r="2191" spans="1:22" ht="14.4" customHeight="1" x14ac:dyDescent="0.25">
      <c r="A2191" s="149"/>
      <c r="V2191" s="128">
        <f t="shared" si="163"/>
        <v>0</v>
      </c>
    </row>
    <row r="2192" spans="1:22" ht="14.4" customHeight="1" x14ac:dyDescent="0.25">
      <c r="A2192" s="149"/>
      <c r="V2192" s="128">
        <f t="shared" si="163"/>
        <v>0</v>
      </c>
    </row>
    <row r="2193" spans="1:22" ht="14.4" customHeight="1" x14ac:dyDescent="0.25">
      <c r="A2193" s="149"/>
      <c r="V2193" s="128">
        <f t="shared" si="163"/>
        <v>0</v>
      </c>
    </row>
    <row r="2194" spans="1:22" ht="14.4" customHeight="1" x14ac:dyDescent="0.25">
      <c r="A2194" s="149"/>
      <c r="V2194" s="128">
        <f t="shared" si="163"/>
        <v>0</v>
      </c>
    </row>
    <row r="2195" spans="1:22" ht="14.4" customHeight="1" x14ac:dyDescent="0.25">
      <c r="A2195" s="149"/>
      <c r="V2195" s="128">
        <f t="shared" si="163"/>
        <v>0</v>
      </c>
    </row>
    <row r="2196" spans="1:22" ht="14.4" customHeight="1" x14ac:dyDescent="0.25">
      <c r="A2196" s="149"/>
      <c r="V2196" s="128">
        <f t="shared" si="163"/>
        <v>0</v>
      </c>
    </row>
    <row r="2197" spans="1:22" ht="14.4" customHeight="1" x14ac:dyDescent="0.25">
      <c r="A2197" s="149"/>
      <c r="V2197" s="128">
        <f t="shared" si="163"/>
        <v>0</v>
      </c>
    </row>
    <row r="2198" spans="1:22" ht="14.4" customHeight="1" x14ac:dyDescent="0.25">
      <c r="A2198" s="149"/>
      <c r="V2198" s="128">
        <f t="shared" si="163"/>
        <v>0</v>
      </c>
    </row>
    <row r="2199" spans="1:22" ht="14.4" customHeight="1" x14ac:dyDescent="0.25">
      <c r="A2199" s="149"/>
      <c r="V2199" s="128">
        <f t="shared" si="163"/>
        <v>0</v>
      </c>
    </row>
    <row r="2200" spans="1:22" ht="14.4" customHeight="1" x14ac:dyDescent="0.25">
      <c r="A2200" s="149"/>
      <c r="V2200" s="128">
        <f t="shared" si="163"/>
        <v>0</v>
      </c>
    </row>
    <row r="2201" spans="1:22" ht="14.4" customHeight="1" x14ac:dyDescent="0.25">
      <c r="A2201" s="149"/>
      <c r="V2201" s="128">
        <f t="shared" si="163"/>
        <v>0</v>
      </c>
    </row>
    <row r="2202" spans="1:22" ht="14.4" customHeight="1" x14ac:dyDescent="0.25">
      <c r="A2202" s="149"/>
      <c r="V2202" s="128">
        <f t="shared" si="163"/>
        <v>0</v>
      </c>
    </row>
    <row r="2203" spans="1:22" ht="14.4" customHeight="1" x14ac:dyDescent="0.25">
      <c r="A2203" s="149"/>
      <c r="V2203" s="128">
        <f t="shared" si="163"/>
        <v>0</v>
      </c>
    </row>
    <row r="2204" spans="1:22" ht="14.4" customHeight="1" x14ac:dyDescent="0.25">
      <c r="A2204" s="149"/>
      <c r="V2204" s="128">
        <f t="shared" si="163"/>
        <v>0</v>
      </c>
    </row>
    <row r="2205" spans="1:22" ht="14.4" customHeight="1" x14ac:dyDescent="0.25">
      <c r="A2205" s="149"/>
      <c r="V2205" s="128">
        <f t="shared" si="163"/>
        <v>0</v>
      </c>
    </row>
    <row r="2206" spans="1:22" ht="14.4" customHeight="1" x14ac:dyDescent="0.25">
      <c r="A2206" s="149"/>
      <c r="V2206" s="128">
        <f t="shared" si="163"/>
        <v>0</v>
      </c>
    </row>
    <row r="2207" spans="1:22" ht="14.4" customHeight="1" x14ac:dyDescent="0.25">
      <c r="A2207" s="149"/>
      <c r="V2207" s="128">
        <f t="shared" si="163"/>
        <v>0</v>
      </c>
    </row>
    <row r="2208" spans="1:22" ht="14.4" customHeight="1" x14ac:dyDescent="0.25">
      <c r="A2208" s="149"/>
      <c r="V2208" s="128">
        <f t="shared" si="163"/>
        <v>0</v>
      </c>
    </row>
    <row r="2209" spans="1:22" ht="14.4" customHeight="1" x14ac:dyDescent="0.25">
      <c r="A2209" s="149"/>
      <c r="V2209" s="128">
        <f t="shared" si="163"/>
        <v>0</v>
      </c>
    </row>
    <row r="2210" spans="1:22" ht="14.4" customHeight="1" x14ac:dyDescent="0.25">
      <c r="A2210" s="149"/>
      <c r="V2210" s="128">
        <f t="shared" si="163"/>
        <v>0</v>
      </c>
    </row>
    <row r="2211" spans="1:22" ht="14.4" customHeight="1" x14ac:dyDescent="0.25">
      <c r="A2211" s="149"/>
      <c r="V2211" s="128">
        <f t="shared" si="163"/>
        <v>0</v>
      </c>
    </row>
    <row r="2212" spans="1:22" ht="14.4" customHeight="1" x14ac:dyDescent="0.25">
      <c r="A2212" s="149"/>
      <c r="V2212" s="128">
        <f t="shared" si="163"/>
        <v>0</v>
      </c>
    </row>
    <row r="2213" spans="1:22" ht="14.4" customHeight="1" x14ac:dyDescent="0.25">
      <c r="A2213" s="149"/>
      <c r="V2213" s="128">
        <f t="shared" si="163"/>
        <v>0</v>
      </c>
    </row>
    <row r="2214" spans="1:22" ht="14.4" customHeight="1" x14ac:dyDescent="0.25">
      <c r="A2214" s="149"/>
      <c r="V2214" s="128">
        <f t="shared" si="163"/>
        <v>0</v>
      </c>
    </row>
    <row r="2215" spans="1:22" ht="14.4" customHeight="1" x14ac:dyDescent="0.25">
      <c r="A2215" s="149"/>
      <c r="V2215" s="128">
        <f t="shared" si="163"/>
        <v>0</v>
      </c>
    </row>
    <row r="2216" spans="1:22" ht="14.4" customHeight="1" x14ac:dyDescent="0.25">
      <c r="A2216" s="149"/>
      <c r="V2216" s="128">
        <f t="shared" si="163"/>
        <v>0</v>
      </c>
    </row>
    <row r="2217" spans="1:22" ht="14.4" customHeight="1" x14ac:dyDescent="0.25">
      <c r="A2217" s="149"/>
      <c r="V2217" s="128">
        <f t="shared" si="163"/>
        <v>0</v>
      </c>
    </row>
    <row r="2218" spans="1:22" ht="14.4" customHeight="1" x14ac:dyDescent="0.25">
      <c r="A2218" s="149"/>
      <c r="V2218" s="128">
        <f t="shared" si="163"/>
        <v>0</v>
      </c>
    </row>
    <row r="2219" spans="1:22" ht="14.4" customHeight="1" x14ac:dyDescent="0.25">
      <c r="A2219" s="149"/>
      <c r="V2219" s="128">
        <f t="shared" si="163"/>
        <v>0</v>
      </c>
    </row>
    <row r="2220" spans="1:22" ht="14.4" customHeight="1" x14ac:dyDescent="0.25">
      <c r="A2220" s="149"/>
      <c r="V2220" s="128">
        <f t="shared" si="163"/>
        <v>0</v>
      </c>
    </row>
    <row r="2221" spans="1:22" ht="14.4" customHeight="1" x14ac:dyDescent="0.25">
      <c r="A2221" s="149"/>
      <c r="V2221" s="128">
        <f t="shared" si="163"/>
        <v>0</v>
      </c>
    </row>
    <row r="2222" spans="1:22" ht="14.4" customHeight="1" x14ac:dyDescent="0.25">
      <c r="A2222" s="149"/>
      <c r="V2222" s="128">
        <f t="shared" si="163"/>
        <v>0</v>
      </c>
    </row>
    <row r="2223" spans="1:22" ht="14.4" customHeight="1" x14ac:dyDescent="0.25">
      <c r="A2223" s="149"/>
      <c r="V2223" s="128">
        <f t="shared" si="163"/>
        <v>0</v>
      </c>
    </row>
    <row r="2224" spans="1:22" ht="14.4" customHeight="1" x14ac:dyDescent="0.25">
      <c r="A2224" s="149"/>
      <c r="V2224" s="128">
        <f t="shared" si="163"/>
        <v>0</v>
      </c>
    </row>
    <row r="2225" spans="1:22" ht="14.4" customHeight="1" x14ac:dyDescent="0.25">
      <c r="A2225" s="149"/>
      <c r="V2225" s="128">
        <f t="shared" si="163"/>
        <v>0</v>
      </c>
    </row>
    <row r="2226" spans="1:22" ht="14.4" customHeight="1" x14ac:dyDescent="0.25">
      <c r="A2226" s="149"/>
      <c r="V2226" s="128">
        <f t="shared" si="163"/>
        <v>0</v>
      </c>
    </row>
    <row r="2227" spans="1:22" ht="14.4" customHeight="1" x14ac:dyDescent="0.25">
      <c r="A2227" s="149"/>
      <c r="V2227" s="128">
        <f t="shared" si="163"/>
        <v>0</v>
      </c>
    </row>
    <row r="2228" spans="1:22" ht="14.4" customHeight="1" x14ac:dyDescent="0.25">
      <c r="A2228" s="149"/>
      <c r="V2228" s="128">
        <f t="shared" si="163"/>
        <v>0</v>
      </c>
    </row>
    <row r="2229" spans="1:22" ht="14.4" customHeight="1" x14ac:dyDescent="0.25">
      <c r="A2229" s="149"/>
      <c r="V2229" s="128">
        <f t="shared" si="163"/>
        <v>0</v>
      </c>
    </row>
    <row r="2230" spans="1:22" ht="14.4" customHeight="1" x14ac:dyDescent="0.25">
      <c r="A2230" s="149"/>
      <c r="V2230" s="128">
        <f t="shared" si="163"/>
        <v>0</v>
      </c>
    </row>
    <row r="2231" spans="1:22" ht="14.4" customHeight="1" x14ac:dyDescent="0.25">
      <c r="A2231" s="149"/>
      <c r="V2231" s="128">
        <f t="shared" si="163"/>
        <v>0</v>
      </c>
    </row>
    <row r="2232" spans="1:22" ht="14.4" customHeight="1" x14ac:dyDescent="0.25"/>
  </sheetData>
  <sheetProtection selectLockedCells="1"/>
  <autoFilter ref="A1:AG2231" xr:uid="{00000000-0009-0000-0000-000003000000}"/>
  <mergeCells count="3">
    <mergeCell ref="Z82:Z83"/>
    <mergeCell ref="AA82:AA83"/>
    <mergeCell ref="AB115:AD115"/>
  </mergeCell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6"/>
  <sheetViews>
    <sheetView workbookViewId="0">
      <selection activeCell="H3" sqref="H3"/>
    </sheetView>
  </sheetViews>
  <sheetFormatPr defaultColWidth="10" defaultRowHeight="14.4" x14ac:dyDescent="0.3"/>
  <cols>
    <col min="1" max="1" width="27.88671875" style="211" customWidth="1"/>
    <col min="2" max="2" width="23.6640625" style="211" customWidth="1"/>
    <col min="3" max="3" width="20.5546875" style="211" customWidth="1"/>
    <col min="4" max="4" width="20.6640625" style="211" customWidth="1"/>
  </cols>
  <sheetData>
    <row r="1" spans="1:14" x14ac:dyDescent="0.3">
      <c r="A1" s="211" t="s">
        <v>84</v>
      </c>
      <c r="B1" s="211" t="s">
        <v>82</v>
      </c>
      <c r="C1" s="211" t="s">
        <v>83</v>
      </c>
      <c r="D1" s="211" t="s">
        <v>85</v>
      </c>
      <c r="G1" s="257" t="s">
        <v>86</v>
      </c>
      <c r="H1" s="258"/>
      <c r="I1" s="258"/>
      <c r="J1" s="258"/>
      <c r="K1" s="258"/>
      <c r="L1" s="258"/>
      <c r="M1" s="258"/>
      <c r="N1" s="259"/>
    </row>
    <row r="2" spans="1:14" x14ac:dyDescent="0.3">
      <c r="D2" s="211">
        <f t="shared" ref="D2:D65" si="0">B2*0.4</f>
        <v>0</v>
      </c>
      <c r="G2" s="211"/>
      <c r="H2" s="211" t="s">
        <v>44</v>
      </c>
      <c r="I2" s="211" t="s">
        <v>87</v>
      </c>
      <c r="J2" s="211" t="s">
        <v>105</v>
      </c>
      <c r="K2" s="211" t="s">
        <v>104</v>
      </c>
      <c r="L2" s="211" t="s">
        <v>88</v>
      </c>
      <c r="M2" s="211" t="s">
        <v>89</v>
      </c>
      <c r="N2" s="211" t="s">
        <v>90</v>
      </c>
    </row>
    <row r="3" spans="1:14" x14ac:dyDescent="0.3">
      <c r="D3" s="211">
        <f t="shared" si="0"/>
        <v>0</v>
      </c>
      <c r="G3" s="211" t="s">
        <v>91</v>
      </c>
      <c r="H3" s="211">
        <f>SUMIF(C:C,"Андрей", D:D)</f>
        <v>0</v>
      </c>
      <c r="I3" s="211">
        <f>SUMIF(C:C,"Илья", D:D)</f>
        <v>0</v>
      </c>
      <c r="J3" s="211">
        <f>SUMIF(C:C,"Ильяс", D:D)</f>
        <v>0</v>
      </c>
      <c r="K3" s="211">
        <f>SUMIF(C:C,"Женя", D:D)</f>
        <v>0</v>
      </c>
      <c r="L3" s="211">
        <f>SUMIF(C:C,"Настя", D:D)</f>
        <v>0</v>
      </c>
      <c r="M3" s="211">
        <f>SUMIF(C:C,"Ещё", D:D)</f>
        <v>0</v>
      </c>
      <c r="N3" s="211">
        <f>SUMIF(C:C,"и Ещё", D:D)</f>
        <v>0</v>
      </c>
    </row>
    <row r="4" spans="1:14" x14ac:dyDescent="0.3">
      <c r="D4" s="211">
        <f t="shared" si="0"/>
        <v>0</v>
      </c>
      <c r="G4" s="211" t="s">
        <v>92</v>
      </c>
      <c r="H4" s="211"/>
      <c r="I4" s="211"/>
      <c r="J4" s="211"/>
      <c r="K4" s="211"/>
      <c r="L4" s="211"/>
      <c r="M4" s="211"/>
      <c r="N4" s="211"/>
    </row>
    <row r="5" spans="1:14" x14ac:dyDescent="0.3">
      <c r="D5" s="211">
        <f t="shared" si="0"/>
        <v>0</v>
      </c>
      <c r="G5" s="211" t="s">
        <v>93</v>
      </c>
      <c r="H5" s="211">
        <f t="shared" ref="H5:N5" si="1">H3-H4</f>
        <v>0</v>
      </c>
      <c r="I5" s="211">
        <f t="shared" si="1"/>
        <v>0</v>
      </c>
      <c r="J5" s="211">
        <f t="shared" si="1"/>
        <v>0</v>
      </c>
      <c r="K5" s="211">
        <f t="shared" si="1"/>
        <v>0</v>
      </c>
      <c r="L5" s="211">
        <f t="shared" si="1"/>
        <v>0</v>
      </c>
      <c r="M5" s="211">
        <f t="shared" si="1"/>
        <v>0</v>
      </c>
      <c r="N5" s="211">
        <f t="shared" si="1"/>
        <v>0</v>
      </c>
    </row>
    <row r="6" spans="1:14" x14ac:dyDescent="0.3">
      <c r="D6" s="211">
        <f t="shared" si="0"/>
        <v>0</v>
      </c>
    </row>
    <row r="7" spans="1:14" x14ac:dyDescent="0.3">
      <c r="D7" s="211">
        <f t="shared" si="0"/>
        <v>0</v>
      </c>
    </row>
    <row r="8" spans="1:14" x14ac:dyDescent="0.3">
      <c r="D8" s="211">
        <f t="shared" si="0"/>
        <v>0</v>
      </c>
    </row>
    <row r="9" spans="1:14" x14ac:dyDescent="0.3">
      <c r="D9" s="211">
        <f t="shared" si="0"/>
        <v>0</v>
      </c>
    </row>
    <row r="10" spans="1:14" x14ac:dyDescent="0.3">
      <c r="D10" s="211">
        <f t="shared" si="0"/>
        <v>0</v>
      </c>
    </row>
    <row r="11" spans="1:14" x14ac:dyDescent="0.3">
      <c r="D11" s="211">
        <f t="shared" si="0"/>
        <v>0</v>
      </c>
    </row>
    <row r="12" spans="1:14" x14ac:dyDescent="0.3">
      <c r="D12" s="211">
        <f t="shared" si="0"/>
        <v>0</v>
      </c>
    </row>
    <row r="13" spans="1:14" x14ac:dyDescent="0.3">
      <c r="D13" s="211">
        <f t="shared" si="0"/>
        <v>0</v>
      </c>
    </row>
    <row r="14" spans="1:14" x14ac:dyDescent="0.3">
      <c r="D14" s="211">
        <f t="shared" si="0"/>
        <v>0</v>
      </c>
    </row>
    <row r="15" spans="1:14" x14ac:dyDescent="0.3">
      <c r="D15" s="211">
        <f t="shared" si="0"/>
        <v>0</v>
      </c>
    </row>
    <row r="16" spans="1:14" x14ac:dyDescent="0.3">
      <c r="D16" s="211">
        <f t="shared" si="0"/>
        <v>0</v>
      </c>
    </row>
    <row r="17" spans="4:4" x14ac:dyDescent="0.3">
      <c r="D17" s="211">
        <f t="shared" si="0"/>
        <v>0</v>
      </c>
    </row>
    <row r="18" spans="4:4" x14ac:dyDescent="0.3">
      <c r="D18" s="211">
        <f t="shared" si="0"/>
        <v>0</v>
      </c>
    </row>
    <row r="19" spans="4:4" x14ac:dyDescent="0.3">
      <c r="D19" s="211">
        <f t="shared" si="0"/>
        <v>0</v>
      </c>
    </row>
    <row r="20" spans="4:4" x14ac:dyDescent="0.3">
      <c r="D20" s="211">
        <f t="shared" si="0"/>
        <v>0</v>
      </c>
    </row>
    <row r="21" spans="4:4" x14ac:dyDescent="0.3">
      <c r="D21" s="211">
        <f t="shared" si="0"/>
        <v>0</v>
      </c>
    </row>
    <row r="22" spans="4:4" x14ac:dyDescent="0.3">
      <c r="D22" s="211">
        <f t="shared" si="0"/>
        <v>0</v>
      </c>
    </row>
    <row r="23" spans="4:4" x14ac:dyDescent="0.3">
      <c r="D23" s="211">
        <f t="shared" si="0"/>
        <v>0</v>
      </c>
    </row>
    <row r="24" spans="4:4" x14ac:dyDescent="0.3">
      <c r="D24" s="211">
        <f t="shared" si="0"/>
        <v>0</v>
      </c>
    </row>
    <row r="25" spans="4:4" x14ac:dyDescent="0.3">
      <c r="D25" s="211">
        <f t="shared" si="0"/>
        <v>0</v>
      </c>
    </row>
    <row r="26" spans="4:4" x14ac:dyDescent="0.3">
      <c r="D26" s="211">
        <f t="shared" si="0"/>
        <v>0</v>
      </c>
    </row>
    <row r="27" spans="4:4" x14ac:dyDescent="0.3">
      <c r="D27" s="211">
        <f t="shared" si="0"/>
        <v>0</v>
      </c>
    </row>
    <row r="28" spans="4:4" x14ac:dyDescent="0.3">
      <c r="D28" s="211">
        <f t="shared" si="0"/>
        <v>0</v>
      </c>
    </row>
    <row r="29" spans="4:4" x14ac:dyDescent="0.3">
      <c r="D29" s="211">
        <f t="shared" si="0"/>
        <v>0</v>
      </c>
    </row>
    <row r="30" spans="4:4" x14ac:dyDescent="0.3">
      <c r="D30" s="211">
        <f t="shared" si="0"/>
        <v>0</v>
      </c>
    </row>
    <row r="31" spans="4:4" x14ac:dyDescent="0.3">
      <c r="D31" s="211">
        <f t="shared" si="0"/>
        <v>0</v>
      </c>
    </row>
    <row r="32" spans="4:4" x14ac:dyDescent="0.3">
      <c r="D32" s="211">
        <f t="shared" si="0"/>
        <v>0</v>
      </c>
    </row>
    <row r="33" spans="4:4" x14ac:dyDescent="0.3">
      <c r="D33" s="211">
        <f t="shared" si="0"/>
        <v>0</v>
      </c>
    </row>
    <row r="34" spans="4:4" x14ac:dyDescent="0.3">
      <c r="D34" s="211">
        <f t="shared" si="0"/>
        <v>0</v>
      </c>
    </row>
    <row r="35" spans="4:4" x14ac:dyDescent="0.3">
      <c r="D35" s="211">
        <f t="shared" si="0"/>
        <v>0</v>
      </c>
    </row>
    <row r="36" spans="4:4" x14ac:dyDescent="0.3">
      <c r="D36" s="211">
        <f t="shared" si="0"/>
        <v>0</v>
      </c>
    </row>
    <row r="37" spans="4:4" x14ac:dyDescent="0.3">
      <c r="D37" s="211">
        <f t="shared" si="0"/>
        <v>0</v>
      </c>
    </row>
    <row r="38" spans="4:4" x14ac:dyDescent="0.3">
      <c r="D38" s="211">
        <f t="shared" si="0"/>
        <v>0</v>
      </c>
    </row>
    <row r="39" spans="4:4" x14ac:dyDescent="0.3">
      <c r="D39" s="211">
        <f t="shared" si="0"/>
        <v>0</v>
      </c>
    </row>
    <row r="40" spans="4:4" x14ac:dyDescent="0.3">
      <c r="D40" s="211">
        <f t="shared" si="0"/>
        <v>0</v>
      </c>
    </row>
    <row r="41" spans="4:4" x14ac:dyDescent="0.3">
      <c r="D41" s="211">
        <f t="shared" si="0"/>
        <v>0</v>
      </c>
    </row>
    <row r="42" spans="4:4" x14ac:dyDescent="0.3">
      <c r="D42" s="211">
        <f t="shared" si="0"/>
        <v>0</v>
      </c>
    </row>
    <row r="43" spans="4:4" x14ac:dyDescent="0.3">
      <c r="D43" s="211">
        <f t="shared" si="0"/>
        <v>0</v>
      </c>
    </row>
    <row r="44" spans="4:4" x14ac:dyDescent="0.3">
      <c r="D44" s="211">
        <f t="shared" si="0"/>
        <v>0</v>
      </c>
    </row>
    <row r="45" spans="4:4" x14ac:dyDescent="0.3">
      <c r="D45" s="211">
        <f t="shared" si="0"/>
        <v>0</v>
      </c>
    </row>
    <row r="46" spans="4:4" x14ac:dyDescent="0.3">
      <c r="D46" s="211">
        <f t="shared" si="0"/>
        <v>0</v>
      </c>
    </row>
    <row r="47" spans="4:4" x14ac:dyDescent="0.3">
      <c r="D47" s="211">
        <f t="shared" si="0"/>
        <v>0</v>
      </c>
    </row>
    <row r="48" spans="4:4" x14ac:dyDescent="0.3">
      <c r="D48" s="211">
        <f t="shared" si="0"/>
        <v>0</v>
      </c>
    </row>
    <row r="49" spans="4:4" x14ac:dyDescent="0.3">
      <c r="D49" s="211">
        <f t="shared" si="0"/>
        <v>0</v>
      </c>
    </row>
    <row r="50" spans="4:4" x14ac:dyDescent="0.3">
      <c r="D50" s="211">
        <f t="shared" si="0"/>
        <v>0</v>
      </c>
    </row>
    <row r="51" spans="4:4" x14ac:dyDescent="0.3">
      <c r="D51" s="211">
        <f t="shared" si="0"/>
        <v>0</v>
      </c>
    </row>
    <row r="52" spans="4:4" x14ac:dyDescent="0.3">
      <c r="D52" s="211">
        <f t="shared" si="0"/>
        <v>0</v>
      </c>
    </row>
    <row r="53" spans="4:4" x14ac:dyDescent="0.3">
      <c r="D53" s="211">
        <f t="shared" si="0"/>
        <v>0</v>
      </c>
    </row>
    <row r="54" spans="4:4" x14ac:dyDescent="0.3">
      <c r="D54" s="211">
        <f t="shared" si="0"/>
        <v>0</v>
      </c>
    </row>
    <row r="55" spans="4:4" x14ac:dyDescent="0.3">
      <c r="D55" s="211">
        <f t="shared" si="0"/>
        <v>0</v>
      </c>
    </row>
    <row r="56" spans="4:4" x14ac:dyDescent="0.3">
      <c r="D56" s="211">
        <f t="shared" si="0"/>
        <v>0</v>
      </c>
    </row>
    <row r="57" spans="4:4" x14ac:dyDescent="0.3">
      <c r="D57" s="211">
        <f t="shared" si="0"/>
        <v>0</v>
      </c>
    </row>
    <row r="58" spans="4:4" x14ac:dyDescent="0.3">
      <c r="D58" s="211">
        <f t="shared" si="0"/>
        <v>0</v>
      </c>
    </row>
    <row r="59" spans="4:4" x14ac:dyDescent="0.3">
      <c r="D59" s="211">
        <f t="shared" si="0"/>
        <v>0</v>
      </c>
    </row>
    <row r="60" spans="4:4" x14ac:dyDescent="0.3">
      <c r="D60" s="211">
        <f t="shared" si="0"/>
        <v>0</v>
      </c>
    </row>
    <row r="61" spans="4:4" x14ac:dyDescent="0.3">
      <c r="D61" s="211">
        <f t="shared" si="0"/>
        <v>0</v>
      </c>
    </row>
    <row r="62" spans="4:4" x14ac:dyDescent="0.3">
      <c r="D62" s="211">
        <f t="shared" si="0"/>
        <v>0</v>
      </c>
    </row>
    <row r="63" spans="4:4" x14ac:dyDescent="0.3">
      <c r="D63" s="211">
        <f t="shared" si="0"/>
        <v>0</v>
      </c>
    </row>
    <row r="64" spans="4:4" x14ac:dyDescent="0.3">
      <c r="D64" s="211">
        <f t="shared" si="0"/>
        <v>0</v>
      </c>
    </row>
    <row r="65" spans="4:4" x14ac:dyDescent="0.3">
      <c r="D65" s="211">
        <f t="shared" si="0"/>
        <v>0</v>
      </c>
    </row>
    <row r="66" spans="4:4" x14ac:dyDescent="0.3">
      <c r="D66" s="211">
        <f t="shared" ref="D66:D129" si="2">B66*0.4</f>
        <v>0</v>
      </c>
    </row>
    <row r="67" spans="4:4" x14ac:dyDescent="0.3">
      <c r="D67" s="211">
        <f t="shared" si="2"/>
        <v>0</v>
      </c>
    </row>
    <row r="68" spans="4:4" x14ac:dyDescent="0.3">
      <c r="D68" s="211">
        <f t="shared" si="2"/>
        <v>0</v>
      </c>
    </row>
    <row r="69" spans="4:4" x14ac:dyDescent="0.3">
      <c r="D69" s="211">
        <f t="shared" si="2"/>
        <v>0</v>
      </c>
    </row>
    <row r="70" spans="4:4" x14ac:dyDescent="0.3">
      <c r="D70" s="211">
        <f t="shared" si="2"/>
        <v>0</v>
      </c>
    </row>
    <row r="71" spans="4:4" x14ac:dyDescent="0.3">
      <c r="D71" s="211">
        <f t="shared" si="2"/>
        <v>0</v>
      </c>
    </row>
    <row r="72" spans="4:4" x14ac:dyDescent="0.3">
      <c r="D72" s="211">
        <f t="shared" si="2"/>
        <v>0</v>
      </c>
    </row>
    <row r="73" spans="4:4" x14ac:dyDescent="0.3">
      <c r="D73" s="211">
        <f t="shared" si="2"/>
        <v>0</v>
      </c>
    </row>
    <row r="74" spans="4:4" x14ac:dyDescent="0.3">
      <c r="D74" s="211">
        <f t="shared" si="2"/>
        <v>0</v>
      </c>
    </row>
    <row r="75" spans="4:4" x14ac:dyDescent="0.3">
      <c r="D75" s="211">
        <f t="shared" si="2"/>
        <v>0</v>
      </c>
    </row>
    <row r="76" spans="4:4" x14ac:dyDescent="0.3">
      <c r="D76" s="211">
        <f t="shared" si="2"/>
        <v>0</v>
      </c>
    </row>
    <row r="77" spans="4:4" x14ac:dyDescent="0.3">
      <c r="D77" s="211">
        <f t="shared" si="2"/>
        <v>0</v>
      </c>
    </row>
    <row r="78" spans="4:4" x14ac:dyDescent="0.3">
      <c r="D78" s="211">
        <f t="shared" si="2"/>
        <v>0</v>
      </c>
    </row>
    <row r="79" spans="4:4" x14ac:dyDescent="0.3">
      <c r="D79" s="211">
        <f t="shared" si="2"/>
        <v>0</v>
      </c>
    </row>
    <row r="80" spans="4:4" x14ac:dyDescent="0.3">
      <c r="D80" s="211">
        <f t="shared" si="2"/>
        <v>0</v>
      </c>
    </row>
    <row r="81" spans="4:4" x14ac:dyDescent="0.3">
      <c r="D81" s="211">
        <f t="shared" si="2"/>
        <v>0</v>
      </c>
    </row>
    <row r="82" spans="4:4" x14ac:dyDescent="0.3">
      <c r="D82" s="211">
        <f t="shared" si="2"/>
        <v>0</v>
      </c>
    </row>
    <row r="83" spans="4:4" x14ac:dyDescent="0.3">
      <c r="D83" s="211">
        <f t="shared" si="2"/>
        <v>0</v>
      </c>
    </row>
    <row r="84" spans="4:4" x14ac:dyDescent="0.3">
      <c r="D84" s="211">
        <f t="shared" si="2"/>
        <v>0</v>
      </c>
    </row>
    <row r="85" spans="4:4" x14ac:dyDescent="0.3">
      <c r="D85" s="211">
        <f t="shared" si="2"/>
        <v>0</v>
      </c>
    </row>
    <row r="86" spans="4:4" x14ac:dyDescent="0.3">
      <c r="D86" s="211">
        <f t="shared" si="2"/>
        <v>0</v>
      </c>
    </row>
    <row r="87" spans="4:4" x14ac:dyDescent="0.3">
      <c r="D87" s="211">
        <f t="shared" si="2"/>
        <v>0</v>
      </c>
    </row>
    <row r="88" spans="4:4" x14ac:dyDescent="0.3">
      <c r="D88" s="211">
        <f t="shared" si="2"/>
        <v>0</v>
      </c>
    </row>
    <row r="89" spans="4:4" x14ac:dyDescent="0.3">
      <c r="D89" s="211">
        <f t="shared" si="2"/>
        <v>0</v>
      </c>
    </row>
    <row r="90" spans="4:4" x14ac:dyDescent="0.3">
      <c r="D90" s="211">
        <f t="shared" si="2"/>
        <v>0</v>
      </c>
    </row>
    <row r="91" spans="4:4" x14ac:dyDescent="0.3">
      <c r="D91" s="211">
        <f t="shared" si="2"/>
        <v>0</v>
      </c>
    </row>
    <row r="92" spans="4:4" x14ac:dyDescent="0.3">
      <c r="D92" s="211">
        <f t="shared" si="2"/>
        <v>0</v>
      </c>
    </row>
    <row r="93" spans="4:4" x14ac:dyDescent="0.3">
      <c r="D93" s="211">
        <f t="shared" si="2"/>
        <v>0</v>
      </c>
    </row>
    <row r="94" spans="4:4" x14ac:dyDescent="0.3">
      <c r="D94" s="211">
        <f t="shared" si="2"/>
        <v>0</v>
      </c>
    </row>
    <row r="95" spans="4:4" x14ac:dyDescent="0.3">
      <c r="D95" s="211">
        <f t="shared" si="2"/>
        <v>0</v>
      </c>
    </row>
    <row r="96" spans="4:4" x14ac:dyDescent="0.3">
      <c r="D96" s="211">
        <f t="shared" si="2"/>
        <v>0</v>
      </c>
    </row>
    <row r="97" spans="4:4" x14ac:dyDescent="0.3">
      <c r="D97" s="211">
        <f t="shared" si="2"/>
        <v>0</v>
      </c>
    </row>
    <row r="98" spans="4:4" x14ac:dyDescent="0.3">
      <c r="D98" s="211">
        <f t="shared" si="2"/>
        <v>0</v>
      </c>
    </row>
    <row r="99" spans="4:4" x14ac:dyDescent="0.3">
      <c r="D99" s="211">
        <f t="shared" si="2"/>
        <v>0</v>
      </c>
    </row>
    <row r="100" spans="4:4" x14ac:dyDescent="0.3">
      <c r="D100" s="211">
        <f t="shared" si="2"/>
        <v>0</v>
      </c>
    </row>
    <row r="101" spans="4:4" x14ac:dyDescent="0.3">
      <c r="D101" s="211">
        <f t="shared" si="2"/>
        <v>0</v>
      </c>
    </row>
    <row r="102" spans="4:4" x14ac:dyDescent="0.3">
      <c r="D102" s="211">
        <f t="shared" si="2"/>
        <v>0</v>
      </c>
    </row>
    <row r="103" spans="4:4" x14ac:dyDescent="0.3">
      <c r="D103" s="211">
        <f t="shared" si="2"/>
        <v>0</v>
      </c>
    </row>
    <row r="104" spans="4:4" x14ac:dyDescent="0.3">
      <c r="D104" s="211">
        <f t="shared" si="2"/>
        <v>0</v>
      </c>
    </row>
    <row r="105" spans="4:4" x14ac:dyDescent="0.3">
      <c r="D105" s="211">
        <f t="shared" si="2"/>
        <v>0</v>
      </c>
    </row>
    <row r="106" spans="4:4" x14ac:dyDescent="0.3">
      <c r="D106" s="211">
        <f t="shared" si="2"/>
        <v>0</v>
      </c>
    </row>
    <row r="107" spans="4:4" x14ac:dyDescent="0.3">
      <c r="D107" s="211">
        <f t="shared" si="2"/>
        <v>0</v>
      </c>
    </row>
    <row r="108" spans="4:4" x14ac:dyDescent="0.3">
      <c r="D108" s="211">
        <f t="shared" si="2"/>
        <v>0</v>
      </c>
    </row>
    <row r="109" spans="4:4" x14ac:dyDescent="0.3">
      <c r="D109" s="211">
        <f t="shared" si="2"/>
        <v>0</v>
      </c>
    </row>
    <row r="110" spans="4:4" x14ac:dyDescent="0.3">
      <c r="D110" s="211">
        <f t="shared" si="2"/>
        <v>0</v>
      </c>
    </row>
    <row r="111" spans="4:4" x14ac:dyDescent="0.3">
      <c r="D111" s="211">
        <f t="shared" si="2"/>
        <v>0</v>
      </c>
    </row>
    <row r="112" spans="4:4" x14ac:dyDescent="0.3">
      <c r="D112" s="211">
        <f t="shared" si="2"/>
        <v>0</v>
      </c>
    </row>
    <row r="113" spans="4:4" x14ac:dyDescent="0.3">
      <c r="D113" s="211">
        <f t="shared" si="2"/>
        <v>0</v>
      </c>
    </row>
    <row r="114" spans="4:4" x14ac:dyDescent="0.3">
      <c r="D114" s="211">
        <f t="shared" si="2"/>
        <v>0</v>
      </c>
    </row>
    <row r="115" spans="4:4" x14ac:dyDescent="0.3">
      <c r="D115" s="211">
        <f t="shared" si="2"/>
        <v>0</v>
      </c>
    </row>
    <row r="116" spans="4:4" x14ac:dyDescent="0.3">
      <c r="D116" s="211">
        <f t="shared" si="2"/>
        <v>0</v>
      </c>
    </row>
    <row r="117" spans="4:4" x14ac:dyDescent="0.3">
      <c r="D117" s="211">
        <f t="shared" si="2"/>
        <v>0</v>
      </c>
    </row>
    <row r="118" spans="4:4" x14ac:dyDescent="0.3">
      <c r="D118" s="211">
        <f t="shared" si="2"/>
        <v>0</v>
      </c>
    </row>
    <row r="119" spans="4:4" x14ac:dyDescent="0.3">
      <c r="D119" s="211">
        <f t="shared" si="2"/>
        <v>0</v>
      </c>
    </row>
    <row r="120" spans="4:4" x14ac:dyDescent="0.3">
      <c r="D120" s="211">
        <f t="shared" si="2"/>
        <v>0</v>
      </c>
    </row>
    <row r="121" spans="4:4" x14ac:dyDescent="0.3">
      <c r="D121" s="211">
        <f t="shared" si="2"/>
        <v>0</v>
      </c>
    </row>
    <row r="122" spans="4:4" x14ac:dyDescent="0.3">
      <c r="D122" s="211">
        <f t="shared" si="2"/>
        <v>0</v>
      </c>
    </row>
    <row r="123" spans="4:4" x14ac:dyDescent="0.3">
      <c r="D123" s="211">
        <f t="shared" si="2"/>
        <v>0</v>
      </c>
    </row>
    <row r="124" spans="4:4" x14ac:dyDescent="0.3">
      <c r="D124" s="211">
        <f t="shared" si="2"/>
        <v>0</v>
      </c>
    </row>
    <row r="125" spans="4:4" x14ac:dyDescent="0.3">
      <c r="D125" s="211">
        <f t="shared" si="2"/>
        <v>0</v>
      </c>
    </row>
    <row r="126" spans="4:4" x14ac:dyDescent="0.3">
      <c r="D126" s="211">
        <f t="shared" si="2"/>
        <v>0</v>
      </c>
    </row>
    <row r="127" spans="4:4" x14ac:dyDescent="0.3">
      <c r="D127" s="211">
        <f t="shared" si="2"/>
        <v>0</v>
      </c>
    </row>
    <row r="128" spans="4:4" x14ac:dyDescent="0.3">
      <c r="D128" s="211">
        <f t="shared" si="2"/>
        <v>0</v>
      </c>
    </row>
    <row r="129" spans="4:4" x14ac:dyDescent="0.3">
      <c r="D129" s="211">
        <f t="shared" si="2"/>
        <v>0</v>
      </c>
    </row>
    <row r="130" spans="4:4" x14ac:dyDescent="0.3">
      <c r="D130" s="211">
        <f t="shared" ref="D130:D193" si="3">B130*0.4</f>
        <v>0</v>
      </c>
    </row>
    <row r="131" spans="4:4" x14ac:dyDescent="0.3">
      <c r="D131" s="211">
        <f t="shared" si="3"/>
        <v>0</v>
      </c>
    </row>
    <row r="132" spans="4:4" x14ac:dyDescent="0.3">
      <c r="D132" s="211">
        <f t="shared" si="3"/>
        <v>0</v>
      </c>
    </row>
    <row r="133" spans="4:4" x14ac:dyDescent="0.3">
      <c r="D133" s="211">
        <f t="shared" si="3"/>
        <v>0</v>
      </c>
    </row>
    <row r="134" spans="4:4" x14ac:dyDescent="0.3">
      <c r="D134" s="211">
        <f t="shared" si="3"/>
        <v>0</v>
      </c>
    </row>
    <row r="135" spans="4:4" x14ac:dyDescent="0.3">
      <c r="D135" s="211">
        <f t="shared" si="3"/>
        <v>0</v>
      </c>
    </row>
    <row r="136" spans="4:4" x14ac:dyDescent="0.3">
      <c r="D136" s="211">
        <f t="shared" si="3"/>
        <v>0</v>
      </c>
    </row>
    <row r="137" spans="4:4" x14ac:dyDescent="0.3">
      <c r="D137" s="211">
        <f t="shared" si="3"/>
        <v>0</v>
      </c>
    </row>
    <row r="138" spans="4:4" x14ac:dyDescent="0.3">
      <c r="D138" s="211">
        <f t="shared" si="3"/>
        <v>0</v>
      </c>
    </row>
    <row r="139" spans="4:4" x14ac:dyDescent="0.3">
      <c r="D139" s="211">
        <f t="shared" si="3"/>
        <v>0</v>
      </c>
    </row>
    <row r="140" spans="4:4" x14ac:dyDescent="0.3">
      <c r="D140" s="211">
        <f t="shared" si="3"/>
        <v>0</v>
      </c>
    </row>
    <row r="141" spans="4:4" x14ac:dyDescent="0.3">
      <c r="D141" s="211">
        <f t="shared" si="3"/>
        <v>0</v>
      </c>
    </row>
    <row r="142" spans="4:4" x14ac:dyDescent="0.3">
      <c r="D142" s="211">
        <f t="shared" si="3"/>
        <v>0</v>
      </c>
    </row>
    <row r="143" spans="4:4" x14ac:dyDescent="0.3">
      <c r="D143" s="211">
        <f t="shared" si="3"/>
        <v>0</v>
      </c>
    </row>
    <row r="144" spans="4:4" x14ac:dyDescent="0.3">
      <c r="D144" s="211">
        <f t="shared" si="3"/>
        <v>0</v>
      </c>
    </row>
    <row r="145" spans="4:4" x14ac:dyDescent="0.3">
      <c r="D145" s="211">
        <f t="shared" si="3"/>
        <v>0</v>
      </c>
    </row>
    <row r="146" spans="4:4" x14ac:dyDescent="0.3">
      <c r="D146" s="211">
        <f t="shared" si="3"/>
        <v>0</v>
      </c>
    </row>
    <row r="147" spans="4:4" x14ac:dyDescent="0.3">
      <c r="D147" s="211">
        <f t="shared" si="3"/>
        <v>0</v>
      </c>
    </row>
    <row r="148" spans="4:4" x14ac:dyDescent="0.3">
      <c r="D148" s="211">
        <f t="shared" si="3"/>
        <v>0</v>
      </c>
    </row>
    <row r="149" spans="4:4" x14ac:dyDescent="0.3">
      <c r="D149" s="211">
        <f t="shared" si="3"/>
        <v>0</v>
      </c>
    </row>
    <row r="150" spans="4:4" x14ac:dyDescent="0.3">
      <c r="D150" s="211">
        <f t="shared" si="3"/>
        <v>0</v>
      </c>
    </row>
    <row r="151" spans="4:4" x14ac:dyDescent="0.3">
      <c r="D151" s="211">
        <f t="shared" si="3"/>
        <v>0</v>
      </c>
    </row>
    <row r="152" spans="4:4" x14ac:dyDescent="0.3">
      <c r="D152" s="211">
        <f t="shared" si="3"/>
        <v>0</v>
      </c>
    </row>
    <row r="153" spans="4:4" x14ac:dyDescent="0.3">
      <c r="D153" s="211">
        <f t="shared" si="3"/>
        <v>0</v>
      </c>
    </row>
    <row r="154" spans="4:4" x14ac:dyDescent="0.3">
      <c r="D154" s="211">
        <f t="shared" si="3"/>
        <v>0</v>
      </c>
    </row>
    <row r="155" spans="4:4" x14ac:dyDescent="0.3">
      <c r="D155" s="211">
        <f t="shared" si="3"/>
        <v>0</v>
      </c>
    </row>
    <row r="156" spans="4:4" x14ac:dyDescent="0.3">
      <c r="D156" s="211">
        <f t="shared" si="3"/>
        <v>0</v>
      </c>
    </row>
    <row r="157" spans="4:4" x14ac:dyDescent="0.3">
      <c r="D157" s="211">
        <f t="shared" si="3"/>
        <v>0</v>
      </c>
    </row>
    <row r="158" spans="4:4" x14ac:dyDescent="0.3">
      <c r="D158" s="211">
        <f t="shared" si="3"/>
        <v>0</v>
      </c>
    </row>
    <row r="159" spans="4:4" x14ac:dyDescent="0.3">
      <c r="D159" s="211">
        <f t="shared" si="3"/>
        <v>0</v>
      </c>
    </row>
    <row r="160" spans="4:4" x14ac:dyDescent="0.3">
      <c r="D160" s="211">
        <f t="shared" si="3"/>
        <v>0</v>
      </c>
    </row>
    <row r="161" spans="4:4" x14ac:dyDescent="0.3">
      <c r="D161" s="211">
        <f t="shared" si="3"/>
        <v>0</v>
      </c>
    </row>
    <row r="162" spans="4:4" x14ac:dyDescent="0.3">
      <c r="D162" s="211">
        <f t="shared" si="3"/>
        <v>0</v>
      </c>
    </row>
    <row r="163" spans="4:4" x14ac:dyDescent="0.3">
      <c r="D163" s="211">
        <f t="shared" si="3"/>
        <v>0</v>
      </c>
    </row>
    <row r="164" spans="4:4" x14ac:dyDescent="0.3">
      <c r="D164" s="211">
        <f t="shared" si="3"/>
        <v>0</v>
      </c>
    </row>
    <row r="165" spans="4:4" x14ac:dyDescent="0.3">
      <c r="D165" s="211">
        <f t="shared" si="3"/>
        <v>0</v>
      </c>
    </row>
    <row r="166" spans="4:4" x14ac:dyDescent="0.3">
      <c r="D166" s="211">
        <f t="shared" si="3"/>
        <v>0</v>
      </c>
    </row>
    <row r="167" spans="4:4" x14ac:dyDescent="0.3">
      <c r="D167" s="211">
        <f t="shared" si="3"/>
        <v>0</v>
      </c>
    </row>
    <row r="168" spans="4:4" x14ac:dyDescent="0.3">
      <c r="D168" s="211">
        <f t="shared" si="3"/>
        <v>0</v>
      </c>
    </row>
    <row r="169" spans="4:4" x14ac:dyDescent="0.3">
      <c r="D169" s="211">
        <f t="shared" si="3"/>
        <v>0</v>
      </c>
    </row>
    <row r="170" spans="4:4" x14ac:dyDescent="0.3">
      <c r="D170" s="211">
        <f t="shared" si="3"/>
        <v>0</v>
      </c>
    </row>
    <row r="171" spans="4:4" x14ac:dyDescent="0.3">
      <c r="D171" s="211">
        <f t="shared" si="3"/>
        <v>0</v>
      </c>
    </row>
    <row r="172" spans="4:4" x14ac:dyDescent="0.3">
      <c r="D172" s="211">
        <f t="shared" si="3"/>
        <v>0</v>
      </c>
    </row>
    <row r="173" spans="4:4" x14ac:dyDescent="0.3">
      <c r="D173" s="211">
        <f t="shared" si="3"/>
        <v>0</v>
      </c>
    </row>
    <row r="174" spans="4:4" x14ac:dyDescent="0.3">
      <c r="D174" s="211">
        <f t="shared" si="3"/>
        <v>0</v>
      </c>
    </row>
    <row r="175" spans="4:4" x14ac:dyDescent="0.3">
      <c r="D175" s="211">
        <f t="shared" si="3"/>
        <v>0</v>
      </c>
    </row>
    <row r="176" spans="4:4" x14ac:dyDescent="0.3">
      <c r="D176" s="211">
        <f t="shared" si="3"/>
        <v>0</v>
      </c>
    </row>
    <row r="177" spans="4:4" x14ac:dyDescent="0.3">
      <c r="D177" s="211">
        <f t="shared" si="3"/>
        <v>0</v>
      </c>
    </row>
    <row r="178" spans="4:4" x14ac:dyDescent="0.3">
      <c r="D178" s="211">
        <f t="shared" si="3"/>
        <v>0</v>
      </c>
    </row>
    <row r="179" spans="4:4" x14ac:dyDescent="0.3">
      <c r="D179" s="211">
        <f t="shared" si="3"/>
        <v>0</v>
      </c>
    </row>
    <row r="180" spans="4:4" x14ac:dyDescent="0.3">
      <c r="D180" s="211">
        <f t="shared" si="3"/>
        <v>0</v>
      </c>
    </row>
    <row r="181" spans="4:4" x14ac:dyDescent="0.3">
      <c r="D181" s="211">
        <f t="shared" si="3"/>
        <v>0</v>
      </c>
    </row>
    <row r="182" spans="4:4" x14ac:dyDescent="0.3">
      <c r="D182" s="211">
        <f t="shared" si="3"/>
        <v>0</v>
      </c>
    </row>
    <row r="183" spans="4:4" x14ac:dyDescent="0.3">
      <c r="D183" s="211">
        <f t="shared" si="3"/>
        <v>0</v>
      </c>
    </row>
    <row r="184" spans="4:4" x14ac:dyDescent="0.3">
      <c r="D184" s="211">
        <f t="shared" si="3"/>
        <v>0</v>
      </c>
    </row>
    <row r="185" spans="4:4" x14ac:dyDescent="0.3">
      <c r="D185" s="211">
        <f t="shared" si="3"/>
        <v>0</v>
      </c>
    </row>
    <row r="186" spans="4:4" x14ac:dyDescent="0.3">
      <c r="D186" s="211">
        <f t="shared" si="3"/>
        <v>0</v>
      </c>
    </row>
    <row r="187" spans="4:4" x14ac:dyDescent="0.3">
      <c r="D187" s="211">
        <f t="shared" si="3"/>
        <v>0</v>
      </c>
    </row>
    <row r="188" spans="4:4" x14ac:dyDescent="0.3">
      <c r="D188" s="211">
        <f t="shared" si="3"/>
        <v>0</v>
      </c>
    </row>
    <row r="189" spans="4:4" x14ac:dyDescent="0.3">
      <c r="D189" s="211">
        <f t="shared" si="3"/>
        <v>0</v>
      </c>
    </row>
    <row r="190" spans="4:4" x14ac:dyDescent="0.3">
      <c r="D190" s="211">
        <f t="shared" si="3"/>
        <v>0</v>
      </c>
    </row>
    <row r="191" spans="4:4" x14ac:dyDescent="0.3">
      <c r="D191" s="211">
        <f t="shared" si="3"/>
        <v>0</v>
      </c>
    </row>
    <row r="192" spans="4:4" x14ac:dyDescent="0.3">
      <c r="D192" s="211">
        <f t="shared" si="3"/>
        <v>0</v>
      </c>
    </row>
    <row r="193" spans="4:4" x14ac:dyDescent="0.3">
      <c r="D193" s="211">
        <f t="shared" si="3"/>
        <v>0</v>
      </c>
    </row>
    <row r="194" spans="4:4" x14ac:dyDescent="0.3">
      <c r="D194" s="211">
        <f t="shared" ref="D194:D256" si="4">B194*0.4</f>
        <v>0</v>
      </c>
    </row>
    <row r="195" spans="4:4" x14ac:dyDescent="0.3">
      <c r="D195" s="211">
        <f t="shared" si="4"/>
        <v>0</v>
      </c>
    </row>
    <row r="196" spans="4:4" x14ac:dyDescent="0.3">
      <c r="D196" s="211">
        <f t="shared" si="4"/>
        <v>0</v>
      </c>
    </row>
    <row r="197" spans="4:4" x14ac:dyDescent="0.3">
      <c r="D197" s="211">
        <f t="shared" si="4"/>
        <v>0</v>
      </c>
    </row>
    <row r="198" spans="4:4" x14ac:dyDescent="0.3">
      <c r="D198" s="211">
        <f t="shared" si="4"/>
        <v>0</v>
      </c>
    </row>
    <row r="199" spans="4:4" x14ac:dyDescent="0.3">
      <c r="D199" s="211">
        <f t="shared" si="4"/>
        <v>0</v>
      </c>
    </row>
    <row r="200" spans="4:4" x14ac:dyDescent="0.3">
      <c r="D200" s="211">
        <f t="shared" si="4"/>
        <v>0</v>
      </c>
    </row>
    <row r="201" spans="4:4" x14ac:dyDescent="0.3">
      <c r="D201" s="211">
        <f t="shared" si="4"/>
        <v>0</v>
      </c>
    </row>
    <row r="202" spans="4:4" x14ac:dyDescent="0.3">
      <c r="D202" s="211">
        <f t="shared" si="4"/>
        <v>0</v>
      </c>
    </row>
    <row r="203" spans="4:4" x14ac:dyDescent="0.3">
      <c r="D203" s="211">
        <f t="shared" si="4"/>
        <v>0</v>
      </c>
    </row>
    <row r="204" spans="4:4" x14ac:dyDescent="0.3">
      <c r="D204" s="211">
        <f t="shared" si="4"/>
        <v>0</v>
      </c>
    </row>
    <row r="205" spans="4:4" x14ac:dyDescent="0.3">
      <c r="D205" s="211">
        <f t="shared" si="4"/>
        <v>0</v>
      </c>
    </row>
    <row r="206" spans="4:4" x14ac:dyDescent="0.3">
      <c r="D206" s="211">
        <f t="shared" si="4"/>
        <v>0</v>
      </c>
    </row>
    <row r="207" spans="4:4" x14ac:dyDescent="0.3">
      <c r="D207" s="211">
        <f t="shared" si="4"/>
        <v>0</v>
      </c>
    </row>
    <row r="208" spans="4:4" x14ac:dyDescent="0.3">
      <c r="D208" s="211">
        <f t="shared" si="4"/>
        <v>0</v>
      </c>
    </row>
    <row r="209" spans="4:4" x14ac:dyDescent="0.3">
      <c r="D209" s="211">
        <f t="shared" si="4"/>
        <v>0</v>
      </c>
    </row>
    <row r="210" spans="4:4" x14ac:dyDescent="0.3">
      <c r="D210" s="211">
        <f t="shared" si="4"/>
        <v>0</v>
      </c>
    </row>
    <row r="211" spans="4:4" x14ac:dyDescent="0.3">
      <c r="D211" s="211">
        <f t="shared" si="4"/>
        <v>0</v>
      </c>
    </row>
    <row r="212" spans="4:4" x14ac:dyDescent="0.3">
      <c r="D212" s="211">
        <f t="shared" si="4"/>
        <v>0</v>
      </c>
    </row>
    <row r="213" spans="4:4" x14ac:dyDescent="0.3">
      <c r="D213" s="211">
        <f t="shared" si="4"/>
        <v>0</v>
      </c>
    </row>
    <row r="214" spans="4:4" x14ac:dyDescent="0.3">
      <c r="D214" s="211">
        <f t="shared" si="4"/>
        <v>0</v>
      </c>
    </row>
    <row r="215" spans="4:4" x14ac:dyDescent="0.3">
      <c r="D215" s="211">
        <f t="shared" si="4"/>
        <v>0</v>
      </c>
    </row>
    <row r="216" spans="4:4" x14ac:dyDescent="0.3">
      <c r="D216" s="211">
        <f t="shared" si="4"/>
        <v>0</v>
      </c>
    </row>
    <row r="217" spans="4:4" x14ac:dyDescent="0.3">
      <c r="D217" s="211">
        <f t="shared" si="4"/>
        <v>0</v>
      </c>
    </row>
    <row r="218" spans="4:4" x14ac:dyDescent="0.3">
      <c r="D218" s="211">
        <f t="shared" si="4"/>
        <v>0</v>
      </c>
    </row>
    <row r="219" spans="4:4" x14ac:dyDescent="0.3">
      <c r="D219" s="211">
        <f t="shared" si="4"/>
        <v>0</v>
      </c>
    </row>
    <row r="220" spans="4:4" x14ac:dyDescent="0.3">
      <c r="D220" s="211">
        <f t="shared" si="4"/>
        <v>0</v>
      </c>
    </row>
    <row r="221" spans="4:4" x14ac:dyDescent="0.3">
      <c r="D221" s="211">
        <f t="shared" si="4"/>
        <v>0</v>
      </c>
    </row>
    <row r="222" spans="4:4" x14ac:dyDescent="0.3">
      <c r="D222" s="211">
        <f t="shared" si="4"/>
        <v>0</v>
      </c>
    </row>
    <row r="223" spans="4:4" x14ac:dyDescent="0.3">
      <c r="D223" s="211">
        <f t="shared" si="4"/>
        <v>0</v>
      </c>
    </row>
    <row r="224" spans="4:4" x14ac:dyDescent="0.3">
      <c r="D224" s="211">
        <f t="shared" si="4"/>
        <v>0</v>
      </c>
    </row>
    <row r="225" spans="4:4" x14ac:dyDescent="0.3">
      <c r="D225" s="211">
        <f t="shared" si="4"/>
        <v>0</v>
      </c>
    </row>
    <row r="226" spans="4:4" x14ac:dyDescent="0.3">
      <c r="D226" s="211">
        <f t="shared" si="4"/>
        <v>0</v>
      </c>
    </row>
    <row r="227" spans="4:4" x14ac:dyDescent="0.3">
      <c r="D227" s="211">
        <f t="shared" si="4"/>
        <v>0</v>
      </c>
    </row>
    <row r="228" spans="4:4" x14ac:dyDescent="0.3">
      <c r="D228" s="211">
        <f t="shared" si="4"/>
        <v>0</v>
      </c>
    </row>
    <row r="229" spans="4:4" x14ac:dyDescent="0.3">
      <c r="D229" s="211">
        <f t="shared" si="4"/>
        <v>0</v>
      </c>
    </row>
    <row r="230" spans="4:4" x14ac:dyDescent="0.3">
      <c r="D230" s="211">
        <f t="shared" si="4"/>
        <v>0</v>
      </c>
    </row>
    <row r="231" spans="4:4" x14ac:dyDescent="0.3">
      <c r="D231" s="211">
        <f t="shared" si="4"/>
        <v>0</v>
      </c>
    </row>
    <row r="232" spans="4:4" x14ac:dyDescent="0.3">
      <c r="D232" s="211">
        <f t="shared" si="4"/>
        <v>0</v>
      </c>
    </row>
    <row r="233" spans="4:4" x14ac:dyDescent="0.3">
      <c r="D233" s="211">
        <f t="shared" si="4"/>
        <v>0</v>
      </c>
    </row>
    <row r="234" spans="4:4" x14ac:dyDescent="0.3">
      <c r="D234" s="211">
        <f t="shared" si="4"/>
        <v>0</v>
      </c>
    </row>
    <row r="235" spans="4:4" x14ac:dyDescent="0.3">
      <c r="D235" s="211">
        <f t="shared" si="4"/>
        <v>0</v>
      </c>
    </row>
    <row r="236" spans="4:4" x14ac:dyDescent="0.3">
      <c r="D236" s="211">
        <f t="shared" si="4"/>
        <v>0</v>
      </c>
    </row>
    <row r="237" spans="4:4" x14ac:dyDescent="0.3">
      <c r="D237" s="211">
        <f t="shared" si="4"/>
        <v>0</v>
      </c>
    </row>
    <row r="238" spans="4:4" x14ac:dyDescent="0.3">
      <c r="D238" s="211">
        <f t="shared" si="4"/>
        <v>0</v>
      </c>
    </row>
    <row r="239" spans="4:4" x14ac:dyDescent="0.3">
      <c r="D239" s="211">
        <f t="shared" si="4"/>
        <v>0</v>
      </c>
    </row>
    <row r="240" spans="4:4" x14ac:dyDescent="0.3">
      <c r="D240" s="211">
        <f t="shared" si="4"/>
        <v>0</v>
      </c>
    </row>
    <row r="241" spans="4:4" x14ac:dyDescent="0.3">
      <c r="D241" s="211">
        <f t="shared" si="4"/>
        <v>0</v>
      </c>
    </row>
    <row r="242" spans="4:4" x14ac:dyDescent="0.3">
      <c r="D242" s="211">
        <f t="shared" si="4"/>
        <v>0</v>
      </c>
    </row>
    <row r="243" spans="4:4" x14ac:dyDescent="0.3">
      <c r="D243" s="211">
        <f t="shared" si="4"/>
        <v>0</v>
      </c>
    </row>
    <row r="244" spans="4:4" x14ac:dyDescent="0.3">
      <c r="D244" s="211">
        <f t="shared" si="4"/>
        <v>0</v>
      </c>
    </row>
    <row r="245" spans="4:4" x14ac:dyDescent="0.3">
      <c r="D245" s="211">
        <f t="shared" si="4"/>
        <v>0</v>
      </c>
    </row>
    <row r="246" spans="4:4" x14ac:dyDescent="0.3">
      <c r="D246" s="211">
        <f t="shared" si="4"/>
        <v>0</v>
      </c>
    </row>
    <row r="247" spans="4:4" x14ac:dyDescent="0.3">
      <c r="D247" s="211">
        <f t="shared" si="4"/>
        <v>0</v>
      </c>
    </row>
    <row r="248" spans="4:4" x14ac:dyDescent="0.3">
      <c r="D248" s="211">
        <f t="shared" si="4"/>
        <v>0</v>
      </c>
    </row>
    <row r="249" spans="4:4" x14ac:dyDescent="0.3">
      <c r="D249" s="211">
        <f t="shared" si="4"/>
        <v>0</v>
      </c>
    </row>
    <row r="250" spans="4:4" x14ac:dyDescent="0.3">
      <c r="D250" s="211">
        <f t="shared" si="4"/>
        <v>0</v>
      </c>
    </row>
    <row r="251" spans="4:4" x14ac:dyDescent="0.3">
      <c r="D251" s="211">
        <f t="shared" si="4"/>
        <v>0</v>
      </c>
    </row>
    <row r="252" spans="4:4" x14ac:dyDescent="0.3">
      <c r="D252" s="211">
        <f t="shared" si="4"/>
        <v>0</v>
      </c>
    </row>
    <row r="253" spans="4:4" x14ac:dyDescent="0.3">
      <c r="D253" s="211">
        <f t="shared" si="4"/>
        <v>0</v>
      </c>
    </row>
    <row r="254" spans="4:4" x14ac:dyDescent="0.3">
      <c r="D254" s="211">
        <f t="shared" si="4"/>
        <v>0</v>
      </c>
    </row>
    <row r="255" spans="4:4" x14ac:dyDescent="0.3">
      <c r="D255" s="211">
        <f t="shared" si="4"/>
        <v>0</v>
      </c>
    </row>
    <row r="256" spans="4:4" x14ac:dyDescent="0.3">
      <c r="D256" s="211">
        <f t="shared" si="4"/>
        <v>0</v>
      </c>
    </row>
  </sheetData>
  <mergeCells count="1">
    <mergeCell ref="G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5"/>
  <sheetViews>
    <sheetView tabSelected="1" zoomScaleNormal="100" workbookViewId="0">
      <pane ySplit="1" topLeftCell="A73" activePane="bottomLeft" state="frozen"/>
      <selection pane="bottomLeft" activeCell="I88" sqref="I88"/>
    </sheetView>
  </sheetViews>
  <sheetFormatPr defaultColWidth="8.88671875" defaultRowHeight="13.8" x14ac:dyDescent="0.25"/>
  <cols>
    <col min="1" max="1" width="23.88671875" style="42" customWidth="1"/>
    <col min="2" max="2" width="16.109375" style="42" customWidth="1"/>
    <col min="3" max="4" width="13.88671875" style="42" customWidth="1"/>
    <col min="5" max="5" width="16" style="42" customWidth="1"/>
    <col min="6" max="6" width="14.5546875" style="42" customWidth="1"/>
    <col min="7" max="7" width="9.88671875" style="42" customWidth="1"/>
    <col min="8" max="8" width="13.6640625" style="42" customWidth="1"/>
    <col min="9" max="9" width="54.5546875" style="42" customWidth="1"/>
    <col min="10" max="10" width="15.109375" style="42" customWidth="1"/>
    <col min="11" max="11" width="17.6640625" style="42" customWidth="1"/>
    <col min="12" max="12" width="13.33203125" style="42" customWidth="1"/>
    <col min="13" max="16384" width="8.88671875" style="42"/>
  </cols>
  <sheetData>
    <row r="1" spans="1:12" ht="14.25" customHeight="1" x14ac:dyDescent="0.25">
      <c r="A1" s="87" t="s">
        <v>19</v>
      </c>
      <c r="B1" s="87" t="s">
        <v>111</v>
      </c>
      <c r="C1" s="87" t="s">
        <v>108</v>
      </c>
      <c r="D1" s="87" t="s">
        <v>339</v>
      </c>
      <c r="E1" s="87" t="s">
        <v>109</v>
      </c>
      <c r="F1" s="87" t="s">
        <v>110</v>
      </c>
      <c r="G1" s="87" t="s">
        <v>137</v>
      </c>
      <c r="H1" s="87" t="s">
        <v>112</v>
      </c>
      <c r="I1" s="87" t="s">
        <v>19</v>
      </c>
      <c r="J1" s="42" t="s">
        <v>113</v>
      </c>
      <c r="K1" s="42" t="s">
        <v>125</v>
      </c>
      <c r="L1" s="42" t="s">
        <v>126</v>
      </c>
    </row>
    <row r="2" spans="1:12" ht="16.5" customHeight="1" x14ac:dyDescent="0.25">
      <c r="A2" s="230" t="s">
        <v>114</v>
      </c>
      <c r="B2" s="233">
        <v>46175</v>
      </c>
      <c r="C2" s="241">
        <v>130000</v>
      </c>
      <c r="D2" s="241" t="s">
        <v>341</v>
      </c>
      <c r="E2" s="241" t="s">
        <v>115</v>
      </c>
      <c r="F2" s="229"/>
      <c r="G2" s="229" t="s">
        <v>119</v>
      </c>
      <c r="H2" s="234">
        <v>46185</v>
      </c>
      <c r="I2" s="230" t="s">
        <v>116</v>
      </c>
      <c r="J2" s="87">
        <v>79689110077</v>
      </c>
      <c r="K2" s="87"/>
      <c r="L2" s="87"/>
    </row>
    <row r="3" spans="1:12" x14ac:dyDescent="0.25">
      <c r="A3" s="230" t="s">
        <v>118</v>
      </c>
      <c r="B3" s="233">
        <v>46174</v>
      </c>
      <c r="C3" s="241">
        <v>140000</v>
      </c>
      <c r="D3" s="241" t="s">
        <v>340</v>
      </c>
      <c r="E3" s="241" t="s">
        <v>121</v>
      </c>
      <c r="F3" s="229"/>
      <c r="G3" s="229" t="s">
        <v>119</v>
      </c>
      <c r="H3" s="233">
        <v>46186</v>
      </c>
      <c r="I3" s="230" t="s">
        <v>117</v>
      </c>
      <c r="J3" s="87">
        <v>79376007419</v>
      </c>
      <c r="K3" s="87"/>
      <c r="L3" s="87"/>
    </row>
    <row r="4" spans="1:12" ht="14.4" x14ac:dyDescent="0.3">
      <c r="A4" t="s">
        <v>124</v>
      </c>
      <c r="B4" s="233">
        <v>46175</v>
      </c>
      <c r="C4" s="229">
        <v>195000</v>
      </c>
      <c r="D4" s="229" t="s">
        <v>342</v>
      </c>
      <c r="E4" s="229" t="s">
        <v>123</v>
      </c>
      <c r="F4" s="229"/>
      <c r="G4" s="229" t="s">
        <v>119</v>
      </c>
      <c r="H4" s="234">
        <v>46185</v>
      </c>
      <c r="I4" s="230" t="s">
        <v>122</v>
      </c>
      <c r="J4" s="87">
        <v>79857660480</v>
      </c>
      <c r="K4" s="87"/>
      <c r="L4" s="87"/>
    </row>
    <row r="5" spans="1:12" ht="14.4" x14ac:dyDescent="0.3">
      <c r="A5" t="s">
        <v>127</v>
      </c>
      <c r="B5" s="233">
        <v>46176</v>
      </c>
      <c r="C5" s="241">
        <v>75000</v>
      </c>
      <c r="D5" s="241" t="s">
        <v>343</v>
      </c>
      <c r="E5" s="241" t="s">
        <v>128</v>
      </c>
      <c r="F5" s="241" t="s">
        <v>181</v>
      </c>
      <c r="G5" s="229" t="s">
        <v>119</v>
      </c>
      <c r="H5" s="233">
        <v>46206</v>
      </c>
      <c r="I5" s="230" t="s">
        <v>142</v>
      </c>
      <c r="J5" s="87"/>
      <c r="K5" s="87"/>
      <c r="L5" s="87"/>
    </row>
    <row r="6" spans="1:12" x14ac:dyDescent="0.25">
      <c r="A6" s="230" t="s">
        <v>129</v>
      </c>
      <c r="B6" s="233">
        <v>46177</v>
      </c>
      <c r="C6" s="241">
        <v>105000</v>
      </c>
      <c r="D6" s="241" t="s">
        <v>340</v>
      </c>
      <c r="E6" s="241" t="s">
        <v>130</v>
      </c>
      <c r="F6" s="229"/>
      <c r="G6" s="229" t="s">
        <v>138</v>
      </c>
      <c r="H6" s="234">
        <v>46215</v>
      </c>
      <c r="I6" s="230" t="s">
        <v>131</v>
      </c>
      <c r="J6" s="87"/>
      <c r="K6" s="87"/>
      <c r="L6" s="87"/>
    </row>
    <row r="7" spans="1:12" x14ac:dyDescent="0.25">
      <c r="A7" s="230" t="s">
        <v>132</v>
      </c>
      <c r="B7" s="233">
        <v>46178</v>
      </c>
      <c r="C7" s="229">
        <v>150000</v>
      </c>
      <c r="D7" s="229" t="s">
        <v>342</v>
      </c>
      <c r="E7" s="241" t="s">
        <v>143</v>
      </c>
      <c r="F7" s="229"/>
      <c r="G7" s="229" t="s">
        <v>120</v>
      </c>
      <c r="H7" s="234">
        <v>46217</v>
      </c>
      <c r="I7" s="230" t="s">
        <v>136</v>
      </c>
      <c r="J7" s="87"/>
      <c r="K7" s="87"/>
      <c r="L7" s="87"/>
    </row>
    <row r="8" spans="1:12" x14ac:dyDescent="0.25">
      <c r="A8" s="230" t="s">
        <v>133</v>
      </c>
      <c r="B8" s="233">
        <v>46177</v>
      </c>
      <c r="C8" s="229">
        <v>90000</v>
      </c>
      <c r="D8" s="229" t="s">
        <v>342</v>
      </c>
      <c r="E8" s="229" t="s">
        <v>135</v>
      </c>
      <c r="F8" s="229"/>
      <c r="G8" s="229" t="s">
        <v>120</v>
      </c>
      <c r="H8" s="233">
        <v>46215</v>
      </c>
      <c r="I8" s="230" t="s">
        <v>134</v>
      </c>
      <c r="J8" s="87"/>
      <c r="K8" s="87"/>
      <c r="L8" s="87"/>
    </row>
    <row r="9" spans="1:12" x14ac:dyDescent="0.25">
      <c r="A9" s="230" t="s">
        <v>139</v>
      </c>
      <c r="B9" s="233">
        <v>46178</v>
      </c>
      <c r="C9" s="229">
        <v>185000</v>
      </c>
      <c r="D9" s="229" t="s">
        <v>342</v>
      </c>
      <c r="E9" s="229" t="s">
        <v>140</v>
      </c>
      <c r="F9" s="229"/>
      <c r="G9" s="229" t="s">
        <v>120</v>
      </c>
      <c r="H9" s="234">
        <v>46217</v>
      </c>
      <c r="I9" s="230" t="s">
        <v>141</v>
      </c>
      <c r="J9" s="87"/>
      <c r="K9" s="87"/>
      <c r="L9" s="87"/>
    </row>
    <row r="10" spans="1:12" x14ac:dyDescent="0.25">
      <c r="A10" s="230" t="s">
        <v>144</v>
      </c>
      <c r="B10" s="233">
        <v>46192</v>
      </c>
      <c r="C10" s="229">
        <v>125000</v>
      </c>
      <c r="D10" s="229" t="s">
        <v>342</v>
      </c>
      <c r="E10" s="229" t="s">
        <v>145</v>
      </c>
      <c r="F10" s="229"/>
      <c r="G10" s="229" t="s">
        <v>153</v>
      </c>
      <c r="H10" s="234">
        <v>46202</v>
      </c>
      <c r="I10" s="230" t="s">
        <v>146</v>
      </c>
      <c r="J10" s="87" t="s">
        <v>147</v>
      </c>
      <c r="K10" s="87"/>
      <c r="L10" s="87"/>
    </row>
    <row r="11" spans="1:12" x14ac:dyDescent="0.25">
      <c r="A11" s="230" t="s">
        <v>148</v>
      </c>
      <c r="B11" s="233">
        <v>46190</v>
      </c>
      <c r="C11" s="241">
        <v>50000</v>
      </c>
      <c r="D11" s="241"/>
      <c r="E11" s="241" t="s">
        <v>152</v>
      </c>
      <c r="F11" s="229"/>
      <c r="G11" s="229" t="s">
        <v>169</v>
      </c>
      <c r="H11" s="234">
        <v>46199</v>
      </c>
      <c r="I11" s="230" t="s">
        <v>149</v>
      </c>
      <c r="J11" s="87">
        <v>79376007419</v>
      </c>
      <c r="K11" s="87"/>
      <c r="L11" s="87"/>
    </row>
    <row r="12" spans="1:12" x14ac:dyDescent="0.25">
      <c r="A12" s="230" t="s">
        <v>150</v>
      </c>
      <c r="B12" s="233">
        <v>46190</v>
      </c>
      <c r="C12" s="235">
        <v>95000</v>
      </c>
      <c r="D12" s="235" t="s">
        <v>342</v>
      </c>
      <c r="E12" s="242" t="s">
        <v>151</v>
      </c>
      <c r="F12" s="241" t="s">
        <v>190</v>
      </c>
      <c r="G12" s="229" t="s">
        <v>154</v>
      </c>
      <c r="H12" s="234">
        <v>46199</v>
      </c>
      <c r="I12" s="230" t="s">
        <v>155</v>
      </c>
      <c r="J12" s="87">
        <v>79678073377</v>
      </c>
      <c r="K12" s="87"/>
      <c r="L12" s="87"/>
    </row>
    <row r="13" spans="1:12" x14ac:dyDescent="0.25">
      <c r="A13" s="230" t="s">
        <v>156</v>
      </c>
      <c r="B13" s="233">
        <v>46191</v>
      </c>
      <c r="C13" s="235">
        <v>80000</v>
      </c>
      <c r="D13" s="235" t="s">
        <v>342</v>
      </c>
      <c r="E13" s="242" t="s">
        <v>157</v>
      </c>
      <c r="F13" s="241" t="s">
        <v>190</v>
      </c>
      <c r="G13" s="229" t="s">
        <v>154</v>
      </c>
      <c r="H13" s="234">
        <v>46199</v>
      </c>
      <c r="I13" s="230" t="s">
        <v>158</v>
      </c>
      <c r="J13" s="87">
        <v>89051465560</v>
      </c>
      <c r="K13" s="87"/>
      <c r="L13" s="87"/>
    </row>
    <row r="14" spans="1:12" x14ac:dyDescent="0.25">
      <c r="A14" s="230" t="s">
        <v>159</v>
      </c>
      <c r="B14" s="233">
        <v>46191</v>
      </c>
      <c r="C14" s="229">
        <v>97000</v>
      </c>
      <c r="D14" s="229" t="s">
        <v>342</v>
      </c>
      <c r="E14" s="229" t="s">
        <v>161</v>
      </c>
      <c r="F14" s="236"/>
      <c r="G14" s="229" t="s">
        <v>170</v>
      </c>
      <c r="H14" s="233">
        <v>46199</v>
      </c>
      <c r="I14" s="230" t="s">
        <v>160</v>
      </c>
      <c r="J14" s="87">
        <v>79802401370</v>
      </c>
      <c r="K14" s="87"/>
      <c r="L14" s="87"/>
    </row>
    <row r="15" spans="1:12" x14ac:dyDescent="0.25">
      <c r="A15" s="230" t="s">
        <v>162</v>
      </c>
      <c r="B15" s="233">
        <v>46190</v>
      </c>
      <c r="C15" s="229">
        <v>140000</v>
      </c>
      <c r="D15" s="229" t="s">
        <v>342</v>
      </c>
      <c r="E15" s="229" t="s">
        <v>163</v>
      </c>
      <c r="F15" s="229"/>
      <c r="G15" s="229" t="s">
        <v>154</v>
      </c>
      <c r="H15" s="233">
        <v>46202</v>
      </c>
      <c r="I15" s="230" t="s">
        <v>164</v>
      </c>
      <c r="J15" s="87">
        <v>79521053645</v>
      </c>
      <c r="K15" s="87"/>
      <c r="L15" s="87"/>
    </row>
    <row r="16" spans="1:12" x14ac:dyDescent="0.25">
      <c r="A16" s="230" t="s">
        <v>165</v>
      </c>
      <c r="B16" s="233">
        <v>46190</v>
      </c>
      <c r="C16" s="229">
        <v>140000</v>
      </c>
      <c r="D16" s="229" t="s">
        <v>342</v>
      </c>
      <c r="E16" s="229" t="s">
        <v>166</v>
      </c>
      <c r="F16" s="229"/>
      <c r="G16" s="229" t="s">
        <v>154</v>
      </c>
      <c r="H16" s="233">
        <v>46203</v>
      </c>
      <c r="I16" s="230" t="s">
        <v>167</v>
      </c>
      <c r="J16" s="87" t="s">
        <v>168</v>
      </c>
      <c r="K16" s="87"/>
      <c r="L16" s="87"/>
    </row>
    <row r="17" spans="1:12" x14ac:dyDescent="0.25">
      <c r="A17" s="230" t="s">
        <v>173</v>
      </c>
      <c r="B17" s="234">
        <v>46191</v>
      </c>
      <c r="C17" s="229">
        <v>47000</v>
      </c>
      <c r="D17" s="229" t="s">
        <v>342</v>
      </c>
      <c r="E17" s="241" t="s">
        <v>174</v>
      </c>
      <c r="F17" s="229"/>
      <c r="G17" s="229" t="s">
        <v>154</v>
      </c>
      <c r="H17" s="234">
        <v>46203</v>
      </c>
      <c r="I17" s="230" t="s">
        <v>171</v>
      </c>
      <c r="J17" s="87" t="s">
        <v>172</v>
      </c>
      <c r="K17" s="87"/>
      <c r="L17" s="87"/>
    </row>
    <row r="18" spans="1:12" x14ac:dyDescent="0.25">
      <c r="A18" s="230" t="s">
        <v>176</v>
      </c>
      <c r="B18" s="234">
        <v>46192</v>
      </c>
      <c r="C18" s="229">
        <v>210000</v>
      </c>
      <c r="D18" s="229" t="s">
        <v>342</v>
      </c>
      <c r="E18" s="229" t="s">
        <v>170</v>
      </c>
      <c r="F18" s="230"/>
      <c r="G18" s="229" t="s">
        <v>154</v>
      </c>
      <c r="H18" s="234">
        <v>46203</v>
      </c>
      <c r="I18" s="230" t="s">
        <v>175</v>
      </c>
      <c r="J18" s="87"/>
      <c r="K18" s="87"/>
      <c r="L18" s="87"/>
    </row>
    <row r="19" spans="1:12" x14ac:dyDescent="0.25">
      <c r="A19" s="246" t="s">
        <v>177</v>
      </c>
      <c r="B19" s="234">
        <v>46197</v>
      </c>
      <c r="C19" s="229">
        <v>250000</v>
      </c>
      <c r="D19" s="229" t="s">
        <v>344</v>
      </c>
      <c r="E19" s="229" t="s">
        <v>178</v>
      </c>
      <c r="F19" s="231" t="s">
        <v>192</v>
      </c>
      <c r="G19" s="229" t="s">
        <v>179</v>
      </c>
      <c r="H19" s="234">
        <v>46199</v>
      </c>
      <c r="I19" s="230" t="s">
        <v>180</v>
      </c>
      <c r="J19" s="87">
        <v>89106917886</v>
      </c>
      <c r="K19" s="87"/>
      <c r="L19" s="87"/>
    </row>
    <row r="20" spans="1:12" x14ac:dyDescent="0.25">
      <c r="A20" s="246" t="s">
        <v>177</v>
      </c>
      <c r="B20" s="232"/>
      <c r="C20" s="235">
        <v>550000</v>
      </c>
      <c r="D20" s="235" t="s">
        <v>342</v>
      </c>
      <c r="E20" s="229" t="s">
        <v>182</v>
      </c>
      <c r="F20" s="230"/>
      <c r="G20" s="229"/>
      <c r="H20" s="230"/>
      <c r="I20" s="230" t="s">
        <v>180</v>
      </c>
      <c r="J20" s="87" t="s">
        <v>147</v>
      </c>
      <c r="K20" s="87"/>
      <c r="L20" s="87"/>
    </row>
    <row r="21" spans="1:12" x14ac:dyDescent="0.25">
      <c r="A21" s="246" t="s">
        <v>177</v>
      </c>
      <c r="B21" s="234">
        <v>46197</v>
      </c>
      <c r="C21" s="235">
        <v>550000</v>
      </c>
      <c r="D21" s="235" t="s">
        <v>342</v>
      </c>
      <c r="E21" s="229" t="s">
        <v>182</v>
      </c>
      <c r="F21" s="230"/>
      <c r="G21" s="229"/>
      <c r="H21" s="230"/>
      <c r="I21" s="230" t="s">
        <v>180</v>
      </c>
      <c r="J21" s="87" t="s">
        <v>147</v>
      </c>
      <c r="K21" s="87"/>
      <c r="L21" s="87"/>
    </row>
    <row r="22" spans="1:12" x14ac:dyDescent="0.25">
      <c r="A22" s="230" t="s">
        <v>183</v>
      </c>
      <c r="B22" s="234">
        <v>46192</v>
      </c>
      <c r="C22" s="229">
        <v>90000</v>
      </c>
      <c r="D22" s="229" t="s">
        <v>342</v>
      </c>
      <c r="E22" s="241" t="s">
        <v>121</v>
      </c>
      <c r="F22" s="231"/>
      <c r="G22" s="229" t="s">
        <v>170</v>
      </c>
      <c r="H22" s="230"/>
      <c r="I22" s="230" t="s">
        <v>184</v>
      </c>
      <c r="J22" s="243">
        <v>79262302876</v>
      </c>
      <c r="K22" s="87"/>
      <c r="L22" s="87"/>
    </row>
    <row r="23" spans="1:12" x14ac:dyDescent="0.25">
      <c r="A23" s="230" t="s">
        <v>185</v>
      </c>
      <c r="B23" s="234">
        <v>46189</v>
      </c>
      <c r="C23" s="229">
        <v>75000</v>
      </c>
      <c r="D23" s="229" t="s">
        <v>340</v>
      </c>
      <c r="E23" s="241" t="s">
        <v>189</v>
      </c>
      <c r="F23" s="237"/>
      <c r="G23" s="229" t="s">
        <v>186</v>
      </c>
      <c r="H23" s="230"/>
      <c r="I23" s="230" t="s">
        <v>187</v>
      </c>
      <c r="J23" s="243">
        <v>79773948612</v>
      </c>
      <c r="K23" s="87"/>
      <c r="L23" s="87"/>
    </row>
    <row r="24" spans="1:12" x14ac:dyDescent="0.25">
      <c r="A24" s="230" t="s">
        <v>188</v>
      </c>
      <c r="B24" s="234">
        <v>46192</v>
      </c>
      <c r="C24" s="229">
        <v>50000</v>
      </c>
      <c r="D24" s="229" t="s">
        <v>342</v>
      </c>
      <c r="E24" s="241" t="s">
        <v>190</v>
      </c>
      <c r="F24" s="230"/>
      <c r="G24" s="229" t="s">
        <v>170</v>
      </c>
      <c r="H24" s="238"/>
      <c r="I24" s="230" t="s">
        <v>286</v>
      </c>
      <c r="J24" s="243">
        <v>79265398809</v>
      </c>
      <c r="K24" s="87"/>
      <c r="L24" s="87"/>
    </row>
    <row r="25" spans="1:12" x14ac:dyDescent="0.25">
      <c r="A25" s="246" t="s">
        <v>177</v>
      </c>
      <c r="B25" s="234">
        <v>46195</v>
      </c>
      <c r="C25" s="229">
        <v>250000</v>
      </c>
      <c r="D25" s="229" t="s">
        <v>342</v>
      </c>
      <c r="E25" s="229" t="s">
        <v>191</v>
      </c>
      <c r="F25" s="230"/>
      <c r="G25" s="229" t="s">
        <v>195</v>
      </c>
      <c r="H25" s="230"/>
      <c r="I25" s="230" t="s">
        <v>180</v>
      </c>
      <c r="J25" s="87"/>
      <c r="K25" s="87"/>
      <c r="L25" s="87"/>
    </row>
    <row r="26" spans="1:12" x14ac:dyDescent="0.25">
      <c r="A26" s="230" t="s">
        <v>193</v>
      </c>
      <c r="B26" s="234">
        <v>46196</v>
      </c>
      <c r="C26" s="241">
        <v>140000</v>
      </c>
      <c r="D26" s="241" t="s">
        <v>345</v>
      </c>
      <c r="E26" s="241" t="s">
        <v>194</v>
      </c>
      <c r="F26" s="230"/>
      <c r="G26" s="229" t="s">
        <v>195</v>
      </c>
      <c r="H26" s="230"/>
      <c r="I26" s="230" t="s">
        <v>196</v>
      </c>
      <c r="J26" s="87">
        <v>89268254118</v>
      </c>
      <c r="K26" s="87"/>
      <c r="L26" s="87"/>
    </row>
    <row r="27" spans="1:12" x14ac:dyDescent="0.25">
      <c r="A27" s="230" t="s">
        <v>197</v>
      </c>
      <c r="B27" s="234">
        <v>46197</v>
      </c>
      <c r="C27" s="241">
        <v>75000</v>
      </c>
      <c r="D27" s="241" t="s">
        <v>345</v>
      </c>
      <c r="E27" s="244" t="s">
        <v>130</v>
      </c>
      <c r="F27" s="230"/>
      <c r="G27" s="229" t="s">
        <v>198</v>
      </c>
      <c r="H27" s="234">
        <v>46209</v>
      </c>
      <c r="I27" s="230" t="s">
        <v>199</v>
      </c>
      <c r="J27" s="87"/>
      <c r="K27" s="87"/>
      <c r="L27" s="87"/>
    </row>
    <row r="28" spans="1:12" x14ac:dyDescent="0.25">
      <c r="A28" s="230" t="s">
        <v>200</v>
      </c>
      <c r="B28" s="234">
        <v>46197</v>
      </c>
      <c r="C28" s="241">
        <v>120000</v>
      </c>
      <c r="D28" s="241" t="s">
        <v>345</v>
      </c>
      <c r="E28" s="241">
        <v>25000</v>
      </c>
      <c r="F28" s="230"/>
      <c r="G28" s="229" t="s">
        <v>195</v>
      </c>
      <c r="H28" s="234">
        <v>46209</v>
      </c>
      <c r="I28" s="230" t="s">
        <v>201</v>
      </c>
      <c r="J28" s="87">
        <v>89020064044</v>
      </c>
      <c r="K28" s="87"/>
      <c r="L28" s="87"/>
    </row>
    <row r="29" spans="1:12" x14ac:dyDescent="0.25">
      <c r="A29" s="230" t="s">
        <v>133</v>
      </c>
      <c r="B29" s="234">
        <v>46198</v>
      </c>
      <c r="C29" s="229">
        <v>60000</v>
      </c>
      <c r="D29" s="229" t="s">
        <v>342</v>
      </c>
      <c r="E29" s="229" t="s">
        <v>135</v>
      </c>
      <c r="F29" s="230"/>
      <c r="G29" s="229" t="s">
        <v>198</v>
      </c>
      <c r="H29" s="229" t="s">
        <v>202</v>
      </c>
      <c r="I29" s="230" t="s">
        <v>134</v>
      </c>
      <c r="J29" s="87"/>
      <c r="K29" s="87"/>
      <c r="L29" s="87"/>
    </row>
    <row r="30" spans="1:12" x14ac:dyDescent="0.25">
      <c r="A30" s="246" t="s">
        <v>177</v>
      </c>
      <c r="B30" s="234">
        <v>46202</v>
      </c>
      <c r="C30" s="229">
        <v>550000</v>
      </c>
      <c r="D30" s="229" t="s">
        <v>342</v>
      </c>
      <c r="E30" s="229" t="s">
        <v>203</v>
      </c>
      <c r="F30" s="230"/>
      <c r="G30" s="230"/>
      <c r="H30" s="230" t="s">
        <v>204</v>
      </c>
      <c r="I30" s="230" t="s">
        <v>180</v>
      </c>
      <c r="J30" s="87"/>
      <c r="K30" s="87"/>
    </row>
    <row r="31" spans="1:12" x14ac:dyDescent="0.25">
      <c r="A31" s="230" t="s">
        <v>205</v>
      </c>
      <c r="B31" s="234">
        <v>46202</v>
      </c>
      <c r="C31" s="229">
        <v>70000</v>
      </c>
      <c r="D31" s="229" t="s">
        <v>342</v>
      </c>
      <c r="E31" s="229" t="s">
        <v>206</v>
      </c>
      <c r="F31" s="230"/>
      <c r="G31" s="230" t="s">
        <v>207</v>
      </c>
      <c r="H31" s="234">
        <v>46211</v>
      </c>
      <c r="I31" s="230" t="s">
        <v>208</v>
      </c>
      <c r="J31" s="87" t="s">
        <v>209</v>
      </c>
      <c r="K31" s="87"/>
    </row>
    <row r="32" spans="1:12" x14ac:dyDescent="0.25">
      <c r="A32" s="230" t="s">
        <v>205</v>
      </c>
      <c r="B32" s="234">
        <v>46203</v>
      </c>
      <c r="C32" s="241">
        <v>45000</v>
      </c>
      <c r="D32" s="241" t="s">
        <v>343</v>
      </c>
      <c r="E32" s="241" t="s">
        <v>211</v>
      </c>
      <c r="F32" s="230"/>
      <c r="G32" s="230" t="s">
        <v>207</v>
      </c>
      <c r="H32" s="230"/>
      <c r="I32" s="230" t="s">
        <v>208</v>
      </c>
      <c r="J32" s="87">
        <f>7906757-41-95</f>
        <v>7906621</v>
      </c>
      <c r="K32" s="87"/>
    </row>
    <row r="33" spans="1:11" x14ac:dyDescent="0.25">
      <c r="A33" s="230" t="s">
        <v>210</v>
      </c>
      <c r="B33" s="234">
        <v>46204</v>
      </c>
      <c r="C33" s="241">
        <v>85000</v>
      </c>
      <c r="D33" s="241" t="s">
        <v>343</v>
      </c>
      <c r="E33" s="241" t="s">
        <v>121</v>
      </c>
      <c r="F33" s="230"/>
      <c r="G33" s="230" t="s">
        <v>207</v>
      </c>
      <c r="H33" s="230"/>
      <c r="I33" s="230" t="s">
        <v>212</v>
      </c>
      <c r="J33" s="87" t="s">
        <v>213</v>
      </c>
      <c r="K33" s="87"/>
    </row>
    <row r="34" spans="1:11" x14ac:dyDescent="0.25">
      <c r="A34" s="230" t="s">
        <v>214</v>
      </c>
      <c r="B34" s="234">
        <v>46206</v>
      </c>
      <c r="C34" s="241">
        <v>200000</v>
      </c>
      <c r="D34" s="241" t="s">
        <v>343</v>
      </c>
      <c r="E34" s="241" t="s">
        <v>215</v>
      </c>
      <c r="F34" s="230"/>
      <c r="G34" s="230" t="s">
        <v>207</v>
      </c>
      <c r="H34" s="234">
        <v>46216</v>
      </c>
      <c r="I34" s="230" t="s">
        <v>216</v>
      </c>
      <c r="J34" s="87" t="s">
        <v>217</v>
      </c>
      <c r="K34" s="87"/>
    </row>
    <row r="35" spans="1:11" x14ac:dyDescent="0.25">
      <c r="A35" s="230" t="s">
        <v>218</v>
      </c>
      <c r="B35" s="234">
        <v>46205</v>
      </c>
      <c r="C35" s="244">
        <v>30000</v>
      </c>
      <c r="D35" s="244" t="s">
        <v>343</v>
      </c>
      <c r="E35" s="229" t="s">
        <v>219</v>
      </c>
      <c r="F35" s="230"/>
      <c r="G35" s="230" t="s">
        <v>207</v>
      </c>
      <c r="H35" s="234">
        <v>46216</v>
      </c>
      <c r="I35" s="230" t="s">
        <v>223</v>
      </c>
      <c r="J35" s="87"/>
      <c r="K35" s="87"/>
    </row>
    <row r="36" spans="1:11" x14ac:dyDescent="0.25">
      <c r="A36" s="230" t="s">
        <v>220</v>
      </c>
      <c r="B36" s="234">
        <v>46205</v>
      </c>
      <c r="C36" s="241">
        <v>75000</v>
      </c>
      <c r="D36" s="241" t="s">
        <v>343</v>
      </c>
      <c r="E36" s="241" t="s">
        <v>221</v>
      </c>
      <c r="F36" s="230"/>
      <c r="G36" s="230" t="s">
        <v>222</v>
      </c>
      <c r="H36" s="234">
        <v>46216</v>
      </c>
      <c r="I36" s="230" t="s">
        <v>224</v>
      </c>
      <c r="J36" s="87">
        <v>89202650203</v>
      </c>
    </row>
    <row r="37" spans="1:11" x14ac:dyDescent="0.25">
      <c r="A37" s="230" t="s">
        <v>225</v>
      </c>
      <c r="B37" s="233">
        <v>46217</v>
      </c>
      <c r="C37" s="229" t="s">
        <v>226</v>
      </c>
      <c r="D37" s="229" t="s">
        <v>343</v>
      </c>
      <c r="E37" s="241" t="s">
        <v>227</v>
      </c>
      <c r="F37" s="230"/>
      <c r="G37" s="230" t="s">
        <v>232</v>
      </c>
      <c r="H37" s="234" t="s">
        <v>234</v>
      </c>
      <c r="I37" s="230" t="s">
        <v>228</v>
      </c>
      <c r="J37" s="87" t="s">
        <v>229</v>
      </c>
    </row>
    <row r="38" spans="1:11" x14ac:dyDescent="0.25">
      <c r="A38" s="230" t="s">
        <v>230</v>
      </c>
      <c r="B38" s="234">
        <v>46224</v>
      </c>
      <c r="C38" s="229">
        <v>300000</v>
      </c>
      <c r="D38" s="229" t="s">
        <v>342</v>
      </c>
      <c r="E38" s="229" t="s">
        <v>231</v>
      </c>
      <c r="F38" s="230"/>
      <c r="G38" s="230" t="s">
        <v>232</v>
      </c>
      <c r="H38" s="234">
        <v>46234</v>
      </c>
      <c r="I38" s="230" t="s">
        <v>233</v>
      </c>
      <c r="J38" s="87"/>
    </row>
    <row r="39" spans="1:11" x14ac:dyDescent="0.25">
      <c r="A39" s="230" t="s">
        <v>133</v>
      </c>
      <c r="B39" s="234">
        <v>46224</v>
      </c>
      <c r="C39" s="229">
        <v>30000</v>
      </c>
      <c r="D39" s="229" t="s">
        <v>342</v>
      </c>
      <c r="E39" s="229" t="s">
        <v>135</v>
      </c>
      <c r="F39" s="230"/>
      <c r="G39" s="230" t="s">
        <v>232</v>
      </c>
      <c r="H39" s="234">
        <v>46234</v>
      </c>
      <c r="I39" s="230" t="s">
        <v>235</v>
      </c>
      <c r="J39" s="87"/>
    </row>
    <row r="40" spans="1:11" ht="14.4" x14ac:dyDescent="0.3">
      <c r="A40" s="239" t="s">
        <v>133</v>
      </c>
      <c r="B40" s="234">
        <v>46224</v>
      </c>
      <c r="C40" s="229">
        <v>55000</v>
      </c>
      <c r="D40" s="229" t="s">
        <v>342</v>
      </c>
      <c r="E40" s="229" t="s">
        <v>135</v>
      </c>
      <c r="F40" s="230"/>
      <c r="G40" s="230" t="s">
        <v>236</v>
      </c>
      <c r="H40" s="234">
        <v>46244</v>
      </c>
      <c r="I40" s="230" t="s">
        <v>233</v>
      </c>
      <c r="J40" s="87"/>
      <c r="K40" s="231"/>
    </row>
    <row r="41" spans="1:11" x14ac:dyDescent="0.25">
      <c r="A41" s="230" t="s">
        <v>237</v>
      </c>
      <c r="B41" s="234">
        <v>46224</v>
      </c>
      <c r="C41" s="241">
        <v>55000</v>
      </c>
      <c r="D41" s="241" t="s">
        <v>340</v>
      </c>
      <c r="E41" s="229" t="s">
        <v>238</v>
      </c>
      <c r="F41" s="230"/>
      <c r="G41" s="230" t="s">
        <v>232</v>
      </c>
      <c r="H41" s="234">
        <v>46233</v>
      </c>
      <c r="I41" s="230" t="s">
        <v>187</v>
      </c>
      <c r="J41" s="87" t="s">
        <v>239</v>
      </c>
      <c r="K41" s="231"/>
    </row>
    <row r="42" spans="1:11" x14ac:dyDescent="0.25">
      <c r="A42" s="237" t="s">
        <v>177</v>
      </c>
      <c r="B42" s="233" t="s">
        <v>147</v>
      </c>
      <c r="C42" s="229">
        <v>650000</v>
      </c>
      <c r="D42" s="229" t="s">
        <v>342</v>
      </c>
      <c r="E42" s="229" t="s">
        <v>346</v>
      </c>
      <c r="F42" s="230" t="s">
        <v>147</v>
      </c>
      <c r="G42" s="230" t="s">
        <v>147</v>
      </c>
      <c r="H42" s="230" t="s">
        <v>147</v>
      </c>
      <c r="I42" s="230"/>
      <c r="J42" s="87"/>
    </row>
    <row r="43" spans="1:11" x14ac:dyDescent="0.25">
      <c r="A43" s="230" t="s">
        <v>240</v>
      </c>
      <c r="B43" s="234">
        <v>46224</v>
      </c>
      <c r="C43" s="241">
        <v>93000</v>
      </c>
      <c r="D43" s="248" t="s">
        <v>343</v>
      </c>
      <c r="E43" s="245" t="s">
        <v>241</v>
      </c>
      <c r="F43" s="230"/>
      <c r="G43" s="230" t="s">
        <v>242</v>
      </c>
      <c r="H43" s="230"/>
      <c r="I43" s="230" t="s">
        <v>243</v>
      </c>
      <c r="J43" s="87" t="s">
        <v>244</v>
      </c>
    </row>
    <row r="44" spans="1:11" x14ac:dyDescent="0.25">
      <c r="A44" s="230" t="s">
        <v>245</v>
      </c>
      <c r="B44" s="234">
        <v>46226</v>
      </c>
      <c r="C44" s="229">
        <v>125000</v>
      </c>
      <c r="D44" s="230" t="s">
        <v>342</v>
      </c>
      <c r="E44" s="241" t="s">
        <v>246</v>
      </c>
      <c r="F44" s="230"/>
      <c r="G44" s="230" t="s">
        <v>242</v>
      </c>
      <c r="H44" s="234">
        <v>46235</v>
      </c>
      <c r="I44" s="230" t="s">
        <v>247</v>
      </c>
      <c r="J44" s="87">
        <v>89259029495</v>
      </c>
    </row>
    <row r="45" spans="1:11" x14ac:dyDescent="0.25">
      <c r="A45" s="230" t="s">
        <v>248</v>
      </c>
      <c r="B45" s="234">
        <v>46226</v>
      </c>
      <c r="C45" s="229">
        <v>100000</v>
      </c>
      <c r="D45" s="230" t="s">
        <v>342</v>
      </c>
      <c r="E45" s="229" t="s">
        <v>249</v>
      </c>
      <c r="F45" s="230"/>
      <c r="G45" s="230" t="s">
        <v>242</v>
      </c>
      <c r="H45" s="234">
        <v>46237</v>
      </c>
      <c r="I45" s="230" t="s">
        <v>250</v>
      </c>
      <c r="J45" s="87">
        <v>89158105294</v>
      </c>
    </row>
    <row r="46" spans="1:11" x14ac:dyDescent="0.25">
      <c r="A46" s="230" t="s">
        <v>251</v>
      </c>
      <c r="B46" s="234">
        <v>46226</v>
      </c>
      <c r="C46" s="241">
        <v>150000</v>
      </c>
      <c r="D46" s="241" t="s">
        <v>343</v>
      </c>
      <c r="E46" s="241" t="s">
        <v>252</v>
      </c>
      <c r="F46" s="230"/>
      <c r="G46" s="230" t="s">
        <v>236</v>
      </c>
      <c r="H46" s="234">
        <v>46235</v>
      </c>
      <c r="I46" s="230" t="s">
        <v>253</v>
      </c>
      <c r="J46" s="87">
        <v>89661152555</v>
      </c>
    </row>
    <row r="47" spans="1:11" x14ac:dyDescent="0.25">
      <c r="A47" s="230" t="s">
        <v>254</v>
      </c>
      <c r="B47" s="234">
        <v>46238</v>
      </c>
      <c r="C47" s="241">
        <v>60000</v>
      </c>
      <c r="D47" s="241" t="s">
        <v>340</v>
      </c>
      <c r="E47" s="241" t="s">
        <v>255</v>
      </c>
      <c r="F47" s="230"/>
      <c r="G47" s="230" t="s">
        <v>256</v>
      </c>
      <c r="H47" s="234">
        <v>46246</v>
      </c>
      <c r="I47" s="230" t="s">
        <v>257</v>
      </c>
      <c r="J47" s="87"/>
    </row>
    <row r="48" spans="1:11" x14ac:dyDescent="0.25">
      <c r="A48" s="230" t="s">
        <v>230</v>
      </c>
      <c r="B48" s="234">
        <v>46237</v>
      </c>
      <c r="C48" s="229">
        <v>80000</v>
      </c>
      <c r="D48" s="230" t="s">
        <v>342</v>
      </c>
      <c r="E48" s="241" t="s">
        <v>157</v>
      </c>
      <c r="F48" s="230"/>
      <c r="G48" s="230" t="s">
        <v>256</v>
      </c>
      <c r="H48" s="233">
        <v>46248</v>
      </c>
      <c r="I48" s="230" t="s">
        <v>258</v>
      </c>
      <c r="J48" s="87">
        <v>89296947111</v>
      </c>
    </row>
    <row r="49" spans="1:10" x14ac:dyDescent="0.25">
      <c r="A49" s="230" t="s">
        <v>225</v>
      </c>
      <c r="B49" s="234">
        <v>46239</v>
      </c>
      <c r="C49" s="241">
        <v>160000</v>
      </c>
      <c r="D49" s="241" t="s">
        <v>340</v>
      </c>
      <c r="E49" s="229" t="s">
        <v>259</v>
      </c>
      <c r="F49" s="230"/>
      <c r="G49" s="230" t="s">
        <v>256</v>
      </c>
      <c r="H49" s="240"/>
      <c r="I49" s="230" t="s">
        <v>260</v>
      </c>
      <c r="J49" s="87">
        <v>89654571918</v>
      </c>
    </row>
    <row r="50" spans="1:10" x14ac:dyDescent="0.25">
      <c r="A50" s="230" t="s">
        <v>261</v>
      </c>
      <c r="B50" s="234">
        <v>46238</v>
      </c>
      <c r="C50" s="235">
        <v>130000</v>
      </c>
      <c r="D50" s="230" t="s">
        <v>342</v>
      </c>
      <c r="E50" s="241" t="s">
        <v>262</v>
      </c>
      <c r="F50" s="230"/>
      <c r="G50" s="230"/>
      <c r="H50" s="230"/>
      <c r="I50" s="230" t="s">
        <v>263</v>
      </c>
      <c r="J50" s="87">
        <v>89997503028</v>
      </c>
    </row>
    <row r="51" spans="1:10" x14ac:dyDescent="0.25">
      <c r="A51" s="230" t="s">
        <v>264</v>
      </c>
      <c r="B51" s="234">
        <v>46253</v>
      </c>
      <c r="C51" s="241">
        <v>80000</v>
      </c>
      <c r="D51" s="241" t="s">
        <v>343</v>
      </c>
      <c r="E51" s="230" t="s">
        <v>265</v>
      </c>
      <c r="F51" s="230"/>
      <c r="G51" s="230" t="s">
        <v>270</v>
      </c>
      <c r="H51" s="234">
        <v>46261</v>
      </c>
      <c r="I51" s="230" t="s">
        <v>277</v>
      </c>
      <c r="J51" s="87" t="s">
        <v>267</v>
      </c>
    </row>
    <row r="52" spans="1:10" x14ac:dyDescent="0.25">
      <c r="A52" s="230" t="s">
        <v>268</v>
      </c>
      <c r="B52" s="234">
        <v>46253</v>
      </c>
      <c r="C52" s="241">
        <v>70000</v>
      </c>
      <c r="D52" s="241" t="s">
        <v>340</v>
      </c>
      <c r="E52" s="241" t="s">
        <v>269</v>
      </c>
      <c r="F52" s="230"/>
      <c r="G52" s="230" t="s">
        <v>270</v>
      </c>
      <c r="H52" s="230" t="s">
        <v>273</v>
      </c>
      <c r="I52" s="230" t="s">
        <v>272</v>
      </c>
      <c r="J52" s="87" t="s">
        <v>271</v>
      </c>
    </row>
    <row r="53" spans="1:10" x14ac:dyDescent="0.25">
      <c r="A53" s="230" t="s">
        <v>274</v>
      </c>
      <c r="B53" s="234">
        <v>46253</v>
      </c>
      <c r="C53" s="229">
        <v>165000</v>
      </c>
      <c r="D53" s="230" t="s">
        <v>342</v>
      </c>
      <c r="E53" s="229" t="s">
        <v>166</v>
      </c>
      <c r="F53" s="230"/>
      <c r="G53" s="230" t="s">
        <v>275</v>
      </c>
      <c r="H53" s="234">
        <v>46262</v>
      </c>
      <c r="I53" s="230" t="s">
        <v>276</v>
      </c>
      <c r="J53" s="87" t="s">
        <v>278</v>
      </c>
    </row>
    <row r="54" spans="1:10" x14ac:dyDescent="0.25">
      <c r="A54" s="230" t="s">
        <v>230</v>
      </c>
      <c r="B54" s="234">
        <v>46253</v>
      </c>
      <c r="C54" s="229">
        <v>200000</v>
      </c>
      <c r="D54" s="230" t="s">
        <v>342</v>
      </c>
      <c r="E54" s="229" t="s">
        <v>279</v>
      </c>
      <c r="F54" s="230"/>
      <c r="G54" s="230" t="s">
        <v>266</v>
      </c>
      <c r="H54" s="234">
        <v>46262</v>
      </c>
      <c r="I54" s="230" t="s">
        <v>280</v>
      </c>
      <c r="J54" s="87" t="s">
        <v>281</v>
      </c>
    </row>
    <row r="55" spans="1:10" x14ac:dyDescent="0.25">
      <c r="A55" s="230" t="s">
        <v>282</v>
      </c>
      <c r="B55" s="234">
        <v>46255</v>
      </c>
      <c r="C55" s="229">
        <v>100000</v>
      </c>
      <c r="D55" s="229" t="s">
        <v>343</v>
      </c>
      <c r="E55" s="241" t="s">
        <v>283</v>
      </c>
      <c r="F55" s="230"/>
      <c r="G55" s="230" t="s">
        <v>284</v>
      </c>
      <c r="H55" s="234">
        <v>46264</v>
      </c>
      <c r="I55" s="230" t="s">
        <v>277</v>
      </c>
      <c r="J55" s="87"/>
    </row>
    <row r="56" spans="1:10" x14ac:dyDescent="0.25">
      <c r="A56" s="230" t="s">
        <v>287</v>
      </c>
      <c r="B56" s="233">
        <v>46265</v>
      </c>
      <c r="C56" s="229">
        <v>115000</v>
      </c>
      <c r="D56" s="230" t="s">
        <v>342</v>
      </c>
      <c r="E56" s="241" t="s">
        <v>288</v>
      </c>
      <c r="F56" s="230"/>
      <c r="G56" s="230" t="s">
        <v>266</v>
      </c>
      <c r="H56" s="234">
        <v>46276</v>
      </c>
      <c r="I56" s="230" t="s">
        <v>285</v>
      </c>
      <c r="J56" s="87"/>
    </row>
    <row r="57" spans="1:10" x14ac:dyDescent="0.25">
      <c r="A57" s="230" t="s">
        <v>289</v>
      </c>
      <c r="B57" s="234">
        <v>46267</v>
      </c>
      <c r="C57" s="229">
        <v>125000</v>
      </c>
      <c r="D57" s="229" t="s">
        <v>343</v>
      </c>
      <c r="E57" s="241" t="s">
        <v>215</v>
      </c>
      <c r="F57" s="230"/>
      <c r="G57" s="230" t="s">
        <v>290</v>
      </c>
      <c r="H57" s="234">
        <v>46279</v>
      </c>
      <c r="I57" s="230" t="s">
        <v>201</v>
      </c>
      <c r="J57" s="87">
        <v>89873170020</v>
      </c>
    </row>
    <row r="58" spans="1:10" x14ac:dyDescent="0.25">
      <c r="A58" s="230" t="s">
        <v>291</v>
      </c>
      <c r="B58" s="234">
        <v>46265</v>
      </c>
      <c r="C58" s="229">
        <v>45000</v>
      </c>
      <c r="D58" s="229" t="s">
        <v>340</v>
      </c>
      <c r="E58" s="229" t="s">
        <v>238</v>
      </c>
      <c r="F58" s="230"/>
      <c r="G58" s="230" t="s">
        <v>290</v>
      </c>
      <c r="H58" s="234">
        <v>46274</v>
      </c>
      <c r="I58" s="230" t="s">
        <v>292</v>
      </c>
      <c r="J58" s="87" t="s">
        <v>293</v>
      </c>
    </row>
    <row r="59" spans="1:10" x14ac:dyDescent="0.25">
      <c r="A59" s="230" t="s">
        <v>294</v>
      </c>
      <c r="B59" s="234">
        <v>46265</v>
      </c>
      <c r="C59" s="229">
        <v>100000</v>
      </c>
      <c r="D59" s="230" t="s">
        <v>342</v>
      </c>
      <c r="E59" s="230" t="s">
        <v>189</v>
      </c>
      <c r="F59" s="230"/>
      <c r="G59" s="230" t="s">
        <v>295</v>
      </c>
      <c r="H59" s="234">
        <v>46276</v>
      </c>
      <c r="I59" s="230" t="s">
        <v>296</v>
      </c>
      <c r="J59" s="87">
        <v>89821854188</v>
      </c>
    </row>
    <row r="60" spans="1:10" x14ac:dyDescent="0.25">
      <c r="A60" s="230" t="s">
        <v>294</v>
      </c>
      <c r="B60" s="234">
        <v>46265</v>
      </c>
      <c r="C60" s="229">
        <v>70000</v>
      </c>
      <c r="D60" s="230" t="s">
        <v>342</v>
      </c>
      <c r="E60" s="230" t="s">
        <v>189</v>
      </c>
      <c r="F60" s="230"/>
      <c r="G60" s="230" t="s">
        <v>290</v>
      </c>
      <c r="H60" s="234">
        <v>46275</v>
      </c>
      <c r="I60" s="230" t="s">
        <v>296</v>
      </c>
      <c r="J60" s="87">
        <v>89821854188</v>
      </c>
    </row>
    <row r="61" spans="1:10" x14ac:dyDescent="0.25">
      <c r="A61" s="230" t="s">
        <v>298</v>
      </c>
      <c r="B61" s="234">
        <v>46266</v>
      </c>
      <c r="C61" s="229">
        <v>130000</v>
      </c>
      <c r="D61" s="230" t="s">
        <v>342</v>
      </c>
      <c r="E61" s="230" t="s">
        <v>219</v>
      </c>
      <c r="F61" s="230"/>
      <c r="G61" s="230" t="s">
        <v>290</v>
      </c>
      <c r="H61" s="230"/>
      <c r="I61" s="230" t="s">
        <v>297</v>
      </c>
      <c r="J61" s="87"/>
    </row>
    <row r="62" spans="1:10" ht="15" customHeight="1" x14ac:dyDescent="0.25">
      <c r="A62" s="230" t="s">
        <v>299</v>
      </c>
      <c r="B62" s="234">
        <v>46274</v>
      </c>
      <c r="C62" s="230">
        <v>470000</v>
      </c>
      <c r="D62" s="230" t="s">
        <v>342</v>
      </c>
      <c r="E62" s="263" t="s">
        <v>300</v>
      </c>
      <c r="F62" s="230"/>
      <c r="G62" s="230"/>
      <c r="H62" s="230"/>
      <c r="I62" s="230"/>
      <c r="J62" s="87"/>
    </row>
    <row r="63" spans="1:10" ht="44.25" customHeight="1" x14ac:dyDescent="0.25">
      <c r="A63" s="230" t="s">
        <v>303</v>
      </c>
      <c r="B63" s="234">
        <v>46274</v>
      </c>
      <c r="C63" s="230">
        <v>230000</v>
      </c>
      <c r="D63" s="230" t="s">
        <v>342</v>
      </c>
      <c r="E63" s="264"/>
      <c r="F63" s="230"/>
      <c r="G63" s="230"/>
      <c r="H63" s="230"/>
      <c r="I63" s="247" t="s">
        <v>302</v>
      </c>
      <c r="J63" s="87" t="s">
        <v>301</v>
      </c>
    </row>
    <row r="64" spans="1:10" x14ac:dyDescent="0.25">
      <c r="A64" s="230" t="s">
        <v>177</v>
      </c>
      <c r="B64" s="234">
        <v>46274</v>
      </c>
      <c r="C64" s="230">
        <v>550000</v>
      </c>
      <c r="D64" s="230" t="s">
        <v>342</v>
      </c>
      <c r="E64" s="229" t="s">
        <v>304</v>
      </c>
      <c r="F64" s="230"/>
      <c r="G64" s="230"/>
      <c r="H64" s="230"/>
      <c r="I64" s="230" t="s">
        <v>180</v>
      </c>
      <c r="J64" s="87"/>
    </row>
    <row r="65" spans="1:10" x14ac:dyDescent="0.25">
      <c r="A65" s="230" t="s">
        <v>177</v>
      </c>
      <c r="B65" s="234">
        <v>46274</v>
      </c>
      <c r="C65" s="230">
        <v>390000</v>
      </c>
      <c r="D65" s="230" t="s">
        <v>342</v>
      </c>
      <c r="E65" s="229" t="s">
        <v>305</v>
      </c>
      <c r="F65" s="260" t="s">
        <v>306</v>
      </c>
      <c r="G65" s="261"/>
      <c r="H65" s="262"/>
      <c r="I65" s="230" t="s">
        <v>180</v>
      </c>
      <c r="J65" s="87"/>
    </row>
    <row r="66" spans="1:10" ht="16.5" customHeight="1" x14ac:dyDescent="0.25">
      <c r="A66" s="230" t="s">
        <v>307</v>
      </c>
      <c r="B66" s="234">
        <v>46274</v>
      </c>
      <c r="C66" s="230">
        <v>122000</v>
      </c>
      <c r="D66" s="230" t="s">
        <v>342</v>
      </c>
      <c r="E66" s="229" t="s">
        <v>338</v>
      </c>
      <c r="F66" s="230"/>
      <c r="G66" s="230" t="s">
        <v>308</v>
      </c>
      <c r="H66" s="234">
        <v>46286</v>
      </c>
      <c r="I66" s="247" t="s">
        <v>309</v>
      </c>
      <c r="J66" s="87" t="s">
        <v>310</v>
      </c>
    </row>
    <row r="67" spans="1:10" x14ac:dyDescent="0.25">
      <c r="A67" s="230" t="s">
        <v>311</v>
      </c>
      <c r="B67" s="234">
        <v>46274</v>
      </c>
      <c r="C67" s="230">
        <v>310000</v>
      </c>
      <c r="D67" s="230" t="s">
        <v>343</v>
      </c>
      <c r="E67" s="229" t="s">
        <v>313</v>
      </c>
      <c r="F67" s="230"/>
      <c r="G67" s="230" t="s">
        <v>308</v>
      </c>
      <c r="H67" s="234">
        <v>46288</v>
      </c>
      <c r="I67" s="230" t="s">
        <v>312</v>
      </c>
      <c r="J67" s="87">
        <v>89206248030</v>
      </c>
    </row>
    <row r="68" spans="1:10" x14ac:dyDescent="0.25">
      <c r="A68" s="230" t="s">
        <v>177</v>
      </c>
      <c r="B68" s="234">
        <v>46274</v>
      </c>
      <c r="C68" s="230">
        <v>200000</v>
      </c>
      <c r="D68" s="230" t="s">
        <v>342</v>
      </c>
      <c r="E68" s="229" t="s">
        <v>314</v>
      </c>
      <c r="F68" s="230"/>
      <c r="G68" s="230" t="s">
        <v>308</v>
      </c>
      <c r="H68" s="234">
        <v>46286</v>
      </c>
      <c r="I68" s="230" t="s">
        <v>180</v>
      </c>
      <c r="J68" s="87" t="s">
        <v>315</v>
      </c>
    </row>
    <row r="69" spans="1:10" x14ac:dyDescent="0.25">
      <c r="A69" s="230" t="s">
        <v>185</v>
      </c>
      <c r="B69" s="234">
        <v>46274</v>
      </c>
      <c r="C69" s="232">
        <v>30000</v>
      </c>
      <c r="D69" s="230" t="s">
        <v>340</v>
      </c>
      <c r="E69" s="241" t="s">
        <v>316</v>
      </c>
      <c r="F69" s="230"/>
      <c r="G69" s="230" t="s">
        <v>317</v>
      </c>
      <c r="H69" s="230" t="s">
        <v>273</v>
      </c>
      <c r="I69" s="230" t="s">
        <v>187</v>
      </c>
      <c r="J69" s="87"/>
    </row>
    <row r="70" spans="1:10" x14ac:dyDescent="0.25">
      <c r="A70" s="230" t="s">
        <v>318</v>
      </c>
      <c r="B70" s="234">
        <v>46275</v>
      </c>
      <c r="C70" s="230">
        <v>175000</v>
      </c>
      <c r="D70" s="230" t="s">
        <v>342</v>
      </c>
      <c r="E70" s="229" t="s">
        <v>319</v>
      </c>
      <c r="F70" s="230"/>
      <c r="G70" s="230" t="s">
        <v>330</v>
      </c>
      <c r="H70" s="234">
        <v>46285</v>
      </c>
      <c r="I70" s="230" t="s">
        <v>320</v>
      </c>
      <c r="J70" s="87">
        <v>89688301000</v>
      </c>
    </row>
    <row r="71" spans="1:10" x14ac:dyDescent="0.25">
      <c r="A71" s="230" t="s">
        <v>321</v>
      </c>
      <c r="B71" s="234">
        <v>46279</v>
      </c>
      <c r="C71" s="230">
        <v>64000</v>
      </c>
      <c r="D71" s="230" t="s">
        <v>342</v>
      </c>
      <c r="E71" s="241" t="s">
        <v>322</v>
      </c>
      <c r="F71" s="230"/>
      <c r="G71" s="230" t="s">
        <v>323</v>
      </c>
      <c r="H71" s="234">
        <v>46288</v>
      </c>
      <c r="I71" s="247" t="s">
        <v>324</v>
      </c>
      <c r="J71" s="87" t="s">
        <v>325</v>
      </c>
    </row>
    <row r="72" spans="1:10" x14ac:dyDescent="0.25">
      <c r="A72" s="230" t="s">
        <v>326</v>
      </c>
      <c r="B72" s="234">
        <v>46279</v>
      </c>
      <c r="C72" s="230">
        <v>55000</v>
      </c>
      <c r="D72" s="42" t="s">
        <v>340</v>
      </c>
      <c r="E72" s="241" t="s">
        <v>327</v>
      </c>
      <c r="F72" s="230"/>
      <c r="G72" s="230" t="s">
        <v>323</v>
      </c>
      <c r="H72" s="229" t="s">
        <v>328</v>
      </c>
      <c r="I72" s="230" t="s">
        <v>347</v>
      </c>
      <c r="J72" s="87" t="s">
        <v>329</v>
      </c>
    </row>
    <row r="73" spans="1:10" x14ac:dyDescent="0.25">
      <c r="A73" s="230" t="s">
        <v>331</v>
      </c>
      <c r="B73" s="234">
        <v>46280</v>
      </c>
      <c r="C73" s="230">
        <v>120000</v>
      </c>
      <c r="D73" s="230" t="s">
        <v>343</v>
      </c>
      <c r="E73" s="241" t="s">
        <v>332</v>
      </c>
      <c r="F73" s="230"/>
      <c r="G73" s="230" t="s">
        <v>330</v>
      </c>
      <c r="H73" s="234">
        <v>46293</v>
      </c>
      <c r="I73" s="230" t="s">
        <v>301</v>
      </c>
      <c r="J73" s="87">
        <v>89278585000</v>
      </c>
    </row>
    <row r="74" spans="1:10" x14ac:dyDescent="0.25">
      <c r="A74" s="230" t="s">
        <v>333</v>
      </c>
      <c r="B74" s="234">
        <v>46281</v>
      </c>
      <c r="C74" s="230">
        <v>150000</v>
      </c>
      <c r="D74" s="230" t="s">
        <v>340</v>
      </c>
      <c r="E74" s="230" t="s">
        <v>334</v>
      </c>
      <c r="F74" s="230"/>
      <c r="G74" s="230" t="s">
        <v>330</v>
      </c>
      <c r="H74" s="234">
        <v>46290</v>
      </c>
      <c r="I74" s="230"/>
      <c r="J74" s="87"/>
    </row>
    <row r="75" spans="1:10" x14ac:dyDescent="0.25">
      <c r="A75" s="230" t="s">
        <v>132</v>
      </c>
      <c r="B75" s="234">
        <v>46280</v>
      </c>
      <c r="C75" s="230">
        <v>75000</v>
      </c>
      <c r="D75" s="230" t="s">
        <v>342</v>
      </c>
      <c r="E75" s="241" t="s">
        <v>246</v>
      </c>
      <c r="F75" s="230"/>
      <c r="G75" s="230" t="s">
        <v>323</v>
      </c>
      <c r="H75" s="234">
        <v>46290</v>
      </c>
      <c r="I75" s="230" t="s">
        <v>335</v>
      </c>
      <c r="J75" s="87">
        <v>89953613404</v>
      </c>
    </row>
    <row r="76" spans="1:10" x14ac:dyDescent="0.25">
      <c r="A76" s="230" t="s">
        <v>336</v>
      </c>
      <c r="B76" s="234">
        <v>46281</v>
      </c>
      <c r="C76" s="230">
        <v>120000</v>
      </c>
      <c r="D76" s="230" t="s">
        <v>342</v>
      </c>
      <c r="E76" s="229" t="s">
        <v>322</v>
      </c>
      <c r="F76" s="230"/>
      <c r="G76" s="230" t="s">
        <v>323</v>
      </c>
      <c r="H76" s="234">
        <v>46290</v>
      </c>
      <c r="I76" s="247" t="s">
        <v>337</v>
      </c>
      <c r="J76" s="87">
        <v>8901158598</v>
      </c>
    </row>
    <row r="77" spans="1:10" x14ac:dyDescent="0.25">
      <c r="A77" s="230" t="s">
        <v>348</v>
      </c>
      <c r="B77" s="234">
        <v>46300</v>
      </c>
      <c r="C77" s="249">
        <v>85000</v>
      </c>
      <c r="D77" s="249" t="s">
        <v>341</v>
      </c>
      <c r="E77" s="241" t="s">
        <v>349</v>
      </c>
      <c r="F77" s="230"/>
      <c r="G77" s="230" t="s">
        <v>350</v>
      </c>
      <c r="H77" s="250">
        <v>46311</v>
      </c>
      <c r="I77" s="230" t="s">
        <v>351</v>
      </c>
      <c r="J77" s="87"/>
    </row>
    <row r="78" spans="1:10" x14ac:dyDescent="0.25">
      <c r="A78" s="230" t="s">
        <v>352</v>
      </c>
      <c r="B78" s="234">
        <v>46300</v>
      </c>
      <c r="C78" s="249">
        <v>90000</v>
      </c>
      <c r="D78" s="249" t="s">
        <v>353</v>
      </c>
      <c r="E78" s="229" t="s">
        <v>354</v>
      </c>
      <c r="F78" s="230"/>
      <c r="G78" s="230" t="s">
        <v>355</v>
      </c>
      <c r="H78" s="230" t="s">
        <v>328</v>
      </c>
      <c r="I78" s="230" t="s">
        <v>356</v>
      </c>
      <c r="J78" s="87"/>
    </row>
    <row r="79" spans="1:10" x14ac:dyDescent="0.25">
      <c r="A79" s="230" t="s">
        <v>129</v>
      </c>
      <c r="B79" s="234">
        <v>46300</v>
      </c>
      <c r="C79" s="249">
        <v>120000</v>
      </c>
      <c r="D79" s="249" t="s">
        <v>353</v>
      </c>
      <c r="E79" s="229" t="s">
        <v>357</v>
      </c>
      <c r="F79" s="230"/>
      <c r="G79" s="230" t="s">
        <v>355</v>
      </c>
      <c r="H79" s="230"/>
      <c r="I79" s="230" t="s">
        <v>363</v>
      </c>
      <c r="J79" s="87"/>
    </row>
    <row r="80" spans="1:10" x14ac:dyDescent="0.25">
      <c r="A80" s="230" t="s">
        <v>129</v>
      </c>
      <c r="B80" s="234">
        <v>46303</v>
      </c>
      <c r="C80" s="241">
        <v>150000</v>
      </c>
      <c r="D80" s="251" t="s">
        <v>353</v>
      </c>
      <c r="E80" s="241" t="s">
        <v>358</v>
      </c>
      <c r="F80" s="230"/>
      <c r="G80" s="230" t="s">
        <v>359</v>
      </c>
      <c r="H80" s="230" t="s">
        <v>328</v>
      </c>
      <c r="I80" s="230" t="s">
        <v>360</v>
      </c>
      <c r="J80" s="87"/>
    </row>
    <row r="81" spans="1:10" x14ac:dyDescent="0.25">
      <c r="A81" s="230" t="s">
        <v>177</v>
      </c>
      <c r="B81" s="234">
        <v>46303</v>
      </c>
      <c r="C81" s="241">
        <v>130000</v>
      </c>
      <c r="D81" s="230" t="s">
        <v>361</v>
      </c>
      <c r="E81" s="229" t="s">
        <v>362</v>
      </c>
      <c r="F81" s="230"/>
      <c r="G81" s="230" t="s">
        <v>359</v>
      </c>
      <c r="H81" s="234">
        <v>46316</v>
      </c>
      <c r="I81" s="230" t="s">
        <v>180</v>
      </c>
      <c r="J81" s="87"/>
    </row>
    <row r="82" spans="1:10" x14ac:dyDescent="0.25">
      <c r="A82" s="230" t="s">
        <v>364</v>
      </c>
      <c r="B82" s="234">
        <v>46303</v>
      </c>
      <c r="C82" s="241">
        <v>90000</v>
      </c>
      <c r="D82" s="230" t="s">
        <v>341</v>
      </c>
      <c r="E82" s="241" t="s">
        <v>174</v>
      </c>
      <c r="F82" s="230"/>
      <c r="G82" s="230" t="s">
        <v>355</v>
      </c>
      <c r="H82" s="230" t="s">
        <v>328</v>
      </c>
      <c r="I82" s="230" t="s">
        <v>365</v>
      </c>
      <c r="J82" s="87">
        <v>89297770567</v>
      </c>
    </row>
    <row r="83" spans="1:10" x14ac:dyDescent="0.25">
      <c r="A83" s="230" t="s">
        <v>366</v>
      </c>
      <c r="B83" s="234">
        <v>46304</v>
      </c>
      <c r="C83" s="230">
        <v>95000</v>
      </c>
      <c r="D83" s="230" t="s">
        <v>361</v>
      </c>
      <c r="E83" s="229" t="s">
        <v>166</v>
      </c>
      <c r="F83" s="230"/>
      <c r="G83" s="230" t="s">
        <v>367</v>
      </c>
      <c r="H83" s="230"/>
      <c r="I83" s="230"/>
      <c r="J83" s="87"/>
    </row>
    <row r="84" spans="1:10" x14ac:dyDescent="0.25">
      <c r="A84" s="230" t="s">
        <v>368</v>
      </c>
      <c r="B84" s="234">
        <v>46308</v>
      </c>
      <c r="C84" s="249">
        <v>70000</v>
      </c>
      <c r="D84" s="249" t="s">
        <v>369</v>
      </c>
      <c r="E84" s="241" t="s">
        <v>332</v>
      </c>
      <c r="F84" s="230"/>
      <c r="G84" s="230" t="s">
        <v>377</v>
      </c>
      <c r="H84" s="230" t="s">
        <v>328</v>
      </c>
      <c r="I84" s="230" t="s">
        <v>370</v>
      </c>
      <c r="J84" s="87" t="s">
        <v>371</v>
      </c>
    </row>
    <row r="85" spans="1:10" x14ac:dyDescent="0.25">
      <c r="A85" s="230" t="s">
        <v>372</v>
      </c>
      <c r="B85" s="234">
        <v>46308</v>
      </c>
      <c r="C85" s="230">
        <v>100000</v>
      </c>
      <c r="D85" s="230" t="s">
        <v>31</v>
      </c>
      <c r="E85" s="229" t="s">
        <v>373</v>
      </c>
      <c r="F85" s="230"/>
      <c r="G85" s="230" t="s">
        <v>377</v>
      </c>
      <c r="H85" s="234">
        <v>46321</v>
      </c>
      <c r="I85" s="230" t="s">
        <v>374</v>
      </c>
      <c r="J85" s="87" t="s">
        <v>375</v>
      </c>
    </row>
    <row r="86" spans="1:10" x14ac:dyDescent="0.25">
      <c r="A86" s="230" t="s">
        <v>376</v>
      </c>
      <c r="B86" s="234">
        <v>46309</v>
      </c>
      <c r="C86" s="249">
        <v>110000</v>
      </c>
      <c r="D86" s="249" t="s">
        <v>341</v>
      </c>
      <c r="E86" s="241" t="s">
        <v>194</v>
      </c>
      <c r="F86" s="230"/>
      <c r="G86" s="230" t="s">
        <v>377</v>
      </c>
      <c r="H86" s="234">
        <v>46318</v>
      </c>
      <c r="I86" s="230" t="s">
        <v>378</v>
      </c>
      <c r="J86" s="87" t="s">
        <v>379</v>
      </c>
    </row>
    <row r="87" spans="1:10" x14ac:dyDescent="0.25">
      <c r="A87" s="230" t="s">
        <v>380</v>
      </c>
      <c r="B87" s="234">
        <v>46308</v>
      </c>
      <c r="C87" s="230">
        <v>85000</v>
      </c>
      <c r="D87" s="230" t="s">
        <v>31</v>
      </c>
      <c r="E87" s="249" t="s">
        <v>381</v>
      </c>
      <c r="F87" s="230"/>
      <c r="G87" s="230" t="s">
        <v>377</v>
      </c>
      <c r="H87" s="234">
        <v>46318</v>
      </c>
      <c r="I87" s="230" t="s">
        <v>382</v>
      </c>
      <c r="J87" s="87" t="s">
        <v>383</v>
      </c>
    </row>
    <row r="88" spans="1:10" x14ac:dyDescent="0.25">
      <c r="A88" s="230" t="s">
        <v>384</v>
      </c>
      <c r="B88" s="234">
        <v>46309</v>
      </c>
      <c r="C88" s="230">
        <v>155000</v>
      </c>
      <c r="D88" s="230" t="s">
        <v>361</v>
      </c>
      <c r="E88" s="249" t="s">
        <v>385</v>
      </c>
      <c r="F88" s="230"/>
      <c r="G88" s="230" t="s">
        <v>386</v>
      </c>
      <c r="H88" s="234">
        <v>46318</v>
      </c>
      <c r="I88" s="230" t="s">
        <v>387</v>
      </c>
      <c r="J88" s="87">
        <f>G94</f>
        <v>0</v>
      </c>
    </row>
    <row r="89" spans="1:10" x14ac:dyDescent="0.25">
      <c r="A89" s="230" t="s">
        <v>389</v>
      </c>
      <c r="B89" s="234">
        <v>46309</v>
      </c>
      <c r="C89" s="230">
        <v>110000</v>
      </c>
      <c r="D89" s="230" t="s">
        <v>361</v>
      </c>
      <c r="E89" s="230" t="s">
        <v>390</v>
      </c>
      <c r="F89" s="230"/>
      <c r="G89" s="230" t="s">
        <v>386</v>
      </c>
      <c r="H89" s="234">
        <v>46318</v>
      </c>
      <c r="I89" s="230" t="s">
        <v>391</v>
      </c>
      <c r="J89" s="87" t="s">
        <v>388</v>
      </c>
    </row>
    <row r="90" spans="1:10" x14ac:dyDescent="0.25">
      <c r="A90" s="230"/>
      <c r="B90" s="230"/>
      <c r="C90" s="230"/>
      <c r="D90" s="230"/>
      <c r="E90" s="230"/>
      <c r="F90" s="230"/>
      <c r="G90" s="230"/>
      <c r="H90" s="230"/>
      <c r="I90" s="230"/>
      <c r="J90" s="87"/>
    </row>
    <row r="91" spans="1:10" x14ac:dyDescent="0.25">
      <c r="A91" s="230"/>
      <c r="B91" s="230"/>
      <c r="C91" s="230"/>
      <c r="D91" s="230"/>
      <c r="E91" s="230"/>
      <c r="F91" s="230"/>
      <c r="G91" s="230"/>
      <c r="H91" s="230"/>
      <c r="I91" s="230"/>
      <c r="J91" s="87"/>
    </row>
    <row r="92" spans="1:10" x14ac:dyDescent="0.25">
      <c r="A92" s="230"/>
      <c r="B92" s="230"/>
      <c r="C92" s="230"/>
      <c r="D92" s="230"/>
      <c r="E92" s="230"/>
      <c r="F92" s="230"/>
      <c r="G92" s="230"/>
      <c r="H92" s="230"/>
      <c r="I92" s="230"/>
      <c r="J92" s="87"/>
    </row>
    <row r="93" spans="1:10" x14ac:dyDescent="0.25">
      <c r="A93" s="230"/>
      <c r="B93" s="230"/>
      <c r="C93" s="230"/>
      <c r="D93" s="230"/>
      <c r="E93" s="230"/>
      <c r="F93" s="230"/>
      <c r="G93" s="230"/>
      <c r="H93" s="230"/>
      <c r="I93" s="230"/>
      <c r="J93" s="87"/>
    </row>
    <row r="94" spans="1:10" x14ac:dyDescent="0.25">
      <c r="A94" s="230"/>
      <c r="B94" s="230"/>
      <c r="C94" s="230"/>
      <c r="D94" s="230"/>
      <c r="E94" s="230"/>
      <c r="F94" s="230"/>
      <c r="G94" s="230"/>
      <c r="H94" s="230"/>
      <c r="I94" s="230"/>
      <c r="J94" s="87"/>
    </row>
    <row r="95" spans="1:10" x14ac:dyDescent="0.25">
      <c r="A95" s="230"/>
      <c r="B95" s="230"/>
      <c r="C95" s="230"/>
      <c r="D95" s="230"/>
      <c r="E95" s="230"/>
      <c r="F95" s="230"/>
      <c r="G95" s="230"/>
      <c r="H95" s="230"/>
      <c r="I95" s="230"/>
      <c r="J95" s="87"/>
    </row>
    <row r="96" spans="1:10" x14ac:dyDescent="0.25">
      <c r="A96" s="230"/>
      <c r="B96" s="230"/>
      <c r="C96" s="230"/>
      <c r="D96" s="230"/>
      <c r="E96" s="230"/>
      <c r="F96" s="230"/>
      <c r="G96" s="230"/>
      <c r="H96" s="230"/>
      <c r="I96" s="230"/>
      <c r="J96" s="87"/>
    </row>
    <row r="97" spans="1:10" x14ac:dyDescent="0.25">
      <c r="A97" s="230"/>
      <c r="B97" s="230"/>
      <c r="C97" s="230"/>
      <c r="D97" s="230"/>
      <c r="E97" s="230"/>
      <c r="F97" s="230"/>
      <c r="G97" s="230"/>
      <c r="H97" s="230"/>
      <c r="I97" s="230"/>
      <c r="J97" s="87"/>
    </row>
    <row r="98" spans="1:10" x14ac:dyDescent="0.25">
      <c r="A98" s="230"/>
      <c r="B98" s="230"/>
      <c r="C98" s="230"/>
      <c r="D98" s="230"/>
      <c r="E98" s="230"/>
      <c r="F98" s="230"/>
      <c r="G98" s="230"/>
      <c r="H98" s="230"/>
      <c r="I98" s="230"/>
      <c r="J98" s="87"/>
    </row>
    <row r="99" spans="1:10" x14ac:dyDescent="0.25">
      <c r="A99" s="230"/>
      <c r="B99" s="230"/>
      <c r="C99" s="230"/>
      <c r="D99" s="230"/>
      <c r="E99" s="230"/>
      <c r="F99" s="230"/>
      <c r="G99" s="230"/>
      <c r="H99" s="230"/>
      <c r="I99" s="230"/>
      <c r="J99" s="87"/>
    </row>
    <row r="100" spans="1:10" x14ac:dyDescent="0.25">
      <c r="A100" s="230"/>
      <c r="B100" s="230"/>
      <c r="C100" s="230"/>
      <c r="D100" s="230"/>
      <c r="E100" s="230"/>
      <c r="F100" s="230"/>
      <c r="G100" s="230"/>
      <c r="H100" s="230"/>
      <c r="I100" s="230"/>
      <c r="J100" s="87"/>
    </row>
    <row r="101" spans="1:10" x14ac:dyDescent="0.25">
      <c r="A101" s="230"/>
      <c r="B101" s="230"/>
      <c r="C101" s="230"/>
      <c r="D101" s="230"/>
      <c r="E101" s="230"/>
      <c r="F101" s="230"/>
      <c r="G101" s="230"/>
      <c r="H101" s="230"/>
      <c r="I101" s="230"/>
      <c r="J101" s="87"/>
    </row>
    <row r="102" spans="1:10" x14ac:dyDescent="0.25">
      <c r="A102" s="230"/>
      <c r="B102" s="230"/>
      <c r="C102" s="230"/>
      <c r="D102" s="230"/>
      <c r="E102" s="230"/>
      <c r="F102" s="230"/>
      <c r="G102" s="230"/>
      <c r="H102" s="230"/>
      <c r="I102" s="230"/>
      <c r="J102" s="87"/>
    </row>
    <row r="103" spans="1:10" x14ac:dyDescent="0.25">
      <c r="A103" s="230"/>
      <c r="B103" s="230"/>
      <c r="C103" s="230"/>
      <c r="D103" s="230"/>
      <c r="E103" s="230"/>
      <c r="F103" s="230"/>
      <c r="G103" s="230"/>
      <c r="H103" s="230"/>
      <c r="I103" s="230"/>
      <c r="J103" s="87"/>
    </row>
    <row r="104" spans="1:10" x14ac:dyDescent="0.25">
      <c r="A104" s="87"/>
      <c r="B104" s="87"/>
      <c r="C104" s="87"/>
      <c r="D104" s="87"/>
      <c r="E104" s="87"/>
      <c r="F104" s="87"/>
      <c r="G104" s="87"/>
      <c r="H104" s="87"/>
      <c r="I104" s="87"/>
      <c r="J104" s="87"/>
    </row>
    <row r="105" spans="1:10" x14ac:dyDescent="0.25">
      <c r="A105" s="87"/>
      <c r="B105" s="87"/>
      <c r="C105" s="87"/>
      <c r="D105" s="87"/>
      <c r="E105" s="87"/>
      <c r="F105" s="87"/>
      <c r="G105" s="87"/>
      <c r="H105" s="87"/>
      <c r="I105" s="87"/>
      <c r="J105" s="87"/>
    </row>
  </sheetData>
  <autoFilter ref="A1:A105" xr:uid="{00000000-0009-0000-0000-000005000000}"/>
  <mergeCells count="2">
    <mergeCell ref="F65:H65"/>
    <mergeCell ref="E62:E6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zoomScale="70" zoomScaleNormal="70" workbookViewId="0">
      <selection activeCell="G9" sqref="G9"/>
    </sheetView>
  </sheetViews>
  <sheetFormatPr defaultColWidth="30.6640625" defaultRowHeight="45" customHeight="1" x14ac:dyDescent="0.25"/>
  <cols>
    <col min="1" max="1" width="47.33203125" style="212" customWidth="1"/>
    <col min="2" max="2" width="55.33203125" style="2" customWidth="1"/>
    <col min="3" max="3" width="42.109375" style="2" customWidth="1"/>
    <col min="4" max="6" width="30.6640625" style="2"/>
    <col min="7" max="7" width="30.6640625" style="1"/>
    <col min="8" max="8" width="30.6640625" style="46"/>
    <col min="9" max="16384" width="30.6640625" style="1"/>
  </cols>
  <sheetData>
    <row r="1" spans="1:7" ht="45" customHeight="1" x14ac:dyDescent="0.25">
      <c r="A1" s="265" t="s">
        <v>97</v>
      </c>
      <c r="B1" s="265"/>
      <c r="C1" s="265"/>
      <c r="D1" s="265"/>
      <c r="E1" s="265"/>
      <c r="F1" s="265"/>
      <c r="G1" s="265"/>
    </row>
    <row r="2" spans="1:7" ht="45" customHeight="1" x14ac:dyDescent="0.25">
      <c r="A2" s="213" t="s">
        <v>34</v>
      </c>
      <c r="B2" s="213" t="s">
        <v>98</v>
      </c>
      <c r="C2" s="213" t="s">
        <v>95</v>
      </c>
      <c r="D2" s="213" t="s">
        <v>94</v>
      </c>
      <c r="E2" s="213" t="s">
        <v>96</v>
      </c>
      <c r="F2" s="213" t="s">
        <v>99</v>
      </c>
      <c r="G2" s="217" t="s">
        <v>103</v>
      </c>
    </row>
    <row r="3" spans="1:7" ht="45" customHeight="1" x14ac:dyDescent="0.25">
      <c r="A3" s="214">
        <f>'Расходы на перевозки'!AE1</f>
        <v>0</v>
      </c>
      <c r="B3" s="214">
        <f>'Расходы на перевозки'!AG1</f>
        <v>0</v>
      </c>
      <c r="C3" s="214">
        <f>SUM('Зарплаты '!H3:N3)</f>
        <v>0</v>
      </c>
      <c r="D3" s="214"/>
      <c r="E3" s="214"/>
      <c r="F3" s="214">
        <f>SUM('Вложения в компанию'!F:F)</f>
        <v>0</v>
      </c>
      <c r="G3" s="216"/>
    </row>
    <row r="5" spans="1:7" ht="45" customHeight="1" x14ac:dyDescent="0.25">
      <c r="A5" s="215" t="s">
        <v>102</v>
      </c>
      <c r="B5" s="215" t="s">
        <v>101</v>
      </c>
      <c r="C5" s="215" t="s">
        <v>100</v>
      </c>
    </row>
    <row r="6" spans="1:7" ht="45" customHeight="1" x14ac:dyDescent="0.25">
      <c r="A6" s="215">
        <f>'Расходы на перевозки'!Y1</f>
        <v>103773</v>
      </c>
      <c r="B6" s="215">
        <f>SUM(3:3)</f>
        <v>0</v>
      </c>
      <c r="C6" s="215">
        <f>A6-B6</f>
        <v>103773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</vt:lpstr>
      <vt:lpstr>Ип</vt:lpstr>
      <vt:lpstr>Наличка</vt:lpstr>
      <vt:lpstr>Расходы на перевозки</vt:lpstr>
      <vt:lpstr>Зарплаты </vt:lpstr>
      <vt:lpstr>Вложения в компанию</vt:lpstr>
      <vt:lpstr>Прибыль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2024-07-26T10:54:59Z</cp:lastPrinted>
  <dcterms:created xsi:type="dcterms:W3CDTF">2015-06-05T18:19:34Z</dcterms:created>
  <dcterms:modified xsi:type="dcterms:W3CDTF">2026-10-15T15:25:52Z</dcterms:modified>
</cp:coreProperties>
</file>